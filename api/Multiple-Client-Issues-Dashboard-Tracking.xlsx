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autoCompressPictures="0"/>
  <mc:AlternateContent xmlns:mc="http://schemas.openxmlformats.org/markup-compatibility/2006">
    <mc:Choice Requires="x15">
      <x15ac:absPath xmlns:x15ac="http://schemas.microsoft.com/office/spreadsheetml/2010/11/ac" url="D:\Work\Client\"/>
    </mc:Choice>
  </mc:AlternateContent>
  <xr:revisionPtr revIDLastSave="0" documentId="13_ncr:1_{F87CDC13-44CF-477D-A6FC-A55FC5E4C429}" xr6:coauthVersionLast="47" xr6:coauthVersionMax="47" xr10:uidLastSave="{00000000-0000-0000-0000-000000000000}"/>
  <bookViews>
    <workbookView xWindow="-108" yWindow="-108" windowWidth="23256" windowHeight="12456" tabRatio="291" firstSheet="2" activeTab="3" xr2:uid="{00000000-000D-0000-FFFF-FFFF00000000}"/>
  </bookViews>
  <sheets>
    <sheet name="EXAMPLE Multi Project Dashboard" sheetId="1" r:id="rId1"/>
    <sheet name="– Disclaimer –" sheetId="3" r:id="rId2"/>
    <sheet name="Ticket Issue Client Dashboard" sheetId="4" r:id="rId3"/>
    <sheet name="Ageing Issue" sheetId="17" r:id="rId4"/>
    <sheet name="FRIM" sheetId="6" r:id="rId5"/>
    <sheet name="MTIB" sheetId="7" r:id="rId6"/>
    <sheet name="MPOB" sheetId="8" r:id="rId7"/>
    <sheet name="LKTN" sheetId="9" r:id="rId8"/>
    <sheet name="LAM" sheetId="10" r:id="rId9"/>
    <sheet name="ISN" sheetId="11" r:id="rId10"/>
    <sheet name="MSN" sheetId="12" r:id="rId11"/>
    <sheet name="KTPC" sheetId="14" r:id="rId12"/>
    <sheet name="KUIPS" sheetId="15" r:id="rId13"/>
    <sheet name="YIPS" sheetId="13" r:id="rId14"/>
    <sheet name="DATA" sheetId="16" r:id="rId15"/>
  </sheets>
  <externalReferences>
    <externalReference r:id="rId16"/>
    <externalReference r:id="rId17"/>
    <externalReference r:id="rId18"/>
  </externalReferences>
  <definedNames>
    <definedName name="_xlnm.Print_Area" localSheetId="0">'EXAMPLE Multi Project Dashboard'!$B$2:$P$55</definedName>
    <definedName name="_xlnm.Print_Area" localSheetId="2">'Ticket Issue Client Dashboard'!$B$1:$S$37</definedName>
    <definedName name="Type" localSheetId="1">'[1]Service Marketing Plan'!#REF!</definedName>
    <definedName name="Type">'[2]Business Meeting Agenda'!#REF!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O3" i="6" l="1"/>
  <c r="O4" i="15"/>
  <c r="O5" i="15"/>
  <c r="O6" i="15"/>
  <c r="O7" i="15"/>
  <c r="O8" i="15"/>
  <c r="O9" i="15"/>
  <c r="O10" i="15"/>
  <c r="O15" i="15"/>
  <c r="O16" i="15"/>
  <c r="O17" i="15"/>
  <c r="O18" i="15"/>
  <c r="O23" i="15"/>
  <c r="O24" i="15"/>
  <c r="O25" i="15"/>
  <c r="O26" i="15"/>
  <c r="O29" i="15"/>
  <c r="O30" i="15"/>
  <c r="O31" i="15"/>
  <c r="O32" i="15"/>
  <c r="O33" i="15"/>
  <c r="O34" i="15"/>
  <c r="O35" i="15"/>
  <c r="O36" i="15"/>
  <c r="O37" i="15"/>
  <c r="O38" i="15"/>
  <c r="O39" i="15"/>
  <c r="O40" i="15"/>
  <c r="O41" i="15"/>
  <c r="O42" i="15"/>
  <c r="O43" i="15"/>
  <c r="O44" i="15"/>
  <c r="O45" i="15"/>
  <c r="O46" i="15"/>
  <c r="O47" i="15"/>
  <c r="O48" i="15"/>
  <c r="O49" i="15"/>
  <c r="O50" i="15"/>
  <c r="O51" i="15"/>
  <c r="O52" i="15"/>
  <c r="O53" i="15"/>
  <c r="O54" i="15"/>
  <c r="O55" i="15"/>
  <c r="O56" i="15"/>
  <c r="O57" i="15"/>
  <c r="O58" i="15"/>
  <c r="O59" i="15"/>
  <c r="O60" i="15"/>
  <c r="O61" i="15"/>
  <c r="O62" i="15"/>
  <c r="O63" i="15"/>
  <c r="O64" i="15"/>
  <c r="O65" i="15"/>
  <c r="O66" i="15"/>
  <c r="O67" i="15"/>
  <c r="O68" i="15"/>
  <c r="O69" i="15"/>
  <c r="O70" i="15"/>
  <c r="O71" i="15"/>
  <c r="O72" i="15"/>
  <c r="O73" i="15"/>
  <c r="O74" i="15"/>
  <c r="O75" i="15"/>
  <c r="O76" i="15"/>
  <c r="O77" i="15"/>
  <c r="O78" i="15"/>
  <c r="O79" i="15"/>
  <c r="O80" i="15"/>
  <c r="O81" i="15"/>
  <c r="O82" i="15"/>
  <c r="O83" i="15"/>
  <c r="O84" i="15"/>
  <c r="O85" i="15"/>
  <c r="O86" i="15"/>
  <c r="O87" i="15"/>
  <c r="O88" i="15"/>
  <c r="O89" i="15"/>
  <c r="O90" i="15"/>
  <c r="O91" i="15"/>
  <c r="O92" i="15"/>
  <c r="O93" i="15"/>
  <c r="O94" i="15"/>
  <c r="O95" i="15"/>
  <c r="O3" i="15"/>
  <c r="N4" i="15"/>
  <c r="N5" i="15"/>
  <c r="N6" i="15"/>
  <c r="N7" i="15"/>
  <c r="N8" i="15"/>
  <c r="N9" i="15"/>
  <c r="N10" i="15"/>
  <c r="N11" i="15"/>
  <c r="O11" i="15" s="1"/>
  <c r="N12" i="15"/>
  <c r="O12" i="15" s="1"/>
  <c r="N13" i="15"/>
  <c r="O13" i="15" s="1"/>
  <c r="N14" i="15"/>
  <c r="O14" i="15" s="1"/>
  <c r="N15" i="15"/>
  <c r="N16" i="15"/>
  <c r="N17" i="15"/>
  <c r="N18" i="15"/>
  <c r="N19" i="15"/>
  <c r="O19" i="15" s="1"/>
  <c r="N20" i="15"/>
  <c r="O20" i="15" s="1"/>
  <c r="N21" i="15"/>
  <c r="O21" i="15" s="1"/>
  <c r="N22" i="15"/>
  <c r="O22" i="15" s="1"/>
  <c r="N23" i="15"/>
  <c r="N24" i="15"/>
  <c r="N25" i="15"/>
  <c r="N26" i="15"/>
  <c r="N27" i="15"/>
  <c r="O27" i="15" s="1"/>
  <c r="N28" i="15"/>
  <c r="O28" i="15" s="1"/>
  <c r="N29" i="15"/>
  <c r="N30" i="15"/>
  <c r="N31" i="15"/>
  <c r="N32" i="15"/>
  <c r="N33" i="15"/>
  <c r="N34" i="15"/>
  <c r="N35" i="15"/>
  <c r="N36" i="15"/>
  <c r="N37" i="15"/>
  <c r="N38" i="15"/>
  <c r="N39" i="15"/>
  <c r="N40" i="15"/>
  <c r="N41" i="15"/>
  <c r="N42" i="15"/>
  <c r="N43" i="15"/>
  <c r="N44" i="15"/>
  <c r="N45" i="15"/>
  <c r="N46" i="15"/>
  <c r="N47" i="15"/>
  <c r="N48" i="15"/>
  <c r="N49" i="15"/>
  <c r="N50" i="15"/>
  <c r="N51" i="15"/>
  <c r="N52" i="15"/>
  <c r="N53" i="15"/>
  <c r="N54" i="15"/>
  <c r="N55" i="15"/>
  <c r="N56" i="15"/>
  <c r="N57" i="15"/>
  <c r="N58" i="15"/>
  <c r="N59" i="15"/>
  <c r="N60" i="15"/>
  <c r="N61" i="15"/>
  <c r="N62" i="15"/>
  <c r="N63" i="15"/>
  <c r="N64" i="15"/>
  <c r="N65" i="15"/>
  <c r="N66" i="15"/>
  <c r="N67" i="15"/>
  <c r="N68" i="15"/>
  <c r="N69" i="15"/>
  <c r="N70" i="15"/>
  <c r="N71" i="15"/>
  <c r="N72" i="15"/>
  <c r="N73" i="15"/>
  <c r="N74" i="15"/>
  <c r="N75" i="15"/>
  <c r="N76" i="15"/>
  <c r="N77" i="15"/>
  <c r="N78" i="15"/>
  <c r="N79" i="15"/>
  <c r="N80" i="15"/>
  <c r="N81" i="15"/>
  <c r="N82" i="15"/>
  <c r="N83" i="15"/>
  <c r="N84" i="15"/>
  <c r="N85" i="15"/>
  <c r="N86" i="15"/>
  <c r="N87" i="15"/>
  <c r="N88" i="15"/>
  <c r="N89" i="15"/>
  <c r="N90" i="15"/>
  <c r="N91" i="15"/>
  <c r="N92" i="15"/>
  <c r="N93" i="15"/>
  <c r="N94" i="15"/>
  <c r="N95" i="15"/>
  <c r="N3" i="15"/>
  <c r="O4" i="12"/>
  <c r="O5" i="12"/>
  <c r="O6" i="12"/>
  <c r="O7" i="12"/>
  <c r="O8" i="12"/>
  <c r="O10" i="12"/>
  <c r="O12" i="12"/>
  <c r="O13" i="12"/>
  <c r="O14" i="12"/>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46" i="12"/>
  <c r="O47" i="12"/>
  <c r="O48" i="12"/>
  <c r="O49" i="12"/>
  <c r="O50" i="12"/>
  <c r="O51" i="12"/>
  <c r="O52" i="12"/>
  <c r="O53" i="12"/>
  <c r="O54" i="12"/>
  <c r="O55" i="12"/>
  <c r="O56" i="12"/>
  <c r="O57" i="12"/>
  <c r="O58" i="12"/>
  <c r="O59" i="12"/>
  <c r="O60" i="12"/>
  <c r="O61" i="12"/>
  <c r="O62" i="12"/>
  <c r="O63" i="12"/>
  <c r="O64" i="12"/>
  <c r="O65" i="12"/>
  <c r="O66" i="12"/>
  <c r="O67" i="12"/>
  <c r="O68" i="12"/>
  <c r="O69" i="12"/>
  <c r="O70" i="12"/>
  <c r="O71" i="12"/>
  <c r="O72" i="12"/>
  <c r="O73" i="12"/>
  <c r="O74" i="12"/>
  <c r="O75" i="12"/>
  <c r="O76" i="12"/>
  <c r="O77" i="12"/>
  <c r="O78" i="12"/>
  <c r="O79" i="12"/>
  <c r="O80" i="12"/>
  <c r="O81" i="12"/>
  <c r="O82" i="12"/>
  <c r="O83" i="12"/>
  <c r="O84" i="12"/>
  <c r="O85" i="12"/>
  <c r="O86" i="12"/>
  <c r="O87" i="12"/>
  <c r="O88" i="12"/>
  <c r="O89" i="12"/>
  <c r="O90" i="12"/>
  <c r="O91" i="12"/>
  <c r="O92" i="12"/>
  <c r="O93" i="12"/>
  <c r="O94" i="12"/>
  <c r="O95" i="12"/>
  <c r="O3" i="12"/>
  <c r="N4" i="12"/>
  <c r="N5" i="12"/>
  <c r="N6" i="12"/>
  <c r="N7" i="12"/>
  <c r="N8" i="12"/>
  <c r="N9" i="12"/>
  <c r="O9" i="12" s="1"/>
  <c r="N10" i="12"/>
  <c r="N11" i="12"/>
  <c r="O11" i="12" s="1"/>
  <c r="N12" i="12"/>
  <c r="N13" i="12"/>
  <c r="N14" i="12"/>
  <c r="N15" i="12"/>
  <c r="N16" i="12"/>
  <c r="N17" i="12"/>
  <c r="N18" i="12"/>
  <c r="N19" i="12"/>
  <c r="N20" i="12"/>
  <c r="N21" i="12"/>
  <c r="N22" i="12"/>
  <c r="N23" i="12"/>
  <c r="N24" i="12"/>
  <c r="N25" i="12"/>
  <c r="N26" i="12"/>
  <c r="N27" i="12"/>
  <c r="N28" i="12"/>
  <c r="N29" i="12"/>
  <c r="N30" i="12"/>
  <c r="N31" i="12"/>
  <c r="N32" i="12"/>
  <c r="N33" i="12"/>
  <c r="N34" i="12"/>
  <c r="N35" i="12"/>
  <c r="N36" i="12"/>
  <c r="N37" i="12"/>
  <c r="N38" i="12"/>
  <c r="N39" i="12"/>
  <c r="N40" i="12"/>
  <c r="N41" i="12"/>
  <c r="N42" i="12"/>
  <c r="N43" i="12"/>
  <c r="N44" i="12"/>
  <c r="N45" i="12"/>
  <c r="N46" i="12"/>
  <c r="N47" i="12"/>
  <c r="N48" i="12"/>
  <c r="N49" i="12"/>
  <c r="N50" i="12"/>
  <c r="N51" i="12"/>
  <c r="N52" i="12"/>
  <c r="N53" i="12"/>
  <c r="N54" i="12"/>
  <c r="N55" i="12"/>
  <c r="N56" i="12"/>
  <c r="N57" i="12"/>
  <c r="N58" i="12"/>
  <c r="N59" i="12"/>
  <c r="N60" i="12"/>
  <c r="N61" i="12"/>
  <c r="N62" i="12"/>
  <c r="N63" i="12"/>
  <c r="N64" i="12"/>
  <c r="N65" i="12"/>
  <c r="N66" i="12"/>
  <c r="N67" i="12"/>
  <c r="N68" i="12"/>
  <c r="N69" i="12"/>
  <c r="N70" i="12"/>
  <c r="N71" i="12"/>
  <c r="N72" i="12"/>
  <c r="N73" i="12"/>
  <c r="N74" i="12"/>
  <c r="N75" i="12"/>
  <c r="N76" i="12"/>
  <c r="N77" i="12"/>
  <c r="N78" i="12"/>
  <c r="N79" i="12"/>
  <c r="N80" i="12"/>
  <c r="N81" i="12"/>
  <c r="N82" i="12"/>
  <c r="N83" i="12"/>
  <c r="N84" i="12"/>
  <c r="N85" i="12"/>
  <c r="N86" i="12"/>
  <c r="N87" i="12"/>
  <c r="N88" i="12"/>
  <c r="N89" i="12"/>
  <c r="N90" i="12"/>
  <c r="N91" i="12"/>
  <c r="N92" i="12"/>
  <c r="N93" i="12"/>
  <c r="N94" i="12"/>
  <c r="N95" i="12"/>
  <c r="N3" i="12"/>
  <c r="O4" i="11"/>
  <c r="O5" i="11"/>
  <c r="O6" i="11"/>
  <c r="O7" i="11"/>
  <c r="O8" i="11"/>
  <c r="O9" i="11"/>
  <c r="O10" i="11"/>
  <c r="O11" i="11"/>
  <c r="O12" i="11"/>
  <c r="O13" i="11"/>
  <c r="O16" i="11"/>
  <c r="O17" i="11"/>
  <c r="O19" i="11"/>
  <c r="O20" i="11"/>
  <c r="O21" i="11"/>
  <c r="O24"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70" i="11"/>
  <c r="O71" i="11"/>
  <c r="O72" i="11"/>
  <c r="O73" i="11"/>
  <c r="O74" i="11"/>
  <c r="O75" i="11"/>
  <c r="O76" i="11"/>
  <c r="O77" i="11"/>
  <c r="O78" i="11"/>
  <c r="O79" i="11"/>
  <c r="O80" i="11"/>
  <c r="O81" i="11"/>
  <c r="O82" i="11"/>
  <c r="O83" i="11"/>
  <c r="O84" i="11"/>
  <c r="O85" i="11"/>
  <c r="O86" i="11"/>
  <c r="O87" i="11"/>
  <c r="O88" i="11"/>
  <c r="O89" i="11"/>
  <c r="O90" i="11"/>
  <c r="O91" i="11"/>
  <c r="O92" i="11"/>
  <c r="O93" i="11"/>
  <c r="O94" i="11"/>
  <c r="O95" i="11"/>
  <c r="O3" i="11"/>
  <c r="N4" i="11"/>
  <c r="N5" i="11"/>
  <c r="N6" i="11"/>
  <c r="N7" i="11"/>
  <c r="N8" i="11"/>
  <c r="N9" i="11"/>
  <c r="N10" i="11"/>
  <c r="N11" i="11"/>
  <c r="N12" i="11"/>
  <c r="N13" i="11"/>
  <c r="N14" i="11"/>
  <c r="O14" i="11" s="1"/>
  <c r="N15" i="11"/>
  <c r="O15" i="11" s="1"/>
  <c r="N16" i="11"/>
  <c r="N17" i="11"/>
  <c r="N18" i="11"/>
  <c r="O18" i="11" s="1"/>
  <c r="N19" i="11"/>
  <c r="N20" i="11"/>
  <c r="N21" i="11"/>
  <c r="N22" i="11"/>
  <c r="O22" i="11" s="1"/>
  <c r="N23" i="11"/>
  <c r="O23" i="11" s="1"/>
  <c r="N24" i="11"/>
  <c r="N25" i="11"/>
  <c r="O25" i="11" s="1"/>
  <c r="N26" i="11"/>
  <c r="O26" i="11" s="1"/>
  <c r="N27" i="11"/>
  <c r="O27" i="11" s="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54" i="11"/>
  <c r="N55" i="11"/>
  <c r="N56" i="11"/>
  <c r="N57" i="11"/>
  <c r="N58" i="11"/>
  <c r="N59" i="11"/>
  <c r="N60" i="11"/>
  <c r="N61" i="11"/>
  <c r="N62" i="11"/>
  <c r="N63" i="11"/>
  <c r="N64" i="11"/>
  <c r="N65" i="11"/>
  <c r="N66" i="11"/>
  <c r="N67" i="11"/>
  <c r="N68" i="11"/>
  <c r="N69" i="11"/>
  <c r="N70" i="11"/>
  <c r="N71" i="11"/>
  <c r="N72" i="11"/>
  <c r="N73" i="11"/>
  <c r="N74" i="11"/>
  <c r="N75" i="11"/>
  <c r="N76" i="11"/>
  <c r="N77" i="11"/>
  <c r="N78" i="11"/>
  <c r="N79" i="11"/>
  <c r="N80" i="11"/>
  <c r="N81" i="11"/>
  <c r="N82" i="11"/>
  <c r="N83" i="11"/>
  <c r="N84" i="11"/>
  <c r="N85" i="11"/>
  <c r="N86" i="11"/>
  <c r="N87" i="11"/>
  <c r="N88" i="11"/>
  <c r="N89" i="11"/>
  <c r="N90" i="11"/>
  <c r="N91" i="11"/>
  <c r="N92" i="11"/>
  <c r="N93" i="11"/>
  <c r="N94" i="11"/>
  <c r="N95" i="11"/>
  <c r="N3" i="11"/>
  <c r="O4" i="10"/>
  <c r="O5" i="10"/>
  <c r="O10" i="10"/>
  <c r="O11" i="10"/>
  <c r="O12" i="10"/>
  <c r="O13" i="10"/>
  <c r="O14" i="10"/>
  <c r="O15" i="10"/>
  <c r="O16" i="10"/>
  <c r="O17" i="10"/>
  <c r="O18" i="10"/>
  <c r="O19" i="10"/>
  <c r="O20" i="10"/>
  <c r="O23" i="10"/>
  <c r="O24" i="10"/>
  <c r="O25" i="10"/>
  <c r="O26" i="10"/>
  <c r="O27" i="10"/>
  <c r="O28" i="10"/>
  <c r="O29"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O60" i="10"/>
  <c r="O61" i="10"/>
  <c r="O62" i="10"/>
  <c r="O63" i="10"/>
  <c r="O64" i="10"/>
  <c r="O65" i="10"/>
  <c r="O66" i="10"/>
  <c r="O67" i="10"/>
  <c r="O68" i="10"/>
  <c r="O69" i="10"/>
  <c r="O70" i="10"/>
  <c r="O71" i="10"/>
  <c r="O72" i="10"/>
  <c r="O73" i="10"/>
  <c r="O74" i="10"/>
  <c r="O75" i="10"/>
  <c r="O76" i="10"/>
  <c r="O77" i="10"/>
  <c r="O78" i="10"/>
  <c r="O79" i="10"/>
  <c r="O80" i="10"/>
  <c r="O81" i="10"/>
  <c r="O82" i="10"/>
  <c r="O83" i="10"/>
  <c r="O84" i="10"/>
  <c r="O85" i="10"/>
  <c r="O86" i="10"/>
  <c r="O87" i="10"/>
  <c r="O88" i="10"/>
  <c r="O89" i="10"/>
  <c r="O90" i="10"/>
  <c r="O91" i="10"/>
  <c r="O92" i="10"/>
  <c r="O93" i="10"/>
  <c r="O94" i="10"/>
  <c r="O3" i="10"/>
  <c r="N4" i="10"/>
  <c r="N5" i="10"/>
  <c r="N6" i="10"/>
  <c r="O6" i="10" s="1"/>
  <c r="N7" i="10"/>
  <c r="O7" i="10" s="1"/>
  <c r="N8" i="10"/>
  <c r="O8" i="10" s="1"/>
  <c r="N9" i="10"/>
  <c r="O9" i="10" s="1"/>
  <c r="N10" i="10"/>
  <c r="N11" i="10"/>
  <c r="N12" i="10"/>
  <c r="N13" i="10"/>
  <c r="N14" i="10"/>
  <c r="N15" i="10"/>
  <c r="N16" i="10"/>
  <c r="N17" i="10"/>
  <c r="N18" i="10"/>
  <c r="N19" i="10"/>
  <c r="N20" i="10"/>
  <c r="N21" i="10"/>
  <c r="O21" i="10" s="1"/>
  <c r="N22" i="10"/>
  <c r="O22" i="10" s="1"/>
  <c r="N23" i="10"/>
  <c r="N24" i="10"/>
  <c r="N25" i="10"/>
  <c r="N26" i="10"/>
  <c r="N27" i="10"/>
  <c r="N28" i="10"/>
  <c r="N29" i="10"/>
  <c r="N30" i="10"/>
  <c r="N31" i="10"/>
  <c r="N32" i="10"/>
  <c r="N33" i="10"/>
  <c r="N34" i="10"/>
  <c r="N35" i="10"/>
  <c r="N36" i="10"/>
  <c r="N37" i="10"/>
  <c r="N38" i="10"/>
  <c r="N39" i="10"/>
  <c r="N40" i="10"/>
  <c r="N41" i="10"/>
  <c r="N42" i="10"/>
  <c r="N43" i="10"/>
  <c r="N44" i="10"/>
  <c r="N45" i="10"/>
  <c r="N46" i="10"/>
  <c r="N47" i="10"/>
  <c r="N48" i="10"/>
  <c r="N49" i="10"/>
  <c r="N50" i="10"/>
  <c r="N51" i="10"/>
  <c r="N52" i="10"/>
  <c r="N53" i="10"/>
  <c r="N54" i="10"/>
  <c r="N55" i="10"/>
  <c r="N56" i="10"/>
  <c r="N57" i="10"/>
  <c r="N58" i="10"/>
  <c r="N59" i="10"/>
  <c r="N60" i="10"/>
  <c r="N61" i="10"/>
  <c r="N62" i="10"/>
  <c r="N63" i="10"/>
  <c r="N64" i="10"/>
  <c r="N65" i="10"/>
  <c r="N66" i="10"/>
  <c r="N67" i="10"/>
  <c r="N68" i="10"/>
  <c r="N69" i="10"/>
  <c r="N70" i="10"/>
  <c r="N71" i="10"/>
  <c r="N72" i="10"/>
  <c r="N73" i="10"/>
  <c r="N74" i="10"/>
  <c r="N75" i="10"/>
  <c r="N76" i="10"/>
  <c r="N77" i="10"/>
  <c r="N78" i="10"/>
  <c r="N79" i="10"/>
  <c r="N80" i="10"/>
  <c r="N81" i="10"/>
  <c r="N82" i="10"/>
  <c r="N83" i="10"/>
  <c r="N84" i="10"/>
  <c r="N85" i="10"/>
  <c r="N86" i="10"/>
  <c r="N87" i="10"/>
  <c r="N88" i="10"/>
  <c r="N89" i="10"/>
  <c r="N90" i="10"/>
  <c r="N91" i="10"/>
  <c r="N92" i="10"/>
  <c r="N93" i="10"/>
  <c r="N94" i="10"/>
  <c r="N3" i="10"/>
  <c r="O4" i="9"/>
  <c r="O5" i="9"/>
  <c r="O6" i="9"/>
  <c r="O7" i="9"/>
  <c r="O8" i="9"/>
  <c r="O9" i="9"/>
  <c r="O10" i="9"/>
  <c r="O11" i="9"/>
  <c r="O12"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3" i="9"/>
  <c r="N4" i="9"/>
  <c r="N5" i="9"/>
  <c r="N6" i="9"/>
  <c r="N7" i="9"/>
  <c r="N8" i="9"/>
  <c r="N9" i="9"/>
  <c r="N10" i="9"/>
  <c r="N11" i="9"/>
  <c r="N12" i="9"/>
  <c r="N13" i="9"/>
  <c r="O13" i="9" s="1"/>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3" i="9"/>
  <c r="N96" i="8"/>
  <c r="N97" i="8"/>
  <c r="N98" i="8"/>
  <c r="N99" i="8"/>
  <c r="N100" i="8"/>
  <c r="N101" i="8"/>
  <c r="N102" i="8"/>
  <c r="N103" i="8"/>
  <c r="N104" i="8"/>
  <c r="N105" i="8"/>
  <c r="N106" i="8"/>
  <c r="N107" i="8"/>
  <c r="N108" i="8"/>
  <c r="N109" i="8"/>
  <c r="N110" i="8"/>
  <c r="N111" i="8"/>
  <c r="N112" i="8"/>
  <c r="N113" i="8"/>
  <c r="N114" i="8"/>
  <c r="N115" i="8"/>
  <c r="N116" i="8"/>
  <c r="O116" i="8" s="1"/>
  <c r="P116" i="8" s="1"/>
  <c r="Q116" i="8" s="1"/>
  <c r="N117" i="8"/>
  <c r="N118" i="8"/>
  <c r="N119" i="8"/>
  <c r="N120" i="8"/>
  <c r="N121" i="8"/>
  <c r="N122" i="8"/>
  <c r="N123" i="8"/>
  <c r="N124" i="8"/>
  <c r="N125" i="8"/>
  <c r="N126" i="8"/>
  <c r="N127" i="8"/>
  <c r="O127" i="8" s="1"/>
  <c r="P127" i="8" s="1"/>
  <c r="Q127" i="8" s="1"/>
  <c r="N128" i="8"/>
  <c r="N129" i="8"/>
  <c r="N130" i="8"/>
  <c r="O130" i="8" s="1"/>
  <c r="P130" i="8" s="1"/>
  <c r="Q130" i="8" s="1"/>
  <c r="N131" i="8"/>
  <c r="N132" i="8"/>
  <c r="N133" i="8"/>
  <c r="N134" i="8"/>
  <c r="N135" i="8"/>
  <c r="O135" i="8" s="1"/>
  <c r="P135" i="8" s="1"/>
  <c r="Q135" i="8" s="1"/>
  <c r="N136" i="8"/>
  <c r="N137" i="8"/>
  <c r="N138" i="8"/>
  <c r="N139" i="8"/>
  <c r="N140" i="8"/>
  <c r="N141" i="8"/>
  <c r="N142" i="8"/>
  <c r="N143" i="8"/>
  <c r="N144" i="8"/>
  <c r="N145" i="8"/>
  <c r="N146" i="8"/>
  <c r="N147" i="8"/>
  <c r="O147" i="8" s="1"/>
  <c r="P147" i="8" s="1"/>
  <c r="Q147" i="8" s="1"/>
  <c r="N148" i="8"/>
  <c r="N149" i="8"/>
  <c r="N150" i="8"/>
  <c r="N151" i="8"/>
  <c r="N152" i="8"/>
  <c r="N153" i="8"/>
  <c r="N154" i="8"/>
  <c r="N155" i="8"/>
  <c r="N156" i="8"/>
  <c r="O156" i="8" s="1"/>
  <c r="P156" i="8" s="1"/>
  <c r="Q156" i="8" s="1"/>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O183" i="8" s="1"/>
  <c r="P183" i="8" s="1"/>
  <c r="Q183" i="8" s="1"/>
  <c r="N184" i="8"/>
  <c r="N185" i="8"/>
  <c r="N186" i="8"/>
  <c r="N187" i="8"/>
  <c r="N188" i="8"/>
  <c r="O188" i="8" s="1"/>
  <c r="P188" i="8" s="1"/>
  <c r="Q188" i="8" s="1"/>
  <c r="N189" i="8"/>
  <c r="N190" i="8"/>
  <c r="N191" i="8"/>
  <c r="N192" i="8"/>
  <c r="N193" i="8"/>
  <c r="N194" i="8"/>
  <c r="N195" i="8"/>
  <c r="N196" i="8"/>
  <c r="N197" i="8"/>
  <c r="N198" i="8"/>
  <c r="N199" i="8"/>
  <c r="O199" i="8" s="1"/>
  <c r="N200" i="8"/>
  <c r="N201" i="8"/>
  <c r="N202" i="8"/>
  <c r="N203" i="8"/>
  <c r="N204" i="8"/>
  <c r="N205" i="8"/>
  <c r="N206" i="8"/>
  <c r="N207" i="8"/>
  <c r="N208" i="8"/>
  <c r="N93" i="8"/>
  <c r="N94" i="8"/>
  <c r="N95" i="8"/>
  <c r="O96" i="8"/>
  <c r="P96" i="8" s="1"/>
  <c r="Q96" i="8" s="1"/>
  <c r="O97" i="8"/>
  <c r="P97" i="8" s="1"/>
  <c r="Q97" i="8" s="1"/>
  <c r="O98" i="8"/>
  <c r="P98" i="8" s="1"/>
  <c r="Q98" i="8" s="1"/>
  <c r="O99" i="8"/>
  <c r="P99" i="8" s="1"/>
  <c r="Q99" i="8" s="1"/>
  <c r="O100" i="8"/>
  <c r="P100" i="8" s="1"/>
  <c r="Q100" i="8" s="1"/>
  <c r="O101" i="8"/>
  <c r="P101" i="8" s="1"/>
  <c r="Q101" i="8" s="1"/>
  <c r="O102" i="8"/>
  <c r="P102" i="8" s="1"/>
  <c r="Q102" i="8" s="1"/>
  <c r="O103" i="8"/>
  <c r="P103" i="8" s="1"/>
  <c r="Q103" i="8" s="1"/>
  <c r="O104" i="8"/>
  <c r="P104" i="8" s="1"/>
  <c r="Q104" i="8" s="1"/>
  <c r="O105" i="8"/>
  <c r="P105" i="8" s="1"/>
  <c r="Q105" i="8" s="1"/>
  <c r="O106" i="8"/>
  <c r="P106" i="8" s="1"/>
  <c r="Q106" i="8" s="1"/>
  <c r="O107" i="8"/>
  <c r="P107" i="8" s="1"/>
  <c r="Q107" i="8" s="1"/>
  <c r="O108" i="8"/>
  <c r="P108" i="8" s="1"/>
  <c r="Q108" i="8" s="1"/>
  <c r="O109" i="8"/>
  <c r="P109" i="8" s="1"/>
  <c r="Q109" i="8" s="1"/>
  <c r="O110" i="8"/>
  <c r="P110" i="8" s="1"/>
  <c r="Q110" i="8" s="1"/>
  <c r="O111" i="8"/>
  <c r="P111" i="8" s="1"/>
  <c r="Q111" i="8" s="1"/>
  <c r="O112" i="8"/>
  <c r="P112" i="8" s="1"/>
  <c r="Q112" i="8" s="1"/>
  <c r="O113" i="8"/>
  <c r="P113" i="8" s="1"/>
  <c r="Q113" i="8" s="1"/>
  <c r="O114" i="8"/>
  <c r="P114" i="8" s="1"/>
  <c r="Q114" i="8" s="1"/>
  <c r="O115" i="8"/>
  <c r="P115" i="8" s="1"/>
  <c r="Q115" i="8" s="1"/>
  <c r="O117" i="8"/>
  <c r="P117" i="8" s="1"/>
  <c r="Q117" i="8" s="1"/>
  <c r="O118" i="8"/>
  <c r="P118" i="8" s="1"/>
  <c r="Q118" i="8" s="1"/>
  <c r="O119" i="8"/>
  <c r="P119" i="8" s="1"/>
  <c r="Q119" i="8" s="1"/>
  <c r="O120" i="8"/>
  <c r="P120" i="8" s="1"/>
  <c r="Q120" i="8" s="1"/>
  <c r="O121" i="8"/>
  <c r="P121" i="8" s="1"/>
  <c r="Q121" i="8" s="1"/>
  <c r="O122" i="8"/>
  <c r="P122" i="8" s="1"/>
  <c r="Q122" i="8" s="1"/>
  <c r="O123" i="8"/>
  <c r="P123" i="8" s="1"/>
  <c r="Q123" i="8" s="1"/>
  <c r="O124" i="8"/>
  <c r="P124" i="8" s="1"/>
  <c r="Q124" i="8" s="1"/>
  <c r="O125" i="8"/>
  <c r="P125" i="8" s="1"/>
  <c r="Q125" i="8" s="1"/>
  <c r="O126" i="8"/>
  <c r="P126" i="8" s="1"/>
  <c r="Q126" i="8" s="1"/>
  <c r="O128" i="8"/>
  <c r="P128" i="8" s="1"/>
  <c r="Q128" i="8" s="1"/>
  <c r="O129" i="8"/>
  <c r="P129" i="8" s="1"/>
  <c r="Q129" i="8" s="1"/>
  <c r="O131" i="8"/>
  <c r="P131" i="8" s="1"/>
  <c r="Q131" i="8" s="1"/>
  <c r="O132" i="8"/>
  <c r="P132" i="8" s="1"/>
  <c r="Q132" i="8" s="1"/>
  <c r="O133" i="8"/>
  <c r="P133" i="8" s="1"/>
  <c r="Q133" i="8" s="1"/>
  <c r="O134" i="8"/>
  <c r="P134" i="8" s="1"/>
  <c r="Q134" i="8" s="1"/>
  <c r="O136" i="8"/>
  <c r="P136" i="8" s="1"/>
  <c r="Q136" i="8" s="1"/>
  <c r="O137" i="8"/>
  <c r="P137" i="8" s="1"/>
  <c r="Q137" i="8" s="1"/>
  <c r="O138" i="8"/>
  <c r="P138" i="8" s="1"/>
  <c r="Q138" i="8" s="1"/>
  <c r="O139" i="8"/>
  <c r="P139" i="8" s="1"/>
  <c r="Q139" i="8" s="1"/>
  <c r="O140" i="8"/>
  <c r="P140" i="8" s="1"/>
  <c r="Q140" i="8" s="1"/>
  <c r="O141" i="8"/>
  <c r="P141" i="8" s="1"/>
  <c r="Q141" i="8" s="1"/>
  <c r="O142" i="8"/>
  <c r="P142" i="8" s="1"/>
  <c r="Q142" i="8" s="1"/>
  <c r="O143" i="8"/>
  <c r="P143" i="8" s="1"/>
  <c r="Q143" i="8" s="1"/>
  <c r="O144" i="8"/>
  <c r="P144" i="8" s="1"/>
  <c r="Q144" i="8" s="1"/>
  <c r="O145" i="8"/>
  <c r="P145" i="8" s="1"/>
  <c r="Q145" i="8" s="1"/>
  <c r="O146" i="8"/>
  <c r="P146" i="8" s="1"/>
  <c r="Q146" i="8" s="1"/>
  <c r="O148" i="8"/>
  <c r="P148" i="8" s="1"/>
  <c r="Q148" i="8" s="1"/>
  <c r="O149" i="8"/>
  <c r="P149" i="8" s="1"/>
  <c r="Q149" i="8" s="1"/>
  <c r="O150" i="8"/>
  <c r="P150" i="8" s="1"/>
  <c r="Q150" i="8" s="1"/>
  <c r="O151" i="8"/>
  <c r="P151" i="8" s="1"/>
  <c r="Q151" i="8" s="1"/>
  <c r="O152" i="8"/>
  <c r="P152" i="8" s="1"/>
  <c r="Q152" i="8" s="1"/>
  <c r="O153" i="8"/>
  <c r="P153" i="8" s="1"/>
  <c r="Q153" i="8" s="1"/>
  <c r="O154" i="8"/>
  <c r="P154" i="8" s="1"/>
  <c r="Q154" i="8" s="1"/>
  <c r="O155" i="8"/>
  <c r="P155" i="8" s="1"/>
  <c r="Q155" i="8" s="1"/>
  <c r="O157" i="8"/>
  <c r="P157" i="8" s="1"/>
  <c r="Q157" i="8" s="1"/>
  <c r="O158" i="8"/>
  <c r="P158" i="8" s="1"/>
  <c r="Q158" i="8" s="1"/>
  <c r="O159" i="8"/>
  <c r="P159" i="8" s="1"/>
  <c r="Q159" i="8" s="1"/>
  <c r="O160" i="8"/>
  <c r="P160" i="8" s="1"/>
  <c r="Q160" i="8" s="1"/>
  <c r="O161" i="8"/>
  <c r="P161" i="8" s="1"/>
  <c r="Q161" i="8" s="1"/>
  <c r="O162" i="8"/>
  <c r="P162" i="8" s="1"/>
  <c r="Q162" i="8" s="1"/>
  <c r="O163" i="8"/>
  <c r="P163" i="8" s="1"/>
  <c r="Q163" i="8" s="1"/>
  <c r="O164" i="8"/>
  <c r="P164" i="8" s="1"/>
  <c r="Q164" i="8" s="1"/>
  <c r="O165" i="8"/>
  <c r="P165" i="8" s="1"/>
  <c r="Q165" i="8" s="1"/>
  <c r="O166" i="8"/>
  <c r="P166" i="8" s="1"/>
  <c r="Q166" i="8" s="1"/>
  <c r="O167" i="8"/>
  <c r="P167" i="8" s="1"/>
  <c r="Q167" i="8" s="1"/>
  <c r="O168" i="8"/>
  <c r="P168" i="8" s="1"/>
  <c r="Q168" i="8" s="1"/>
  <c r="O169" i="8"/>
  <c r="P169" i="8" s="1"/>
  <c r="Q169" i="8" s="1"/>
  <c r="O170" i="8"/>
  <c r="P170" i="8" s="1"/>
  <c r="Q170" i="8" s="1"/>
  <c r="O171" i="8"/>
  <c r="P171" i="8" s="1"/>
  <c r="Q171" i="8" s="1"/>
  <c r="O172" i="8"/>
  <c r="P172" i="8" s="1"/>
  <c r="Q172" i="8" s="1"/>
  <c r="O173" i="8"/>
  <c r="P173" i="8" s="1"/>
  <c r="Q173" i="8" s="1"/>
  <c r="O174" i="8"/>
  <c r="P174" i="8" s="1"/>
  <c r="Q174" i="8" s="1"/>
  <c r="O175" i="8"/>
  <c r="P175" i="8" s="1"/>
  <c r="Q175" i="8" s="1"/>
  <c r="O176" i="8"/>
  <c r="P176" i="8" s="1"/>
  <c r="Q176" i="8" s="1"/>
  <c r="O177" i="8"/>
  <c r="P177" i="8" s="1"/>
  <c r="Q177" i="8" s="1"/>
  <c r="O178" i="8"/>
  <c r="P178" i="8" s="1"/>
  <c r="Q178" i="8" s="1"/>
  <c r="O179" i="8"/>
  <c r="P179" i="8" s="1"/>
  <c r="Q179" i="8" s="1"/>
  <c r="O180" i="8"/>
  <c r="P180" i="8" s="1"/>
  <c r="Q180" i="8" s="1"/>
  <c r="O181" i="8"/>
  <c r="P181" i="8" s="1"/>
  <c r="Q181" i="8" s="1"/>
  <c r="O182" i="8"/>
  <c r="P182" i="8" s="1"/>
  <c r="Q182" i="8" s="1"/>
  <c r="O184" i="8"/>
  <c r="P184" i="8" s="1"/>
  <c r="Q184" i="8" s="1"/>
  <c r="O185" i="8"/>
  <c r="P185" i="8" s="1"/>
  <c r="Q185" i="8" s="1"/>
  <c r="O186" i="8"/>
  <c r="P186" i="8" s="1"/>
  <c r="Q186" i="8" s="1"/>
  <c r="O187" i="8"/>
  <c r="P187" i="8" s="1"/>
  <c r="Q187" i="8" s="1"/>
  <c r="O189" i="8"/>
  <c r="P189" i="8" s="1"/>
  <c r="Q189" i="8" s="1"/>
  <c r="O190" i="8"/>
  <c r="O191" i="8"/>
  <c r="O192" i="8"/>
  <c r="O193" i="8"/>
  <c r="O194" i="8"/>
  <c r="O195" i="8"/>
  <c r="O196" i="8"/>
  <c r="O197" i="8"/>
  <c r="O198" i="8"/>
  <c r="O200" i="8"/>
  <c r="O201" i="8"/>
  <c r="O202" i="8"/>
  <c r="O203" i="8"/>
  <c r="O204" i="8"/>
  <c r="O205" i="8"/>
  <c r="O206" i="8"/>
  <c r="O207" i="8"/>
  <c r="O208" i="8"/>
  <c r="O4" i="8"/>
  <c r="P4" i="8" s="1"/>
  <c r="Q4" i="8" s="1"/>
  <c r="O5" i="8"/>
  <c r="P5" i="8" s="1"/>
  <c r="Q5" i="8" s="1"/>
  <c r="O6" i="8"/>
  <c r="P6" i="8" s="1"/>
  <c r="Q6" i="8" s="1"/>
  <c r="O7" i="8"/>
  <c r="P7" i="8" s="1"/>
  <c r="Q7" i="8" s="1"/>
  <c r="O8" i="8"/>
  <c r="P8" i="8" s="1"/>
  <c r="Q8" i="8" s="1"/>
  <c r="O9" i="8"/>
  <c r="P9" i="8" s="1"/>
  <c r="Q9" i="8" s="1"/>
  <c r="O10" i="8"/>
  <c r="P10" i="8" s="1"/>
  <c r="Q10" i="8" s="1"/>
  <c r="O11" i="8"/>
  <c r="P11" i="8" s="1"/>
  <c r="Q11" i="8" s="1"/>
  <c r="O12" i="8"/>
  <c r="P12" i="8" s="1"/>
  <c r="Q12" i="8" s="1"/>
  <c r="O13" i="8"/>
  <c r="P13" i="8" s="1"/>
  <c r="Q13" i="8" s="1"/>
  <c r="O14" i="8"/>
  <c r="P14" i="8" s="1"/>
  <c r="Q14" i="8" s="1"/>
  <c r="O15" i="8"/>
  <c r="P15" i="8" s="1"/>
  <c r="Q15" i="8" s="1"/>
  <c r="O16" i="8"/>
  <c r="P16" i="8" s="1"/>
  <c r="Q16" i="8" s="1"/>
  <c r="O17" i="8"/>
  <c r="P17" i="8" s="1"/>
  <c r="Q17" i="8" s="1"/>
  <c r="O18" i="8"/>
  <c r="P18" i="8" s="1"/>
  <c r="Q18" i="8" s="1"/>
  <c r="O19" i="8"/>
  <c r="P19" i="8" s="1"/>
  <c r="Q19" i="8" s="1"/>
  <c r="O20" i="8"/>
  <c r="P20" i="8" s="1"/>
  <c r="Q20" i="8" s="1"/>
  <c r="O21" i="8"/>
  <c r="P21" i="8" s="1"/>
  <c r="Q21" i="8" s="1"/>
  <c r="O22" i="8"/>
  <c r="P22" i="8" s="1"/>
  <c r="Q22" i="8" s="1"/>
  <c r="O23" i="8"/>
  <c r="P23" i="8" s="1"/>
  <c r="Q23" i="8" s="1"/>
  <c r="O24" i="8"/>
  <c r="P24" i="8" s="1"/>
  <c r="Q24" i="8" s="1"/>
  <c r="O25" i="8"/>
  <c r="P25" i="8" s="1"/>
  <c r="Q25" i="8" s="1"/>
  <c r="O26" i="8"/>
  <c r="P26" i="8" s="1"/>
  <c r="Q26" i="8" s="1"/>
  <c r="O27" i="8"/>
  <c r="P27" i="8" s="1"/>
  <c r="Q27" i="8" s="1"/>
  <c r="O28" i="8"/>
  <c r="P28" i="8" s="1"/>
  <c r="Q28" i="8" s="1"/>
  <c r="O29" i="8"/>
  <c r="P29" i="8" s="1"/>
  <c r="Q29" i="8" s="1"/>
  <c r="O30" i="8"/>
  <c r="P30" i="8" s="1"/>
  <c r="Q30" i="8" s="1"/>
  <c r="O31" i="8"/>
  <c r="P31" i="8" s="1"/>
  <c r="Q31" i="8" s="1"/>
  <c r="O32" i="8"/>
  <c r="P32" i="8" s="1"/>
  <c r="Q32" i="8" s="1"/>
  <c r="O33" i="8"/>
  <c r="P33" i="8" s="1"/>
  <c r="Q33" i="8" s="1"/>
  <c r="O34" i="8"/>
  <c r="P34" i="8" s="1"/>
  <c r="Q34" i="8" s="1"/>
  <c r="O35" i="8"/>
  <c r="P35" i="8" s="1"/>
  <c r="Q35" i="8" s="1"/>
  <c r="O36" i="8"/>
  <c r="P36" i="8" s="1"/>
  <c r="Q36" i="8" s="1"/>
  <c r="O37" i="8"/>
  <c r="P37" i="8" s="1"/>
  <c r="Q37" i="8" s="1"/>
  <c r="O38" i="8"/>
  <c r="P38" i="8" s="1"/>
  <c r="Q38" i="8" s="1"/>
  <c r="O39" i="8"/>
  <c r="P39" i="8" s="1"/>
  <c r="Q39" i="8" s="1"/>
  <c r="O43" i="8"/>
  <c r="P43" i="8" s="1"/>
  <c r="Q43" i="8" s="1"/>
  <c r="O44" i="8"/>
  <c r="P44" i="8" s="1"/>
  <c r="Q44" i="8" s="1"/>
  <c r="O45" i="8"/>
  <c r="P45" i="8" s="1"/>
  <c r="Q45" i="8" s="1"/>
  <c r="O46" i="8"/>
  <c r="P46" i="8" s="1"/>
  <c r="Q46" i="8" s="1"/>
  <c r="O47" i="8"/>
  <c r="P47" i="8" s="1"/>
  <c r="Q47" i="8" s="1"/>
  <c r="O48" i="8"/>
  <c r="P48" i="8" s="1"/>
  <c r="Q48" i="8" s="1"/>
  <c r="O49" i="8"/>
  <c r="P49" i="8" s="1"/>
  <c r="Q49" i="8" s="1"/>
  <c r="O50" i="8"/>
  <c r="P50" i="8" s="1"/>
  <c r="Q50" i="8" s="1"/>
  <c r="O51" i="8"/>
  <c r="P51" i="8" s="1"/>
  <c r="Q51" i="8" s="1"/>
  <c r="O52" i="8"/>
  <c r="P52" i="8" s="1"/>
  <c r="Q52" i="8" s="1"/>
  <c r="O53" i="8"/>
  <c r="P53" i="8" s="1"/>
  <c r="Q53" i="8" s="1"/>
  <c r="O54" i="8"/>
  <c r="P54" i="8" s="1"/>
  <c r="Q54" i="8" s="1"/>
  <c r="O55" i="8"/>
  <c r="P55" i="8" s="1"/>
  <c r="Q55" i="8" s="1"/>
  <c r="O57" i="8"/>
  <c r="P57" i="8" s="1"/>
  <c r="Q57" i="8" s="1"/>
  <c r="O58" i="8"/>
  <c r="P58" i="8" s="1"/>
  <c r="Q58" i="8" s="1"/>
  <c r="O59" i="8"/>
  <c r="P59" i="8" s="1"/>
  <c r="Q59" i="8" s="1"/>
  <c r="O60" i="8"/>
  <c r="P60" i="8" s="1"/>
  <c r="Q60" i="8" s="1"/>
  <c r="O61" i="8"/>
  <c r="P61" i="8" s="1"/>
  <c r="Q61" i="8" s="1"/>
  <c r="O62" i="8"/>
  <c r="P62" i="8" s="1"/>
  <c r="Q62" i="8" s="1"/>
  <c r="O63" i="8"/>
  <c r="P63" i="8" s="1"/>
  <c r="Q63" i="8" s="1"/>
  <c r="O64" i="8"/>
  <c r="P64" i="8" s="1"/>
  <c r="Q64" i="8" s="1"/>
  <c r="O65" i="8"/>
  <c r="P65" i="8" s="1"/>
  <c r="Q65" i="8" s="1"/>
  <c r="O66" i="8"/>
  <c r="P66" i="8" s="1"/>
  <c r="Q66" i="8" s="1"/>
  <c r="O67" i="8"/>
  <c r="P67" i="8" s="1"/>
  <c r="Q67" i="8" s="1"/>
  <c r="O68" i="8"/>
  <c r="P68" i="8" s="1"/>
  <c r="Q68" i="8" s="1"/>
  <c r="O69" i="8"/>
  <c r="P69" i="8" s="1"/>
  <c r="Q69" i="8" s="1"/>
  <c r="O70" i="8"/>
  <c r="P70" i="8" s="1"/>
  <c r="Q70" i="8" s="1"/>
  <c r="O71" i="8"/>
  <c r="P71" i="8" s="1"/>
  <c r="Q71" i="8" s="1"/>
  <c r="O73" i="8"/>
  <c r="P73" i="8" s="1"/>
  <c r="Q73" i="8" s="1"/>
  <c r="O74" i="8"/>
  <c r="P74" i="8" s="1"/>
  <c r="Q74" i="8" s="1"/>
  <c r="O75" i="8"/>
  <c r="P75" i="8" s="1"/>
  <c r="Q75" i="8" s="1"/>
  <c r="O76" i="8"/>
  <c r="P76" i="8" s="1"/>
  <c r="Q76" i="8" s="1"/>
  <c r="O77" i="8"/>
  <c r="P77" i="8" s="1"/>
  <c r="Q77" i="8" s="1"/>
  <c r="O78" i="8"/>
  <c r="P78" i="8" s="1"/>
  <c r="Q78" i="8" s="1"/>
  <c r="O79" i="8"/>
  <c r="P79" i="8" s="1"/>
  <c r="Q79" i="8" s="1"/>
  <c r="O82" i="8"/>
  <c r="P82" i="8" s="1"/>
  <c r="Q82" i="8" s="1"/>
  <c r="O83" i="8"/>
  <c r="P83" i="8" s="1"/>
  <c r="Q83" i="8" s="1"/>
  <c r="O84" i="8"/>
  <c r="P84" i="8" s="1"/>
  <c r="Q84" i="8" s="1"/>
  <c r="O85" i="8"/>
  <c r="P85" i="8" s="1"/>
  <c r="Q85" i="8" s="1"/>
  <c r="O86" i="8"/>
  <c r="P86" i="8" s="1"/>
  <c r="Q86" i="8" s="1"/>
  <c r="O87" i="8"/>
  <c r="P87" i="8" s="1"/>
  <c r="Q87" i="8" s="1"/>
  <c r="O88" i="8"/>
  <c r="P88" i="8" s="1"/>
  <c r="Q88" i="8" s="1"/>
  <c r="O89" i="8"/>
  <c r="P89" i="8" s="1"/>
  <c r="Q89" i="8" s="1"/>
  <c r="O90" i="8"/>
  <c r="P90" i="8" s="1"/>
  <c r="Q90" i="8" s="1"/>
  <c r="O91" i="8"/>
  <c r="P91" i="8" s="1"/>
  <c r="Q91" i="8" s="1"/>
  <c r="O92" i="8"/>
  <c r="P92" i="8" s="1"/>
  <c r="Q92" i="8" s="1"/>
  <c r="O93" i="8"/>
  <c r="P93" i="8" s="1"/>
  <c r="Q93" i="8" s="1"/>
  <c r="O94" i="8"/>
  <c r="P94" i="8" s="1"/>
  <c r="Q94" i="8" s="1"/>
  <c r="O95" i="8"/>
  <c r="P95" i="8" s="1"/>
  <c r="Q95" i="8" s="1"/>
  <c r="O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O40" i="8" s="1"/>
  <c r="P40" i="8" s="1"/>
  <c r="Q40" i="8" s="1"/>
  <c r="N41" i="8"/>
  <c r="O41" i="8" s="1"/>
  <c r="P41" i="8" s="1"/>
  <c r="Q41" i="8" s="1"/>
  <c r="N42" i="8"/>
  <c r="O42" i="8" s="1"/>
  <c r="P42" i="8" s="1"/>
  <c r="Q42" i="8" s="1"/>
  <c r="N43" i="8"/>
  <c r="N44" i="8"/>
  <c r="N45" i="8"/>
  <c r="N46" i="8"/>
  <c r="N47" i="8"/>
  <c r="N48" i="8"/>
  <c r="N49" i="8"/>
  <c r="N50" i="8"/>
  <c r="N51" i="8"/>
  <c r="N52" i="8"/>
  <c r="N53" i="8"/>
  <c r="N54" i="8"/>
  <c r="N55" i="8"/>
  <c r="N56" i="8"/>
  <c r="O56" i="8" s="1"/>
  <c r="P56" i="8" s="1"/>
  <c r="Q56" i="8" s="1"/>
  <c r="N57" i="8"/>
  <c r="N58" i="8"/>
  <c r="N59" i="8"/>
  <c r="N60" i="8"/>
  <c r="N61" i="8"/>
  <c r="N62" i="8"/>
  <c r="N63" i="8"/>
  <c r="N64" i="8"/>
  <c r="N65" i="8"/>
  <c r="N66" i="8"/>
  <c r="N67" i="8"/>
  <c r="N68" i="8"/>
  <c r="N69" i="8"/>
  <c r="N70" i="8"/>
  <c r="N71" i="8"/>
  <c r="N72" i="8"/>
  <c r="O72" i="8" s="1"/>
  <c r="P72" i="8" s="1"/>
  <c r="Q72" i="8" s="1"/>
  <c r="N73" i="8"/>
  <c r="N74" i="8"/>
  <c r="N75" i="8"/>
  <c r="N76" i="8"/>
  <c r="N77" i="8"/>
  <c r="N78" i="8"/>
  <c r="N79" i="8"/>
  <c r="N80" i="8"/>
  <c r="O80" i="8" s="1"/>
  <c r="P80" i="8" s="1"/>
  <c r="Q80" i="8" s="1"/>
  <c r="N81" i="8"/>
  <c r="O81" i="8" s="1"/>
  <c r="P81" i="8" s="1"/>
  <c r="Q81" i="8" s="1"/>
  <c r="N82" i="8"/>
  <c r="N83" i="8"/>
  <c r="N84" i="8"/>
  <c r="N85" i="8"/>
  <c r="N86" i="8"/>
  <c r="N87" i="8"/>
  <c r="N88" i="8"/>
  <c r="N89" i="8"/>
  <c r="N90" i="8"/>
  <c r="N91" i="8"/>
  <c r="N92" i="8"/>
  <c r="N3" i="8"/>
  <c r="O14" i="7"/>
  <c r="O4" i="6"/>
  <c r="O5" i="6"/>
  <c r="O6" i="6"/>
  <c r="O9" i="6"/>
  <c r="O10" i="6"/>
  <c r="O11" i="6"/>
  <c r="O13" i="6"/>
  <c r="O14" i="6"/>
  <c r="O15" i="6"/>
  <c r="O16" i="6"/>
  <c r="O18" i="6"/>
  <c r="O19" i="6"/>
  <c r="O20" i="6"/>
  <c r="O21" i="6"/>
  <c r="O24" i="6"/>
  <c r="O27" i="6"/>
  <c r="O28" i="6"/>
  <c r="O31" i="6"/>
  <c r="O32" i="6"/>
  <c r="O33" i="6"/>
  <c r="O35" i="6"/>
  <c r="O36" i="6"/>
  <c r="O37" i="6"/>
  <c r="O38" i="6"/>
  <c r="O39" i="6"/>
  <c r="O42" i="6"/>
  <c r="O43" i="6"/>
  <c r="O44" i="6"/>
  <c r="O46" i="6"/>
  <c r="O47" i="6"/>
  <c r="O48" i="6"/>
  <c r="O49" i="6"/>
  <c r="O50" i="6"/>
  <c r="O51" i="6"/>
  <c r="O52" i="6"/>
  <c r="O53" i="6"/>
  <c r="O54" i="6"/>
  <c r="O55" i="6"/>
  <c r="O56" i="6"/>
  <c r="O57" i="6"/>
  <c r="O58" i="6"/>
  <c r="O59" i="6"/>
  <c r="O60" i="6"/>
  <c r="O62" i="6"/>
  <c r="O63" i="6"/>
  <c r="O64" i="6"/>
  <c r="O65" i="6"/>
  <c r="O66" i="6"/>
  <c r="O67" i="6"/>
  <c r="O68" i="6"/>
  <c r="O70" i="6"/>
  <c r="O71" i="6"/>
  <c r="O72" i="6"/>
  <c r="O73" i="6"/>
  <c r="O74" i="6"/>
  <c r="O75" i="6"/>
  <c r="O76" i="6"/>
  <c r="O77" i="6"/>
  <c r="O78" i="6"/>
  <c r="O79" i="6"/>
  <c r="O80" i="6"/>
  <c r="O81" i="6"/>
  <c r="O82" i="6"/>
  <c r="O83" i="6"/>
  <c r="O84" i="6"/>
  <c r="O85" i="6"/>
  <c r="O86" i="6"/>
  <c r="O88" i="6"/>
  <c r="O89" i="6"/>
  <c r="O90" i="6"/>
  <c r="O92" i="6"/>
  <c r="O93" i="6"/>
  <c r="O94" i="6"/>
  <c r="O95" i="6"/>
  <c r="O96" i="6"/>
  <c r="O97" i="6"/>
  <c r="O98" i="6"/>
  <c r="O101" i="6"/>
  <c r="O104" i="6"/>
  <c r="O105" i="6"/>
  <c r="O106" i="6"/>
  <c r="N4" i="6"/>
  <c r="N5" i="6"/>
  <c r="N6" i="6"/>
  <c r="N7" i="6"/>
  <c r="O7" i="6" s="1"/>
  <c r="N8" i="6"/>
  <c r="O8" i="6" s="1"/>
  <c r="N9" i="6"/>
  <c r="N10" i="6"/>
  <c r="N11" i="6"/>
  <c r="N12" i="6"/>
  <c r="O12" i="6" s="1"/>
  <c r="N13" i="6"/>
  <c r="N14" i="6"/>
  <c r="N15" i="6"/>
  <c r="N16" i="6"/>
  <c r="N17" i="6"/>
  <c r="O17" i="6" s="1"/>
  <c r="N18" i="6"/>
  <c r="N19" i="6"/>
  <c r="N20" i="6"/>
  <c r="N21" i="6"/>
  <c r="N22" i="6"/>
  <c r="O22" i="6" s="1"/>
  <c r="N23" i="6"/>
  <c r="O23" i="6" s="1"/>
  <c r="N24" i="6"/>
  <c r="N25" i="6"/>
  <c r="O25" i="6" s="1"/>
  <c r="N26" i="6"/>
  <c r="O26" i="6" s="1"/>
  <c r="N27" i="6"/>
  <c r="N28" i="6"/>
  <c r="N29" i="6"/>
  <c r="O29" i="6" s="1"/>
  <c r="N30" i="6"/>
  <c r="O30" i="6" s="1"/>
  <c r="N31" i="6"/>
  <c r="N32" i="6"/>
  <c r="N33" i="6"/>
  <c r="N34" i="6"/>
  <c r="O34" i="6" s="1"/>
  <c r="N35" i="6"/>
  <c r="N36" i="6"/>
  <c r="N37" i="6"/>
  <c r="N38" i="6"/>
  <c r="N39" i="6"/>
  <c r="N40" i="6"/>
  <c r="O40" i="6" s="1"/>
  <c r="N41" i="6"/>
  <c r="O41" i="6" s="1"/>
  <c r="N42" i="6"/>
  <c r="N43" i="6"/>
  <c r="N44" i="6"/>
  <c r="N45" i="6"/>
  <c r="O45" i="6" s="1"/>
  <c r="N46" i="6"/>
  <c r="N47" i="6"/>
  <c r="N48" i="6"/>
  <c r="N49" i="6"/>
  <c r="N50" i="6"/>
  <c r="N51" i="6"/>
  <c r="N52" i="6"/>
  <c r="N53" i="6"/>
  <c r="N54" i="6"/>
  <c r="N55" i="6"/>
  <c r="N56" i="6"/>
  <c r="N57" i="6"/>
  <c r="N58" i="6"/>
  <c r="N59" i="6"/>
  <c r="N60" i="6"/>
  <c r="N61" i="6"/>
  <c r="O61" i="6" s="1"/>
  <c r="N62" i="6"/>
  <c r="N63" i="6"/>
  <c r="N64" i="6"/>
  <c r="N65" i="6"/>
  <c r="N66" i="6"/>
  <c r="N67" i="6"/>
  <c r="N68" i="6"/>
  <c r="N69" i="6"/>
  <c r="O69" i="6" s="1"/>
  <c r="N70" i="6"/>
  <c r="N71" i="6"/>
  <c r="N72" i="6"/>
  <c r="N73" i="6"/>
  <c r="N74" i="6"/>
  <c r="N75" i="6"/>
  <c r="N76" i="6"/>
  <c r="N77" i="6"/>
  <c r="N78" i="6"/>
  <c r="N79" i="6"/>
  <c r="N80" i="6"/>
  <c r="N81" i="6"/>
  <c r="N82" i="6"/>
  <c r="N83" i="6"/>
  <c r="N84" i="6"/>
  <c r="N85" i="6"/>
  <c r="N86" i="6"/>
  <c r="N87" i="6"/>
  <c r="O87" i="6" s="1"/>
  <c r="N88" i="6"/>
  <c r="N89" i="6"/>
  <c r="N90" i="6"/>
  <c r="N91" i="6"/>
  <c r="O91" i="6" s="1"/>
  <c r="N92" i="6"/>
  <c r="N93" i="6"/>
  <c r="N94" i="6"/>
  <c r="N95" i="6"/>
  <c r="N96" i="6"/>
  <c r="N97" i="6"/>
  <c r="N98" i="6"/>
  <c r="N99" i="6"/>
  <c r="O99" i="6" s="1"/>
  <c r="N100" i="6"/>
  <c r="O100" i="6" s="1"/>
  <c r="N101" i="6"/>
  <c r="N102" i="6"/>
  <c r="O102" i="6" s="1"/>
  <c r="N103" i="6"/>
  <c r="O103" i="6" s="1"/>
  <c r="N104" i="6"/>
  <c r="N105" i="6"/>
  <c r="N106" i="6"/>
  <c r="N3" i="6"/>
  <c r="N4" i="7"/>
  <c r="O4" i="7" s="1"/>
  <c r="N5" i="7"/>
  <c r="N6" i="7"/>
  <c r="N7" i="7"/>
  <c r="N8" i="7"/>
  <c r="O8" i="7" s="1"/>
  <c r="N9" i="7"/>
  <c r="N10" i="7"/>
  <c r="N11" i="7"/>
  <c r="O11" i="7" s="1"/>
  <c r="N12" i="7"/>
  <c r="O12" i="7" s="1"/>
  <c r="N13" i="7"/>
  <c r="N14" i="7"/>
  <c r="N15" i="7"/>
  <c r="N16" i="7"/>
  <c r="N17" i="7"/>
  <c r="O17" i="7" s="1"/>
  <c r="N18" i="7"/>
  <c r="N19" i="7"/>
  <c r="N20" i="7"/>
  <c r="N21" i="7"/>
  <c r="N22" i="7"/>
  <c r="N23" i="7"/>
  <c r="N24" i="7"/>
  <c r="N25" i="7"/>
  <c r="O25" i="7" s="1"/>
  <c r="N26" i="7"/>
  <c r="O26" i="7" s="1"/>
  <c r="N27" i="7"/>
  <c r="N28" i="7"/>
  <c r="N29" i="7"/>
  <c r="O29" i="7" s="1"/>
  <c r="N30" i="7"/>
  <c r="O30" i="7" s="1"/>
  <c r="N31" i="7"/>
  <c r="O31" i="7" s="1"/>
  <c r="N32" i="7"/>
  <c r="N33" i="7"/>
  <c r="O33" i="7" s="1"/>
  <c r="N34" i="7"/>
  <c r="N35" i="7"/>
  <c r="N36" i="7"/>
  <c r="N37" i="7"/>
  <c r="N38" i="7"/>
  <c r="N39" i="7"/>
  <c r="O39" i="7" s="1"/>
  <c r="N40" i="7"/>
  <c r="N41" i="7"/>
  <c r="O41" i="7" s="1"/>
  <c r="N42" i="7"/>
  <c r="O42" i="7" s="1"/>
  <c r="N43" i="7"/>
  <c r="N44" i="7"/>
  <c r="O44" i="7" s="1"/>
  <c r="N45" i="7"/>
  <c r="N46" i="7"/>
  <c r="N47" i="7"/>
  <c r="N48" i="7"/>
  <c r="O48" i="7" s="1"/>
  <c r="N49" i="7"/>
  <c r="O49" i="7" s="1"/>
  <c r="N50" i="7"/>
  <c r="O50" i="7" s="1"/>
  <c r="N51" i="7"/>
  <c r="N52" i="7"/>
  <c r="O52" i="7" s="1"/>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3" i="7"/>
  <c r="O5" i="7"/>
  <c r="O6" i="7"/>
  <c r="O7" i="7"/>
  <c r="O9" i="7"/>
  <c r="O10" i="7"/>
  <c r="O13" i="7"/>
  <c r="O15" i="7"/>
  <c r="O16" i="7"/>
  <c r="O18" i="7"/>
  <c r="O19" i="7"/>
  <c r="O20" i="7"/>
  <c r="O21" i="7"/>
  <c r="O22" i="7"/>
  <c r="O23" i="7"/>
  <c r="O24" i="7"/>
  <c r="O27" i="7"/>
  <c r="O28" i="7"/>
  <c r="O32" i="7"/>
  <c r="O34" i="7"/>
  <c r="O35" i="7"/>
  <c r="O36" i="7"/>
  <c r="O37" i="7"/>
  <c r="O38" i="7"/>
  <c r="O40" i="7"/>
  <c r="O43" i="7"/>
  <c r="O45" i="7"/>
  <c r="O46" i="7"/>
  <c r="O47" i="7"/>
  <c r="O51"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3" i="7"/>
  <c r="P190" i="15" l="1"/>
  <c r="Q190" i="15" s="1"/>
  <c r="P189" i="15"/>
  <c r="Q189" i="15" s="1"/>
  <c r="P188" i="15"/>
  <c r="Q188" i="15" s="1"/>
  <c r="P187" i="15"/>
  <c r="Q187" i="15" s="1"/>
  <c r="P186" i="15"/>
  <c r="Q186" i="15" s="1"/>
  <c r="P185" i="15"/>
  <c r="Q185" i="15" s="1"/>
  <c r="P184" i="15"/>
  <c r="Q184" i="15" s="1"/>
  <c r="P183" i="15"/>
  <c r="Q183" i="15" s="1"/>
  <c r="P182" i="15"/>
  <c r="Q182" i="15" s="1"/>
  <c r="Q181" i="15"/>
  <c r="P181" i="15"/>
  <c r="P180" i="15"/>
  <c r="Q180" i="15" s="1"/>
  <c r="P179" i="15"/>
  <c r="Q179" i="15" s="1"/>
  <c r="P178" i="15"/>
  <c r="Q178" i="15" s="1"/>
  <c r="P177" i="15"/>
  <c r="Q177" i="15" s="1"/>
  <c r="P176" i="15"/>
  <c r="Q176" i="15" s="1"/>
  <c r="P175" i="15"/>
  <c r="Q175" i="15" s="1"/>
  <c r="P174" i="15"/>
  <c r="Q174" i="15" s="1"/>
  <c r="P173" i="15"/>
  <c r="Q173" i="15" s="1"/>
  <c r="P172" i="15"/>
  <c r="Q172" i="15" s="1"/>
  <c r="P171" i="15"/>
  <c r="Q171" i="15" s="1"/>
  <c r="P170" i="15"/>
  <c r="Q170" i="15" s="1"/>
  <c r="P169" i="15"/>
  <c r="Q169" i="15" s="1"/>
  <c r="P168" i="15"/>
  <c r="Q168" i="15" s="1"/>
  <c r="P167" i="15"/>
  <c r="Q167" i="15" s="1"/>
  <c r="P166" i="15"/>
  <c r="Q166" i="15" s="1"/>
  <c r="Q165" i="15"/>
  <c r="P165" i="15"/>
  <c r="P164" i="15"/>
  <c r="Q164" i="15" s="1"/>
  <c r="P163" i="15"/>
  <c r="Q163" i="15" s="1"/>
  <c r="P162" i="15"/>
  <c r="Q162" i="15" s="1"/>
  <c r="P161" i="15"/>
  <c r="Q161" i="15" s="1"/>
  <c r="P160" i="15"/>
  <c r="Q160" i="15" s="1"/>
  <c r="P159" i="15"/>
  <c r="Q159" i="15" s="1"/>
  <c r="P158" i="15"/>
  <c r="Q158" i="15" s="1"/>
  <c r="P157" i="15"/>
  <c r="Q157" i="15" s="1"/>
  <c r="P156" i="15"/>
  <c r="Q156" i="15" s="1"/>
  <c r="P155" i="15"/>
  <c r="Q155" i="15" s="1"/>
  <c r="P154" i="15"/>
  <c r="Q154" i="15" s="1"/>
  <c r="P153" i="15"/>
  <c r="Q153" i="15" s="1"/>
  <c r="P152" i="15"/>
  <c r="Q152" i="15" s="1"/>
  <c r="P151" i="15"/>
  <c r="Q151" i="15" s="1"/>
  <c r="P150" i="15"/>
  <c r="Q150" i="15" s="1"/>
  <c r="Q149" i="15"/>
  <c r="P149" i="15"/>
  <c r="P148" i="15"/>
  <c r="Q148" i="15" s="1"/>
  <c r="P147" i="15"/>
  <c r="Q147" i="15" s="1"/>
  <c r="P146" i="15"/>
  <c r="Q146" i="15" s="1"/>
  <c r="Q145" i="15"/>
  <c r="P145" i="15"/>
  <c r="P144" i="15"/>
  <c r="Q144" i="15" s="1"/>
  <c r="P143" i="15"/>
  <c r="Q143" i="15" s="1"/>
  <c r="P142" i="15"/>
  <c r="Q142" i="15" s="1"/>
  <c r="P141" i="15"/>
  <c r="Q141" i="15" s="1"/>
  <c r="P140" i="15"/>
  <c r="Q140" i="15" s="1"/>
  <c r="P139" i="15"/>
  <c r="Q139" i="15" s="1"/>
  <c r="P138" i="15"/>
  <c r="Q138" i="15" s="1"/>
  <c r="P137" i="15"/>
  <c r="Q137" i="15" s="1"/>
  <c r="P136" i="15"/>
  <c r="Q136" i="15" s="1"/>
  <c r="P135" i="15"/>
  <c r="Q135" i="15" s="1"/>
  <c r="P134" i="15"/>
  <c r="Q134" i="15" s="1"/>
  <c r="Q133" i="15"/>
  <c r="P133" i="15"/>
  <c r="P132" i="15"/>
  <c r="Q132" i="15" s="1"/>
  <c r="P131" i="15"/>
  <c r="Q131" i="15" s="1"/>
  <c r="P130" i="15"/>
  <c r="Q130" i="15" s="1"/>
  <c r="P129" i="15"/>
  <c r="Q129" i="15" s="1"/>
  <c r="P128" i="15"/>
  <c r="Q128" i="15" s="1"/>
  <c r="P127" i="15"/>
  <c r="Q127" i="15" s="1"/>
  <c r="P126" i="15"/>
  <c r="Q126" i="15" s="1"/>
  <c r="P125" i="15"/>
  <c r="Q125" i="15" s="1"/>
  <c r="P124" i="15"/>
  <c r="Q124" i="15" s="1"/>
  <c r="P123" i="15"/>
  <c r="Q123" i="15" s="1"/>
  <c r="P122" i="15"/>
  <c r="Q122" i="15" s="1"/>
  <c r="P121" i="15"/>
  <c r="Q121" i="15" s="1"/>
  <c r="P120" i="15"/>
  <c r="Q120" i="15" s="1"/>
  <c r="P119" i="15"/>
  <c r="Q119" i="15" s="1"/>
  <c r="P118" i="15"/>
  <c r="Q118" i="15" s="1"/>
  <c r="Q117" i="15"/>
  <c r="P117" i="15"/>
  <c r="P116" i="15"/>
  <c r="Q116" i="15" s="1"/>
  <c r="P115" i="15"/>
  <c r="Q115" i="15" s="1"/>
  <c r="P114" i="15"/>
  <c r="Q114" i="15" s="1"/>
  <c r="Q113" i="15"/>
  <c r="P113" i="15"/>
  <c r="P112" i="15"/>
  <c r="Q112" i="15" s="1"/>
  <c r="P111" i="15"/>
  <c r="Q111" i="15" s="1"/>
  <c r="P110" i="15"/>
  <c r="Q110" i="15" s="1"/>
  <c r="P109" i="15"/>
  <c r="Q109" i="15" s="1"/>
  <c r="P108" i="15"/>
  <c r="Q108" i="15" s="1"/>
  <c r="P107" i="15"/>
  <c r="Q107" i="15" s="1"/>
  <c r="P106" i="15"/>
  <c r="Q106" i="15" s="1"/>
  <c r="P105" i="15"/>
  <c r="Q105" i="15" s="1"/>
  <c r="P104" i="15"/>
  <c r="Q104" i="15" s="1"/>
  <c r="P103" i="15"/>
  <c r="Q103" i="15" s="1"/>
  <c r="P102" i="15"/>
  <c r="Q102" i="15" s="1"/>
  <c r="Q101" i="15"/>
  <c r="P101" i="15"/>
  <c r="P100" i="15"/>
  <c r="Q100" i="15" s="1"/>
  <c r="P99" i="15"/>
  <c r="Q99" i="15" s="1"/>
  <c r="P98" i="15"/>
  <c r="Q98" i="15" s="1"/>
  <c r="P97" i="15"/>
  <c r="Q97" i="15" s="1"/>
  <c r="P96" i="15"/>
  <c r="Q96" i="15" s="1"/>
  <c r="P95" i="15"/>
  <c r="Q95" i="15" s="1"/>
  <c r="P94" i="15"/>
  <c r="Q94" i="15" s="1"/>
  <c r="P93" i="15"/>
  <c r="Q93" i="15" s="1"/>
  <c r="P92" i="15"/>
  <c r="Q92" i="15" s="1"/>
  <c r="P91" i="15"/>
  <c r="Q91" i="15" s="1"/>
  <c r="P90" i="15"/>
  <c r="Q90" i="15" s="1"/>
  <c r="P89" i="15"/>
  <c r="Q89" i="15" s="1"/>
  <c r="P88" i="15"/>
  <c r="Q88" i="15" s="1"/>
  <c r="P87" i="15"/>
  <c r="Q87" i="15" s="1"/>
  <c r="P86" i="15"/>
  <c r="Q86" i="15" s="1"/>
  <c r="P85" i="15"/>
  <c r="Q85" i="15" s="1"/>
  <c r="P84" i="15"/>
  <c r="Q84" i="15" s="1"/>
  <c r="P83" i="15"/>
  <c r="Q83" i="15" s="1"/>
  <c r="P82" i="15"/>
  <c r="Q82" i="15" s="1"/>
  <c r="P81" i="15"/>
  <c r="Q81" i="15" s="1"/>
  <c r="P80" i="15"/>
  <c r="Q80" i="15" s="1"/>
  <c r="P79" i="15"/>
  <c r="Q79" i="15" s="1"/>
  <c r="P78" i="15"/>
  <c r="Q78" i="15" s="1"/>
  <c r="P77" i="15"/>
  <c r="Q77" i="15" s="1"/>
  <c r="P76" i="15"/>
  <c r="Q76" i="15" s="1"/>
  <c r="P75" i="15"/>
  <c r="Q75" i="15" s="1"/>
  <c r="P74" i="15"/>
  <c r="Q74" i="15" s="1"/>
  <c r="P73" i="15"/>
  <c r="Q73" i="15" s="1"/>
  <c r="P72" i="15"/>
  <c r="Q72" i="15" s="1"/>
  <c r="P71" i="15"/>
  <c r="Q71" i="15" s="1"/>
  <c r="P70" i="15"/>
  <c r="Q70" i="15" s="1"/>
  <c r="P69" i="15"/>
  <c r="Q69" i="15" s="1"/>
  <c r="P68" i="15"/>
  <c r="Q68" i="15" s="1"/>
  <c r="P67" i="15"/>
  <c r="Q67" i="15" s="1"/>
  <c r="P66" i="15"/>
  <c r="Q66" i="15" s="1"/>
  <c r="P65" i="15"/>
  <c r="Q65" i="15" s="1"/>
  <c r="P64" i="15"/>
  <c r="Q64" i="15" s="1"/>
  <c r="P63" i="15"/>
  <c r="Q63" i="15" s="1"/>
  <c r="P62" i="15"/>
  <c r="Q62" i="15" s="1"/>
  <c r="P61" i="15"/>
  <c r="Q61" i="15" s="1"/>
  <c r="P60" i="15"/>
  <c r="Q60" i="15" s="1"/>
  <c r="P59" i="15"/>
  <c r="Q59" i="15" s="1"/>
  <c r="P58" i="15"/>
  <c r="Q58" i="15" s="1"/>
  <c r="P57" i="15"/>
  <c r="Q57" i="15" s="1"/>
  <c r="P56" i="15"/>
  <c r="Q56" i="15" s="1"/>
  <c r="P55" i="15"/>
  <c r="Q55" i="15" s="1"/>
  <c r="P54" i="15"/>
  <c r="Q54" i="15" s="1"/>
  <c r="P53" i="15"/>
  <c r="Q53" i="15" s="1"/>
  <c r="P52" i="15"/>
  <c r="Q52" i="15" s="1"/>
  <c r="P51" i="15"/>
  <c r="Q51" i="15" s="1"/>
  <c r="P50" i="15"/>
  <c r="Q50" i="15" s="1"/>
  <c r="P49" i="15"/>
  <c r="Q49" i="15" s="1"/>
  <c r="P48" i="15"/>
  <c r="Q48" i="15" s="1"/>
  <c r="P47" i="15"/>
  <c r="Q47" i="15" s="1"/>
  <c r="P46" i="15"/>
  <c r="Q46" i="15" s="1"/>
  <c r="P45" i="15"/>
  <c r="Q45" i="15" s="1"/>
  <c r="P44" i="15"/>
  <c r="Q44" i="15" s="1"/>
  <c r="P43" i="15"/>
  <c r="Q43" i="15" s="1"/>
  <c r="P42" i="15"/>
  <c r="Q42" i="15" s="1"/>
  <c r="P41" i="15"/>
  <c r="Q41" i="15" s="1"/>
  <c r="P40" i="15"/>
  <c r="Q40" i="15" s="1"/>
  <c r="P39" i="15"/>
  <c r="Q39" i="15" s="1"/>
  <c r="P38" i="15"/>
  <c r="Q38" i="15" s="1"/>
  <c r="P37" i="15"/>
  <c r="Q37" i="15" s="1"/>
  <c r="P36" i="15"/>
  <c r="Q36" i="15" s="1"/>
  <c r="P35" i="15"/>
  <c r="Q35" i="15" s="1"/>
  <c r="P34" i="15"/>
  <c r="Q34" i="15" s="1"/>
  <c r="P33" i="15"/>
  <c r="Q33" i="15" s="1"/>
  <c r="P32" i="15"/>
  <c r="Q32" i="15" s="1"/>
  <c r="P31" i="15"/>
  <c r="Q31" i="15" s="1"/>
  <c r="P30" i="15"/>
  <c r="Q30" i="15" s="1"/>
  <c r="P29" i="15"/>
  <c r="Q29" i="15" s="1"/>
  <c r="P28" i="15"/>
  <c r="Q28" i="15" s="1"/>
  <c r="P27" i="15"/>
  <c r="Q27" i="15" s="1"/>
  <c r="P26" i="15"/>
  <c r="Q26" i="15" s="1"/>
  <c r="P25" i="15"/>
  <c r="Q25" i="15" s="1"/>
  <c r="P24" i="15"/>
  <c r="Q24" i="15" s="1"/>
  <c r="P23" i="15"/>
  <c r="Q23" i="15" s="1"/>
  <c r="P22" i="15"/>
  <c r="Q22" i="15" s="1"/>
  <c r="P21" i="15"/>
  <c r="Q21" i="15" s="1"/>
  <c r="P20" i="15"/>
  <c r="Q20" i="15" s="1"/>
  <c r="P19" i="15"/>
  <c r="Q19" i="15" s="1"/>
  <c r="P18" i="15"/>
  <c r="Q18" i="15" s="1"/>
  <c r="P17" i="15"/>
  <c r="Q17" i="15" s="1"/>
  <c r="P16" i="15"/>
  <c r="Q16" i="15" s="1"/>
  <c r="P15" i="15"/>
  <c r="Q15" i="15" s="1"/>
  <c r="P14" i="15"/>
  <c r="Q14" i="15" s="1"/>
  <c r="P13" i="15"/>
  <c r="Q13" i="15" s="1"/>
  <c r="P12" i="15"/>
  <c r="Q12" i="15" s="1"/>
  <c r="P11" i="15"/>
  <c r="Q11" i="15" s="1"/>
  <c r="P10" i="15"/>
  <c r="Q10" i="15" s="1"/>
  <c r="P9" i="15"/>
  <c r="Q9" i="15" s="1"/>
  <c r="P8" i="15"/>
  <c r="Q8" i="15" s="1"/>
  <c r="P7" i="15"/>
  <c r="Q7" i="15" s="1"/>
  <c r="T6" i="15"/>
  <c r="P6" i="15"/>
  <c r="Q6" i="15" s="1"/>
  <c r="T5" i="15"/>
  <c r="G1" i="15" s="1"/>
  <c r="M29" i="4" s="1"/>
  <c r="P5" i="15"/>
  <c r="Q5" i="15" s="1"/>
  <c r="T4" i="15"/>
  <c r="K29" i="4" s="1"/>
  <c r="P4" i="15"/>
  <c r="Q4" i="15" s="1"/>
  <c r="T3" i="15"/>
  <c r="P3" i="15"/>
  <c r="P190" i="14"/>
  <c r="Q190" i="14" s="1"/>
  <c r="P189" i="14"/>
  <c r="Q189" i="14" s="1"/>
  <c r="Q188" i="14"/>
  <c r="P188" i="14"/>
  <c r="P187" i="14"/>
  <c r="Q187" i="14" s="1"/>
  <c r="P186" i="14"/>
  <c r="Q186" i="14" s="1"/>
  <c r="Q185" i="14"/>
  <c r="P185" i="14"/>
  <c r="P184" i="14"/>
  <c r="Q184" i="14" s="1"/>
  <c r="P183" i="14"/>
  <c r="Q183" i="14" s="1"/>
  <c r="P182" i="14"/>
  <c r="Q182" i="14" s="1"/>
  <c r="P181" i="14"/>
  <c r="Q181" i="14" s="1"/>
  <c r="Q180" i="14"/>
  <c r="P180" i="14"/>
  <c r="P179" i="14"/>
  <c r="Q179" i="14" s="1"/>
  <c r="P178" i="14"/>
  <c r="Q178" i="14" s="1"/>
  <c r="Q177" i="14"/>
  <c r="P177" i="14"/>
  <c r="P176" i="14"/>
  <c r="Q176" i="14" s="1"/>
  <c r="P175" i="14"/>
  <c r="Q175" i="14" s="1"/>
  <c r="P174" i="14"/>
  <c r="Q174" i="14" s="1"/>
  <c r="P173" i="14"/>
  <c r="Q173" i="14" s="1"/>
  <c r="Q172" i="14"/>
  <c r="P172" i="14"/>
  <c r="P171" i="14"/>
  <c r="Q171" i="14" s="1"/>
  <c r="P170" i="14"/>
  <c r="Q170" i="14" s="1"/>
  <c r="Q169" i="14"/>
  <c r="P169" i="14"/>
  <c r="P168" i="14"/>
  <c r="Q168" i="14" s="1"/>
  <c r="P167" i="14"/>
  <c r="Q167" i="14" s="1"/>
  <c r="P166" i="14"/>
  <c r="Q166" i="14" s="1"/>
  <c r="P165" i="14"/>
  <c r="Q165" i="14" s="1"/>
  <c r="Q164" i="14"/>
  <c r="P164" i="14"/>
  <c r="P163" i="14"/>
  <c r="Q163" i="14" s="1"/>
  <c r="P162" i="14"/>
  <c r="Q162" i="14" s="1"/>
  <c r="Q161" i="14"/>
  <c r="P161" i="14"/>
  <c r="P160" i="14"/>
  <c r="Q160" i="14" s="1"/>
  <c r="P159" i="14"/>
  <c r="Q159" i="14" s="1"/>
  <c r="P158" i="14"/>
  <c r="Q158" i="14" s="1"/>
  <c r="P157" i="14"/>
  <c r="Q157" i="14" s="1"/>
  <c r="Q156" i="14"/>
  <c r="P156" i="14"/>
  <c r="P155" i="14"/>
  <c r="Q155" i="14" s="1"/>
  <c r="P154" i="14"/>
  <c r="Q154" i="14" s="1"/>
  <c r="Q153" i="14"/>
  <c r="P153" i="14"/>
  <c r="P152" i="14"/>
  <c r="Q152" i="14" s="1"/>
  <c r="P151" i="14"/>
  <c r="Q151" i="14" s="1"/>
  <c r="P150" i="14"/>
  <c r="Q150" i="14" s="1"/>
  <c r="P149" i="14"/>
  <c r="Q149" i="14" s="1"/>
  <c r="Q148" i="14"/>
  <c r="P148" i="14"/>
  <c r="P147" i="14"/>
  <c r="Q147" i="14" s="1"/>
  <c r="P146" i="14"/>
  <c r="Q146" i="14" s="1"/>
  <c r="Q145" i="14"/>
  <c r="P145" i="14"/>
  <c r="P144" i="14"/>
  <c r="Q144" i="14" s="1"/>
  <c r="P143" i="14"/>
  <c r="Q143" i="14" s="1"/>
  <c r="P142" i="14"/>
  <c r="Q142" i="14" s="1"/>
  <c r="P141" i="14"/>
  <c r="Q141" i="14" s="1"/>
  <c r="Q140" i="14"/>
  <c r="P140" i="14"/>
  <c r="P139" i="14"/>
  <c r="Q139" i="14" s="1"/>
  <c r="P138" i="14"/>
  <c r="Q138" i="14" s="1"/>
  <c r="Q137" i="14"/>
  <c r="P137" i="14"/>
  <c r="P136" i="14"/>
  <c r="Q136" i="14" s="1"/>
  <c r="P135" i="14"/>
  <c r="Q135" i="14" s="1"/>
  <c r="P134" i="14"/>
  <c r="Q134" i="14" s="1"/>
  <c r="P133" i="14"/>
  <c r="Q133" i="14" s="1"/>
  <c r="Q132" i="14"/>
  <c r="P132" i="14"/>
  <c r="P131" i="14"/>
  <c r="Q131" i="14" s="1"/>
  <c r="P130" i="14"/>
  <c r="Q130" i="14" s="1"/>
  <c r="Q129" i="14"/>
  <c r="P129" i="14"/>
  <c r="P128" i="14"/>
  <c r="Q128" i="14" s="1"/>
  <c r="P127" i="14"/>
  <c r="Q127" i="14" s="1"/>
  <c r="P126" i="14"/>
  <c r="Q126" i="14" s="1"/>
  <c r="P125" i="14"/>
  <c r="Q125" i="14" s="1"/>
  <c r="Q124" i="14"/>
  <c r="P124" i="14"/>
  <c r="P123" i="14"/>
  <c r="Q123" i="14" s="1"/>
  <c r="P122" i="14"/>
  <c r="Q122" i="14" s="1"/>
  <c r="Q121" i="14"/>
  <c r="P121" i="14"/>
  <c r="P120" i="14"/>
  <c r="Q120" i="14" s="1"/>
  <c r="P119" i="14"/>
  <c r="Q119" i="14" s="1"/>
  <c r="P118" i="14"/>
  <c r="Q118" i="14" s="1"/>
  <c r="P117" i="14"/>
  <c r="Q117" i="14" s="1"/>
  <c r="Q116" i="14"/>
  <c r="P116" i="14"/>
  <c r="P115" i="14"/>
  <c r="Q115" i="14" s="1"/>
  <c r="P114" i="14"/>
  <c r="Q114" i="14" s="1"/>
  <c r="Q113" i="14"/>
  <c r="P113" i="14"/>
  <c r="P112" i="14"/>
  <c r="Q112" i="14" s="1"/>
  <c r="P111" i="14"/>
  <c r="Q111" i="14" s="1"/>
  <c r="P110" i="14"/>
  <c r="Q110" i="14" s="1"/>
  <c r="P109" i="14"/>
  <c r="Q109" i="14" s="1"/>
  <c r="Q108" i="14"/>
  <c r="P108" i="14"/>
  <c r="P107" i="14"/>
  <c r="Q107" i="14" s="1"/>
  <c r="P106" i="14"/>
  <c r="Q106" i="14" s="1"/>
  <c r="Q105" i="14"/>
  <c r="P105" i="14"/>
  <c r="P104" i="14"/>
  <c r="Q104" i="14" s="1"/>
  <c r="P103" i="14"/>
  <c r="Q103" i="14" s="1"/>
  <c r="P102" i="14"/>
  <c r="Q102" i="14" s="1"/>
  <c r="P101" i="14"/>
  <c r="Q101" i="14" s="1"/>
  <c r="Q100" i="14"/>
  <c r="P100" i="14"/>
  <c r="P99" i="14"/>
  <c r="Q99" i="14" s="1"/>
  <c r="P98" i="14"/>
  <c r="Q98" i="14" s="1"/>
  <c r="Q97" i="14"/>
  <c r="P97" i="14"/>
  <c r="P96" i="14"/>
  <c r="Q96" i="14" s="1"/>
  <c r="O95" i="14"/>
  <c r="P95" i="14" s="1"/>
  <c r="Q95" i="14" s="1"/>
  <c r="N95" i="14"/>
  <c r="O94" i="14"/>
  <c r="P94" i="14" s="1"/>
  <c r="Q94" i="14" s="1"/>
  <c r="N94" i="14"/>
  <c r="O93" i="14"/>
  <c r="P93" i="14" s="1"/>
  <c r="Q93" i="14" s="1"/>
  <c r="N93" i="14"/>
  <c r="O92" i="14"/>
  <c r="P92" i="14" s="1"/>
  <c r="Q92" i="14" s="1"/>
  <c r="N92" i="14"/>
  <c r="O91" i="14"/>
  <c r="P91" i="14" s="1"/>
  <c r="Q91" i="14" s="1"/>
  <c r="N91" i="14"/>
  <c r="O90" i="14"/>
  <c r="P90" i="14" s="1"/>
  <c r="Q90" i="14" s="1"/>
  <c r="N90" i="14"/>
  <c r="O89" i="14"/>
  <c r="P89" i="14" s="1"/>
  <c r="Q89" i="14" s="1"/>
  <c r="N89" i="14"/>
  <c r="O88" i="14"/>
  <c r="P88" i="14" s="1"/>
  <c r="Q88" i="14" s="1"/>
  <c r="N88" i="14"/>
  <c r="O87" i="14"/>
  <c r="P87" i="14" s="1"/>
  <c r="Q87" i="14" s="1"/>
  <c r="N87" i="14"/>
  <c r="O86" i="14"/>
  <c r="P86" i="14" s="1"/>
  <c r="Q86" i="14" s="1"/>
  <c r="N86" i="14"/>
  <c r="O85" i="14"/>
  <c r="P85" i="14" s="1"/>
  <c r="Q85" i="14" s="1"/>
  <c r="N85" i="14"/>
  <c r="O84" i="14"/>
  <c r="P84" i="14" s="1"/>
  <c r="Q84" i="14" s="1"/>
  <c r="N84" i="14"/>
  <c r="O83" i="14"/>
  <c r="P83" i="14" s="1"/>
  <c r="Q83" i="14" s="1"/>
  <c r="N83" i="14"/>
  <c r="O82" i="14"/>
  <c r="P82" i="14" s="1"/>
  <c r="Q82" i="14" s="1"/>
  <c r="N82" i="14"/>
  <c r="O81" i="14"/>
  <c r="P81" i="14" s="1"/>
  <c r="Q81" i="14" s="1"/>
  <c r="N81" i="14"/>
  <c r="O80" i="14"/>
  <c r="P80" i="14" s="1"/>
  <c r="Q80" i="14" s="1"/>
  <c r="N80" i="14"/>
  <c r="O79" i="14"/>
  <c r="P79" i="14" s="1"/>
  <c r="Q79" i="14" s="1"/>
  <c r="N79" i="14"/>
  <c r="O78" i="14"/>
  <c r="P78" i="14" s="1"/>
  <c r="Q78" i="14" s="1"/>
  <c r="N78" i="14"/>
  <c r="O77" i="14"/>
  <c r="P77" i="14" s="1"/>
  <c r="Q77" i="14" s="1"/>
  <c r="N77" i="14"/>
  <c r="O76" i="14"/>
  <c r="P76" i="14" s="1"/>
  <c r="Q76" i="14" s="1"/>
  <c r="N76" i="14"/>
  <c r="O75" i="14"/>
  <c r="P75" i="14" s="1"/>
  <c r="Q75" i="14" s="1"/>
  <c r="N75" i="14"/>
  <c r="O74" i="14"/>
  <c r="P74" i="14" s="1"/>
  <c r="Q74" i="14" s="1"/>
  <c r="N74" i="14"/>
  <c r="O73" i="14"/>
  <c r="P73" i="14" s="1"/>
  <c r="Q73" i="14" s="1"/>
  <c r="N73" i="14"/>
  <c r="O72" i="14"/>
  <c r="P72" i="14" s="1"/>
  <c r="Q72" i="14" s="1"/>
  <c r="N72" i="14"/>
  <c r="O71" i="14"/>
  <c r="P71" i="14" s="1"/>
  <c r="Q71" i="14" s="1"/>
  <c r="N71" i="14"/>
  <c r="O70" i="14"/>
  <c r="P70" i="14" s="1"/>
  <c r="Q70" i="14" s="1"/>
  <c r="N70" i="14"/>
  <c r="O69" i="14"/>
  <c r="P69" i="14" s="1"/>
  <c r="Q69" i="14" s="1"/>
  <c r="N69" i="14"/>
  <c r="O68" i="14"/>
  <c r="P68" i="14" s="1"/>
  <c r="Q68" i="14" s="1"/>
  <c r="N68" i="14"/>
  <c r="O67" i="14"/>
  <c r="P67" i="14" s="1"/>
  <c r="Q67" i="14" s="1"/>
  <c r="N67" i="14"/>
  <c r="O66" i="14"/>
  <c r="P66" i="14" s="1"/>
  <c r="Q66" i="14" s="1"/>
  <c r="N66" i="14"/>
  <c r="O65" i="14"/>
  <c r="P65" i="14" s="1"/>
  <c r="Q65" i="14" s="1"/>
  <c r="N65" i="14"/>
  <c r="O64" i="14"/>
  <c r="P64" i="14" s="1"/>
  <c r="Q64" i="14" s="1"/>
  <c r="N64" i="14"/>
  <c r="O63" i="14"/>
  <c r="P63" i="14" s="1"/>
  <c r="Q63" i="14" s="1"/>
  <c r="N63" i="14"/>
  <c r="O62" i="14"/>
  <c r="P62" i="14" s="1"/>
  <c r="Q62" i="14" s="1"/>
  <c r="N62" i="14"/>
  <c r="O61" i="14"/>
  <c r="P61" i="14" s="1"/>
  <c r="Q61" i="14" s="1"/>
  <c r="N61" i="14"/>
  <c r="O60" i="14"/>
  <c r="P60" i="14" s="1"/>
  <c r="Q60" i="14" s="1"/>
  <c r="N60" i="14"/>
  <c r="O59" i="14"/>
  <c r="P59" i="14" s="1"/>
  <c r="Q59" i="14" s="1"/>
  <c r="N59" i="14"/>
  <c r="O58" i="14"/>
  <c r="P58" i="14" s="1"/>
  <c r="Q58" i="14" s="1"/>
  <c r="N58" i="14"/>
  <c r="O57" i="14"/>
  <c r="P57" i="14" s="1"/>
  <c r="Q57" i="14" s="1"/>
  <c r="N57" i="14"/>
  <c r="O56" i="14"/>
  <c r="P56" i="14" s="1"/>
  <c r="Q56" i="14" s="1"/>
  <c r="N56" i="14"/>
  <c r="O55" i="14"/>
  <c r="P55" i="14" s="1"/>
  <c r="Q55" i="14" s="1"/>
  <c r="N55" i="14"/>
  <c r="O54" i="14"/>
  <c r="P54" i="14" s="1"/>
  <c r="Q54" i="14" s="1"/>
  <c r="N54" i="14"/>
  <c r="O53" i="14"/>
  <c r="P53" i="14" s="1"/>
  <c r="Q53" i="14" s="1"/>
  <c r="N53" i="14"/>
  <c r="O52" i="14"/>
  <c r="P52" i="14" s="1"/>
  <c r="Q52" i="14" s="1"/>
  <c r="N52" i="14"/>
  <c r="O51" i="14"/>
  <c r="P51" i="14" s="1"/>
  <c r="Q51" i="14" s="1"/>
  <c r="N51" i="14"/>
  <c r="O50" i="14"/>
  <c r="P50" i="14" s="1"/>
  <c r="Q50" i="14" s="1"/>
  <c r="N50" i="14"/>
  <c r="O49" i="14"/>
  <c r="P49" i="14" s="1"/>
  <c r="Q49" i="14" s="1"/>
  <c r="N49" i="14"/>
  <c r="O48" i="14"/>
  <c r="P48" i="14" s="1"/>
  <c r="Q48" i="14" s="1"/>
  <c r="N48" i="14"/>
  <c r="O47" i="14"/>
  <c r="P47" i="14" s="1"/>
  <c r="Q47" i="14" s="1"/>
  <c r="N47" i="14"/>
  <c r="O46" i="14"/>
  <c r="P46" i="14" s="1"/>
  <c r="Q46" i="14" s="1"/>
  <c r="N46" i="14"/>
  <c r="O45" i="14"/>
  <c r="P45" i="14" s="1"/>
  <c r="Q45" i="14" s="1"/>
  <c r="N45" i="14"/>
  <c r="O44" i="14"/>
  <c r="P44" i="14" s="1"/>
  <c r="Q44" i="14" s="1"/>
  <c r="N44" i="14"/>
  <c r="O43" i="14"/>
  <c r="P43" i="14" s="1"/>
  <c r="Q43" i="14" s="1"/>
  <c r="N43" i="14"/>
  <c r="O42" i="14"/>
  <c r="P42" i="14" s="1"/>
  <c r="Q42" i="14" s="1"/>
  <c r="N42" i="14"/>
  <c r="O41" i="14"/>
  <c r="P41" i="14" s="1"/>
  <c r="Q41" i="14" s="1"/>
  <c r="N41" i="14"/>
  <c r="O40" i="14"/>
  <c r="P40" i="14" s="1"/>
  <c r="Q40" i="14" s="1"/>
  <c r="N40" i="14"/>
  <c r="O39" i="14"/>
  <c r="P39" i="14" s="1"/>
  <c r="Q39" i="14" s="1"/>
  <c r="N39" i="14"/>
  <c r="O38" i="14"/>
  <c r="P38" i="14" s="1"/>
  <c r="Q38" i="14" s="1"/>
  <c r="N38" i="14"/>
  <c r="O37" i="14"/>
  <c r="P37" i="14" s="1"/>
  <c r="Q37" i="14" s="1"/>
  <c r="N37" i="14"/>
  <c r="O36" i="14"/>
  <c r="P36" i="14" s="1"/>
  <c r="Q36" i="14" s="1"/>
  <c r="N36" i="14"/>
  <c r="O35" i="14"/>
  <c r="P35" i="14" s="1"/>
  <c r="Q35" i="14" s="1"/>
  <c r="N35" i="14"/>
  <c r="O34" i="14"/>
  <c r="P34" i="14" s="1"/>
  <c r="Q34" i="14" s="1"/>
  <c r="N34" i="14"/>
  <c r="O33" i="14"/>
  <c r="P33" i="14" s="1"/>
  <c r="Q33" i="14" s="1"/>
  <c r="N33" i="14"/>
  <c r="O32" i="14"/>
  <c r="P32" i="14" s="1"/>
  <c r="Q32" i="14" s="1"/>
  <c r="N32" i="14"/>
  <c r="O31" i="14"/>
  <c r="P31" i="14" s="1"/>
  <c r="Q31" i="14" s="1"/>
  <c r="N31" i="14"/>
  <c r="O30" i="14"/>
  <c r="P30" i="14" s="1"/>
  <c r="Q30" i="14" s="1"/>
  <c r="N30" i="14"/>
  <c r="O29" i="14"/>
  <c r="P29" i="14" s="1"/>
  <c r="Q29" i="14" s="1"/>
  <c r="N29" i="14"/>
  <c r="O28" i="14"/>
  <c r="P28" i="14" s="1"/>
  <c r="Q28" i="14" s="1"/>
  <c r="N28" i="14"/>
  <c r="O27" i="14"/>
  <c r="P27" i="14" s="1"/>
  <c r="Q27" i="14" s="1"/>
  <c r="N27" i="14"/>
  <c r="O26" i="14"/>
  <c r="P26" i="14" s="1"/>
  <c r="Q26" i="14" s="1"/>
  <c r="N26" i="14"/>
  <c r="O25" i="14"/>
  <c r="P25" i="14" s="1"/>
  <c r="Q25" i="14" s="1"/>
  <c r="N25" i="14"/>
  <c r="O24" i="14"/>
  <c r="P24" i="14" s="1"/>
  <c r="Q24" i="14" s="1"/>
  <c r="N24" i="14"/>
  <c r="O23" i="14"/>
  <c r="P23" i="14" s="1"/>
  <c r="Q23" i="14" s="1"/>
  <c r="N23" i="14"/>
  <c r="O22" i="14"/>
  <c r="P22" i="14" s="1"/>
  <c r="Q22" i="14" s="1"/>
  <c r="N22" i="14"/>
  <c r="O21" i="14"/>
  <c r="P21" i="14" s="1"/>
  <c r="Q21" i="14" s="1"/>
  <c r="N21" i="14"/>
  <c r="O20" i="14"/>
  <c r="P20" i="14" s="1"/>
  <c r="Q20" i="14" s="1"/>
  <c r="N20" i="14"/>
  <c r="O19" i="14"/>
  <c r="P19" i="14" s="1"/>
  <c r="Q19" i="14" s="1"/>
  <c r="N19" i="14"/>
  <c r="O18" i="14"/>
  <c r="P18" i="14" s="1"/>
  <c r="Q18" i="14" s="1"/>
  <c r="N18" i="14"/>
  <c r="O17" i="14"/>
  <c r="P17" i="14" s="1"/>
  <c r="Q17" i="14" s="1"/>
  <c r="N17" i="14"/>
  <c r="O16" i="14"/>
  <c r="P16" i="14" s="1"/>
  <c r="Q16" i="14" s="1"/>
  <c r="N16" i="14"/>
  <c r="O15" i="14"/>
  <c r="P15" i="14" s="1"/>
  <c r="Q15" i="14" s="1"/>
  <c r="N15" i="14"/>
  <c r="O14" i="14"/>
  <c r="P14" i="14" s="1"/>
  <c r="Q14" i="14" s="1"/>
  <c r="N14" i="14"/>
  <c r="O13" i="14"/>
  <c r="P13" i="14" s="1"/>
  <c r="Q13" i="14" s="1"/>
  <c r="N13" i="14"/>
  <c r="O12" i="14"/>
  <c r="P12" i="14" s="1"/>
  <c r="Q12" i="14" s="1"/>
  <c r="N12" i="14"/>
  <c r="N11" i="14"/>
  <c r="O11" i="14" s="1"/>
  <c r="P11" i="14" s="1"/>
  <c r="Q11" i="14" s="1"/>
  <c r="O10" i="14"/>
  <c r="P10" i="14" s="1"/>
  <c r="Q10" i="14" s="1"/>
  <c r="N10" i="14"/>
  <c r="O9" i="14"/>
  <c r="P9" i="14" s="1"/>
  <c r="Q9" i="14" s="1"/>
  <c r="N9" i="14"/>
  <c r="O8" i="14"/>
  <c r="P8" i="14" s="1"/>
  <c r="Q8" i="14" s="1"/>
  <c r="N8" i="14"/>
  <c r="O7" i="14"/>
  <c r="P7" i="14" s="1"/>
  <c r="Q7" i="14" s="1"/>
  <c r="N7" i="14"/>
  <c r="T6" i="14"/>
  <c r="O6" i="14"/>
  <c r="P6" i="14" s="1"/>
  <c r="N6" i="14"/>
  <c r="T5" i="14"/>
  <c r="G1" i="14" s="1"/>
  <c r="M28" i="4" s="1"/>
  <c r="O5" i="14"/>
  <c r="P5" i="14" s="1"/>
  <c r="Q5" i="14" s="1"/>
  <c r="N5" i="14"/>
  <c r="T4" i="14"/>
  <c r="O4" i="14"/>
  <c r="P4" i="14" s="1"/>
  <c r="Q4" i="14" s="1"/>
  <c r="N4" i="14"/>
  <c r="T3" i="14"/>
  <c r="O3" i="14"/>
  <c r="P3" i="14" s="1"/>
  <c r="N3" i="14"/>
  <c r="K26" i="4"/>
  <c r="P190" i="12"/>
  <c r="Q190" i="12" s="1"/>
  <c r="P189" i="12"/>
  <c r="Q189" i="12" s="1"/>
  <c r="Q188" i="12"/>
  <c r="P188" i="12"/>
  <c r="P187" i="12"/>
  <c r="Q187" i="12" s="1"/>
  <c r="Q186" i="12"/>
  <c r="P186" i="12"/>
  <c r="P185" i="12"/>
  <c r="Q185" i="12" s="1"/>
  <c r="Q184" i="12"/>
  <c r="P184" i="12"/>
  <c r="P183" i="12"/>
  <c r="Q183" i="12" s="1"/>
  <c r="P182" i="12"/>
  <c r="Q182" i="12" s="1"/>
  <c r="P181" i="12"/>
  <c r="Q181" i="12" s="1"/>
  <c r="P180" i="12"/>
  <c r="Q180" i="12" s="1"/>
  <c r="P179" i="12"/>
  <c r="Q179" i="12" s="1"/>
  <c r="P178" i="12"/>
  <c r="Q178" i="12" s="1"/>
  <c r="P177" i="12"/>
  <c r="Q177" i="12" s="1"/>
  <c r="Q176" i="12"/>
  <c r="P176" i="12"/>
  <c r="P175" i="12"/>
  <c r="Q175" i="12" s="1"/>
  <c r="P174" i="12"/>
  <c r="Q174" i="12" s="1"/>
  <c r="P173" i="12"/>
  <c r="Q173" i="12" s="1"/>
  <c r="Q172" i="12"/>
  <c r="P172" i="12"/>
  <c r="P171" i="12"/>
  <c r="Q171" i="12" s="1"/>
  <c r="Q170" i="12"/>
  <c r="P170" i="12"/>
  <c r="P169" i="12"/>
  <c r="Q169" i="12" s="1"/>
  <c r="Q168" i="12"/>
  <c r="P168" i="12"/>
  <c r="P167" i="12"/>
  <c r="Q167" i="12" s="1"/>
  <c r="P166" i="12"/>
  <c r="Q166" i="12" s="1"/>
  <c r="P165" i="12"/>
  <c r="Q165" i="12" s="1"/>
  <c r="P164" i="12"/>
  <c r="Q164" i="12" s="1"/>
  <c r="P163" i="12"/>
  <c r="Q163" i="12" s="1"/>
  <c r="P162" i="12"/>
  <c r="Q162" i="12" s="1"/>
  <c r="P161" i="12"/>
  <c r="Q161" i="12" s="1"/>
  <c r="Q160" i="12"/>
  <c r="P160" i="12"/>
  <c r="P159" i="12"/>
  <c r="Q159" i="12" s="1"/>
  <c r="P158" i="12"/>
  <c r="Q158" i="12" s="1"/>
  <c r="P157" i="12"/>
  <c r="Q157" i="12" s="1"/>
  <c r="Q156" i="12"/>
  <c r="P156" i="12"/>
  <c r="P155" i="12"/>
  <c r="Q155" i="12" s="1"/>
  <c r="Q154" i="12"/>
  <c r="P154" i="12"/>
  <c r="P153" i="12"/>
  <c r="Q153" i="12" s="1"/>
  <c r="Q152" i="12"/>
  <c r="P152" i="12"/>
  <c r="P151" i="12"/>
  <c r="Q151" i="12" s="1"/>
  <c r="P150" i="12"/>
  <c r="Q150" i="12" s="1"/>
  <c r="P149" i="12"/>
  <c r="Q149" i="12" s="1"/>
  <c r="P148" i="12"/>
  <c r="Q148" i="12" s="1"/>
  <c r="P147" i="12"/>
  <c r="Q147" i="12" s="1"/>
  <c r="P146" i="12"/>
  <c r="Q146" i="12" s="1"/>
  <c r="P145" i="12"/>
  <c r="Q145" i="12" s="1"/>
  <c r="Q144" i="12"/>
  <c r="P144" i="12"/>
  <c r="P143" i="12"/>
  <c r="Q143" i="12" s="1"/>
  <c r="P142" i="12"/>
  <c r="Q142" i="12" s="1"/>
  <c r="P141" i="12"/>
  <c r="Q141" i="12" s="1"/>
  <c r="Q140" i="12"/>
  <c r="P140" i="12"/>
  <c r="P139" i="12"/>
  <c r="Q139" i="12" s="1"/>
  <c r="Q138" i="12"/>
  <c r="P138" i="12"/>
  <c r="P137" i="12"/>
  <c r="Q137" i="12" s="1"/>
  <c r="Q136" i="12"/>
  <c r="P136" i="12"/>
  <c r="P135" i="12"/>
  <c r="Q135" i="12" s="1"/>
  <c r="P134" i="12"/>
  <c r="Q134" i="12" s="1"/>
  <c r="P133" i="12"/>
  <c r="Q133" i="12" s="1"/>
  <c r="P132" i="12"/>
  <c r="Q132" i="12" s="1"/>
  <c r="P131" i="12"/>
  <c r="Q131" i="12" s="1"/>
  <c r="P130" i="12"/>
  <c r="Q130" i="12" s="1"/>
  <c r="P129" i="12"/>
  <c r="Q129" i="12" s="1"/>
  <c r="Q128" i="12"/>
  <c r="P128" i="12"/>
  <c r="P127" i="12"/>
  <c r="Q127" i="12" s="1"/>
  <c r="P126" i="12"/>
  <c r="Q126" i="12" s="1"/>
  <c r="P125" i="12"/>
  <c r="Q125" i="12" s="1"/>
  <c r="Q124" i="12"/>
  <c r="P124" i="12"/>
  <c r="P123" i="12"/>
  <c r="Q123" i="12" s="1"/>
  <c r="Q122" i="12"/>
  <c r="P122" i="12"/>
  <c r="P121" i="12"/>
  <c r="Q121" i="12" s="1"/>
  <c r="Q120" i="12"/>
  <c r="P120" i="12"/>
  <c r="P119" i="12"/>
  <c r="Q119" i="12" s="1"/>
  <c r="P118" i="12"/>
  <c r="Q118" i="12" s="1"/>
  <c r="P117" i="12"/>
  <c r="Q117" i="12" s="1"/>
  <c r="P116" i="12"/>
  <c r="Q116" i="12" s="1"/>
  <c r="P115" i="12"/>
  <c r="Q115" i="12" s="1"/>
  <c r="P114" i="12"/>
  <c r="Q114" i="12" s="1"/>
  <c r="P113" i="12"/>
  <c r="Q113" i="12" s="1"/>
  <c r="Q112" i="12"/>
  <c r="P112" i="12"/>
  <c r="P111" i="12"/>
  <c r="Q111" i="12" s="1"/>
  <c r="P110" i="12"/>
  <c r="Q110" i="12" s="1"/>
  <c r="P109" i="12"/>
  <c r="Q109" i="12" s="1"/>
  <c r="Q108" i="12"/>
  <c r="P108" i="12"/>
  <c r="P107" i="12"/>
  <c r="Q107" i="12" s="1"/>
  <c r="Q106" i="12"/>
  <c r="P106" i="12"/>
  <c r="P105" i="12"/>
  <c r="Q105" i="12" s="1"/>
  <c r="Q104" i="12"/>
  <c r="P104" i="12"/>
  <c r="P103" i="12"/>
  <c r="Q103" i="12" s="1"/>
  <c r="P102" i="12"/>
  <c r="Q102" i="12" s="1"/>
  <c r="P101" i="12"/>
  <c r="Q101" i="12" s="1"/>
  <c r="P100" i="12"/>
  <c r="Q100" i="12" s="1"/>
  <c r="P99" i="12"/>
  <c r="Q99" i="12" s="1"/>
  <c r="P98" i="12"/>
  <c r="Q98" i="12" s="1"/>
  <c r="P97" i="12"/>
  <c r="Q97" i="12" s="1"/>
  <c r="Q96" i="12"/>
  <c r="P96" i="12"/>
  <c r="P95" i="12"/>
  <c r="Q95" i="12" s="1"/>
  <c r="P94" i="12"/>
  <c r="Q94" i="12" s="1"/>
  <c r="P93" i="12"/>
  <c r="Q93" i="12" s="1"/>
  <c r="P92" i="12"/>
  <c r="Q92" i="12" s="1"/>
  <c r="P91" i="12"/>
  <c r="Q91" i="12" s="1"/>
  <c r="P90" i="12"/>
  <c r="Q90" i="12" s="1"/>
  <c r="P89" i="12"/>
  <c r="Q89" i="12" s="1"/>
  <c r="P88" i="12"/>
  <c r="Q88" i="12" s="1"/>
  <c r="P87" i="12"/>
  <c r="Q87" i="12" s="1"/>
  <c r="P86" i="12"/>
  <c r="Q86" i="12" s="1"/>
  <c r="P85" i="12"/>
  <c r="Q85" i="12" s="1"/>
  <c r="P84" i="12"/>
  <c r="Q84" i="12" s="1"/>
  <c r="P83" i="12"/>
  <c r="Q83" i="12" s="1"/>
  <c r="P82" i="12"/>
  <c r="Q82" i="12" s="1"/>
  <c r="P81" i="12"/>
  <c r="Q81" i="12" s="1"/>
  <c r="P80" i="12"/>
  <c r="Q80" i="12" s="1"/>
  <c r="P79" i="12"/>
  <c r="Q79" i="12" s="1"/>
  <c r="P78" i="12"/>
  <c r="Q78" i="12" s="1"/>
  <c r="P77" i="12"/>
  <c r="Q77" i="12" s="1"/>
  <c r="P76" i="12"/>
  <c r="Q76" i="12" s="1"/>
  <c r="P75" i="12"/>
  <c r="Q75" i="12" s="1"/>
  <c r="P74" i="12"/>
  <c r="Q74" i="12" s="1"/>
  <c r="P73" i="12"/>
  <c r="Q73" i="12" s="1"/>
  <c r="P72" i="12"/>
  <c r="Q72" i="12" s="1"/>
  <c r="P71" i="12"/>
  <c r="Q71" i="12" s="1"/>
  <c r="P70" i="12"/>
  <c r="Q70" i="12" s="1"/>
  <c r="P69" i="12"/>
  <c r="Q69" i="12" s="1"/>
  <c r="P68" i="12"/>
  <c r="Q68" i="12" s="1"/>
  <c r="P67" i="12"/>
  <c r="Q67" i="12" s="1"/>
  <c r="P66" i="12"/>
  <c r="Q66" i="12" s="1"/>
  <c r="P65" i="12"/>
  <c r="Q65" i="12" s="1"/>
  <c r="P64" i="12"/>
  <c r="Q64" i="12" s="1"/>
  <c r="P63" i="12"/>
  <c r="Q63" i="12" s="1"/>
  <c r="P62" i="12"/>
  <c r="Q62" i="12" s="1"/>
  <c r="P61" i="12"/>
  <c r="Q61" i="12" s="1"/>
  <c r="P60" i="12"/>
  <c r="Q60" i="12" s="1"/>
  <c r="P59" i="12"/>
  <c r="Q59" i="12" s="1"/>
  <c r="P58" i="12"/>
  <c r="Q58" i="12" s="1"/>
  <c r="P57" i="12"/>
  <c r="Q57" i="12" s="1"/>
  <c r="P56" i="12"/>
  <c r="Q56" i="12" s="1"/>
  <c r="P55" i="12"/>
  <c r="Q55" i="12" s="1"/>
  <c r="P54" i="12"/>
  <c r="Q54" i="12" s="1"/>
  <c r="P53" i="12"/>
  <c r="Q53" i="12" s="1"/>
  <c r="P52" i="12"/>
  <c r="Q52" i="12" s="1"/>
  <c r="P51" i="12"/>
  <c r="Q51" i="12" s="1"/>
  <c r="P50" i="12"/>
  <c r="Q50" i="12" s="1"/>
  <c r="P49" i="12"/>
  <c r="Q49" i="12" s="1"/>
  <c r="P48" i="12"/>
  <c r="Q48" i="12" s="1"/>
  <c r="P47" i="12"/>
  <c r="Q47" i="12" s="1"/>
  <c r="P46" i="12"/>
  <c r="Q46" i="12" s="1"/>
  <c r="P45" i="12"/>
  <c r="Q45" i="12" s="1"/>
  <c r="P44" i="12"/>
  <c r="Q44" i="12" s="1"/>
  <c r="P43" i="12"/>
  <c r="Q43" i="12" s="1"/>
  <c r="P42" i="12"/>
  <c r="Q42" i="12" s="1"/>
  <c r="P41" i="12"/>
  <c r="Q41" i="12" s="1"/>
  <c r="P40" i="12"/>
  <c r="Q40" i="12" s="1"/>
  <c r="P39" i="12"/>
  <c r="Q39" i="12" s="1"/>
  <c r="P38" i="12"/>
  <c r="Q38" i="12" s="1"/>
  <c r="P37" i="12"/>
  <c r="Q37" i="12" s="1"/>
  <c r="P36" i="12"/>
  <c r="Q36" i="12" s="1"/>
  <c r="P35" i="12"/>
  <c r="Q35" i="12" s="1"/>
  <c r="P34" i="12"/>
  <c r="Q34" i="12" s="1"/>
  <c r="P33" i="12"/>
  <c r="Q33" i="12" s="1"/>
  <c r="P32" i="12"/>
  <c r="Q32" i="12" s="1"/>
  <c r="P31" i="12"/>
  <c r="Q31" i="12" s="1"/>
  <c r="P30" i="12"/>
  <c r="Q30" i="12" s="1"/>
  <c r="P29" i="12"/>
  <c r="Q29" i="12" s="1"/>
  <c r="P28" i="12"/>
  <c r="Q28" i="12" s="1"/>
  <c r="P27" i="12"/>
  <c r="Q27" i="12" s="1"/>
  <c r="P26" i="12"/>
  <c r="Q26" i="12" s="1"/>
  <c r="P25" i="12"/>
  <c r="Q25" i="12" s="1"/>
  <c r="P24" i="12"/>
  <c r="Q24" i="12" s="1"/>
  <c r="P23" i="12"/>
  <c r="Q23" i="12" s="1"/>
  <c r="P22" i="12"/>
  <c r="Q22" i="12" s="1"/>
  <c r="P21" i="12"/>
  <c r="Q21" i="12" s="1"/>
  <c r="P20" i="12"/>
  <c r="Q20" i="12" s="1"/>
  <c r="P19" i="12"/>
  <c r="Q19" i="12" s="1"/>
  <c r="P18" i="12"/>
  <c r="Q18" i="12" s="1"/>
  <c r="P17" i="12"/>
  <c r="Q17" i="12" s="1"/>
  <c r="P16" i="12"/>
  <c r="Q16" i="12" s="1"/>
  <c r="P15" i="12"/>
  <c r="Q15" i="12" s="1"/>
  <c r="P14" i="12"/>
  <c r="Q14" i="12" s="1"/>
  <c r="P13" i="12"/>
  <c r="Q13" i="12" s="1"/>
  <c r="P12" i="12"/>
  <c r="Q12" i="12" s="1"/>
  <c r="P11" i="12"/>
  <c r="Q11" i="12" s="1"/>
  <c r="P10" i="12"/>
  <c r="Q10" i="12" s="1"/>
  <c r="P9" i="12"/>
  <c r="Q9" i="12" s="1"/>
  <c r="P8" i="12"/>
  <c r="Q8" i="12" s="1"/>
  <c r="P7" i="12"/>
  <c r="Q7" i="12" s="1"/>
  <c r="T6" i="12"/>
  <c r="P6" i="12"/>
  <c r="Q6" i="12" s="1"/>
  <c r="T5" i="12"/>
  <c r="G1" i="12" s="1"/>
  <c r="M26" i="4" s="1"/>
  <c r="P5" i="12"/>
  <c r="Q5" i="12" s="1"/>
  <c r="T4" i="12"/>
  <c r="P4" i="12"/>
  <c r="T3" i="12"/>
  <c r="T7" i="12" s="1"/>
  <c r="C1" i="12" s="1"/>
  <c r="G26" i="4" s="1"/>
  <c r="P3" i="12"/>
  <c r="K25" i="4"/>
  <c r="P190" i="11"/>
  <c r="Q190" i="11" s="1"/>
  <c r="P189" i="11"/>
  <c r="Q189" i="11" s="1"/>
  <c r="P188" i="11"/>
  <c r="Q188" i="11" s="1"/>
  <c r="P187" i="11"/>
  <c r="Q187" i="11" s="1"/>
  <c r="P186" i="11"/>
  <c r="Q186" i="11" s="1"/>
  <c r="P185" i="11"/>
  <c r="Q185" i="11" s="1"/>
  <c r="P184" i="11"/>
  <c r="Q184" i="11" s="1"/>
  <c r="P183" i="11"/>
  <c r="Q183" i="11" s="1"/>
  <c r="P182" i="11"/>
  <c r="Q182" i="11" s="1"/>
  <c r="P181" i="11"/>
  <c r="Q181" i="11" s="1"/>
  <c r="P180" i="11"/>
  <c r="Q180" i="11" s="1"/>
  <c r="P179" i="11"/>
  <c r="Q179" i="11" s="1"/>
  <c r="P178" i="11"/>
  <c r="Q178" i="11" s="1"/>
  <c r="P177" i="11"/>
  <c r="Q177" i="11" s="1"/>
  <c r="P176" i="11"/>
  <c r="Q176" i="11" s="1"/>
  <c r="P175" i="11"/>
  <c r="Q175" i="11" s="1"/>
  <c r="P174" i="11"/>
  <c r="Q174" i="11" s="1"/>
  <c r="P173" i="11"/>
  <c r="Q173" i="11" s="1"/>
  <c r="P172" i="11"/>
  <c r="Q172" i="11" s="1"/>
  <c r="P171" i="11"/>
  <c r="Q171" i="11" s="1"/>
  <c r="P170" i="11"/>
  <c r="Q170" i="11" s="1"/>
  <c r="P169" i="11"/>
  <c r="Q169" i="11" s="1"/>
  <c r="P168" i="11"/>
  <c r="Q168" i="11" s="1"/>
  <c r="P167" i="11"/>
  <c r="Q167" i="11" s="1"/>
  <c r="P166" i="11"/>
  <c r="Q166" i="11" s="1"/>
  <c r="P165" i="11"/>
  <c r="Q165" i="11" s="1"/>
  <c r="P164" i="11"/>
  <c r="Q164" i="11" s="1"/>
  <c r="P163" i="11"/>
  <c r="Q163" i="11" s="1"/>
  <c r="P162" i="11"/>
  <c r="Q162" i="11" s="1"/>
  <c r="P161" i="11"/>
  <c r="Q161" i="11" s="1"/>
  <c r="P160" i="11"/>
  <c r="Q160" i="11" s="1"/>
  <c r="P159" i="11"/>
  <c r="Q159" i="11" s="1"/>
  <c r="P158" i="11"/>
  <c r="Q158" i="11" s="1"/>
  <c r="P157" i="11"/>
  <c r="Q157" i="11" s="1"/>
  <c r="P156" i="11"/>
  <c r="Q156" i="11" s="1"/>
  <c r="P155" i="11"/>
  <c r="Q155" i="11" s="1"/>
  <c r="P154" i="11"/>
  <c r="Q154" i="11" s="1"/>
  <c r="P153" i="11"/>
  <c r="Q153" i="11" s="1"/>
  <c r="P152" i="11"/>
  <c r="Q152" i="11" s="1"/>
  <c r="P151" i="11"/>
  <c r="Q151" i="11" s="1"/>
  <c r="P150" i="11"/>
  <c r="Q150" i="11" s="1"/>
  <c r="P149" i="11"/>
  <c r="Q149" i="11" s="1"/>
  <c r="P148" i="11"/>
  <c r="Q148" i="11" s="1"/>
  <c r="P147" i="11"/>
  <c r="Q147" i="11" s="1"/>
  <c r="P146" i="11"/>
  <c r="Q146" i="11" s="1"/>
  <c r="P145" i="11"/>
  <c r="Q145" i="11" s="1"/>
  <c r="P144" i="11"/>
  <c r="Q144" i="11" s="1"/>
  <c r="P143" i="11"/>
  <c r="Q143" i="11" s="1"/>
  <c r="P142" i="11"/>
  <c r="Q142" i="11" s="1"/>
  <c r="P141" i="11"/>
  <c r="Q141" i="11" s="1"/>
  <c r="P140" i="11"/>
  <c r="Q140" i="11" s="1"/>
  <c r="P139" i="11"/>
  <c r="Q139" i="11" s="1"/>
  <c r="P138" i="11"/>
  <c r="Q138" i="11" s="1"/>
  <c r="P137" i="11"/>
  <c r="Q137" i="11" s="1"/>
  <c r="P136" i="11"/>
  <c r="Q136" i="11" s="1"/>
  <c r="P135" i="11"/>
  <c r="Q135" i="11" s="1"/>
  <c r="P134" i="11"/>
  <c r="Q134" i="11" s="1"/>
  <c r="P133" i="11"/>
  <c r="Q133" i="11" s="1"/>
  <c r="P132" i="11"/>
  <c r="Q132" i="11" s="1"/>
  <c r="P131" i="11"/>
  <c r="Q131" i="11" s="1"/>
  <c r="P130" i="11"/>
  <c r="Q130" i="11" s="1"/>
  <c r="P129" i="11"/>
  <c r="Q129" i="11" s="1"/>
  <c r="P128" i="11"/>
  <c r="Q128" i="11" s="1"/>
  <c r="P127" i="11"/>
  <c r="Q127" i="11" s="1"/>
  <c r="P126" i="11"/>
  <c r="Q126" i="11" s="1"/>
  <c r="P125" i="11"/>
  <c r="Q125" i="11" s="1"/>
  <c r="P124" i="11"/>
  <c r="Q124" i="11" s="1"/>
  <c r="P123" i="11"/>
  <c r="Q123" i="11" s="1"/>
  <c r="P122" i="11"/>
  <c r="Q122" i="11" s="1"/>
  <c r="P121" i="11"/>
  <c r="Q121" i="11" s="1"/>
  <c r="P120" i="11"/>
  <c r="Q120" i="11" s="1"/>
  <c r="P119" i="11"/>
  <c r="Q119" i="11" s="1"/>
  <c r="P118" i="11"/>
  <c r="Q118" i="11" s="1"/>
  <c r="P117" i="11"/>
  <c r="Q117" i="11" s="1"/>
  <c r="P116" i="11"/>
  <c r="Q116" i="11" s="1"/>
  <c r="P115" i="11"/>
  <c r="Q115" i="11" s="1"/>
  <c r="P114" i="11"/>
  <c r="Q114" i="11" s="1"/>
  <c r="P113" i="11"/>
  <c r="Q113" i="11" s="1"/>
  <c r="P112" i="11"/>
  <c r="Q112" i="11" s="1"/>
  <c r="P111" i="11"/>
  <c r="Q111" i="11" s="1"/>
  <c r="P110" i="11"/>
  <c r="Q110" i="11" s="1"/>
  <c r="P109" i="11"/>
  <c r="Q109" i="11" s="1"/>
  <c r="P108" i="11"/>
  <c r="Q108" i="11" s="1"/>
  <c r="P107" i="11"/>
  <c r="Q107" i="11" s="1"/>
  <c r="P106" i="11"/>
  <c r="Q106" i="11" s="1"/>
  <c r="P105" i="11"/>
  <c r="Q105" i="11" s="1"/>
  <c r="P104" i="11"/>
  <c r="Q104" i="11" s="1"/>
  <c r="P103" i="11"/>
  <c r="Q103" i="11" s="1"/>
  <c r="P102" i="11"/>
  <c r="Q102" i="11" s="1"/>
  <c r="P101" i="11"/>
  <c r="Q101" i="11" s="1"/>
  <c r="P100" i="11"/>
  <c r="Q100" i="11" s="1"/>
  <c r="P99" i="11"/>
  <c r="Q99" i="11" s="1"/>
  <c r="P98" i="11"/>
  <c r="Q98" i="11" s="1"/>
  <c r="P97" i="11"/>
  <c r="Q97" i="11" s="1"/>
  <c r="P96" i="11"/>
  <c r="Q96" i="11" s="1"/>
  <c r="P95" i="11"/>
  <c r="Q95" i="11" s="1"/>
  <c r="P94" i="11"/>
  <c r="Q94" i="11" s="1"/>
  <c r="P93" i="11"/>
  <c r="Q93" i="11" s="1"/>
  <c r="P92" i="11"/>
  <c r="Q92" i="11" s="1"/>
  <c r="P91" i="11"/>
  <c r="Q91" i="11" s="1"/>
  <c r="P90" i="11"/>
  <c r="Q90" i="11" s="1"/>
  <c r="P89" i="11"/>
  <c r="Q89" i="11" s="1"/>
  <c r="P88" i="11"/>
  <c r="Q88" i="11" s="1"/>
  <c r="P87" i="11"/>
  <c r="Q87" i="11" s="1"/>
  <c r="P86" i="11"/>
  <c r="Q86" i="11" s="1"/>
  <c r="P85" i="11"/>
  <c r="Q85" i="11" s="1"/>
  <c r="P84" i="11"/>
  <c r="Q84" i="11" s="1"/>
  <c r="P83" i="11"/>
  <c r="Q83" i="11" s="1"/>
  <c r="P82" i="11"/>
  <c r="Q82" i="11" s="1"/>
  <c r="P81" i="11"/>
  <c r="Q81" i="11" s="1"/>
  <c r="P80" i="11"/>
  <c r="Q80" i="11" s="1"/>
  <c r="P79" i="11"/>
  <c r="Q79" i="11" s="1"/>
  <c r="P78" i="11"/>
  <c r="Q78" i="11" s="1"/>
  <c r="P77" i="11"/>
  <c r="Q77" i="11" s="1"/>
  <c r="P76" i="11"/>
  <c r="Q76" i="11" s="1"/>
  <c r="P75" i="11"/>
  <c r="Q75" i="11" s="1"/>
  <c r="P74" i="11"/>
  <c r="Q74" i="11" s="1"/>
  <c r="P73" i="11"/>
  <c r="Q73" i="11" s="1"/>
  <c r="P72" i="11"/>
  <c r="Q72" i="11" s="1"/>
  <c r="P71" i="11"/>
  <c r="Q71" i="11" s="1"/>
  <c r="P70" i="11"/>
  <c r="Q70" i="11" s="1"/>
  <c r="P69" i="11"/>
  <c r="Q69" i="11" s="1"/>
  <c r="P68" i="11"/>
  <c r="Q68" i="11" s="1"/>
  <c r="P67" i="11"/>
  <c r="Q67" i="11" s="1"/>
  <c r="P66" i="11"/>
  <c r="Q66" i="11" s="1"/>
  <c r="P65" i="11"/>
  <c r="Q65" i="11" s="1"/>
  <c r="P64" i="11"/>
  <c r="Q64" i="11" s="1"/>
  <c r="P63" i="11"/>
  <c r="Q63" i="11" s="1"/>
  <c r="P62" i="11"/>
  <c r="Q62" i="11" s="1"/>
  <c r="P61" i="11"/>
  <c r="Q61" i="11" s="1"/>
  <c r="P60" i="11"/>
  <c r="Q60" i="11" s="1"/>
  <c r="P59" i="11"/>
  <c r="Q59" i="11" s="1"/>
  <c r="P58" i="11"/>
  <c r="Q58" i="11" s="1"/>
  <c r="P57" i="11"/>
  <c r="Q57" i="11" s="1"/>
  <c r="P56" i="11"/>
  <c r="Q56" i="11" s="1"/>
  <c r="P55" i="11"/>
  <c r="Q55" i="11" s="1"/>
  <c r="P54" i="11"/>
  <c r="Q54" i="11" s="1"/>
  <c r="P53" i="11"/>
  <c r="Q53" i="11" s="1"/>
  <c r="P52" i="11"/>
  <c r="Q52" i="11" s="1"/>
  <c r="P51" i="11"/>
  <c r="Q51" i="11" s="1"/>
  <c r="P50" i="11"/>
  <c r="Q50" i="11" s="1"/>
  <c r="P49" i="11"/>
  <c r="Q49" i="11" s="1"/>
  <c r="P48" i="11"/>
  <c r="Q48" i="11" s="1"/>
  <c r="P47" i="11"/>
  <c r="Q47" i="11" s="1"/>
  <c r="P46" i="11"/>
  <c r="Q46" i="11" s="1"/>
  <c r="P45" i="11"/>
  <c r="Q45" i="11" s="1"/>
  <c r="P44" i="11"/>
  <c r="Q44" i="11" s="1"/>
  <c r="P43" i="11"/>
  <c r="Q43" i="11" s="1"/>
  <c r="P42" i="11"/>
  <c r="Q42" i="11" s="1"/>
  <c r="P41" i="11"/>
  <c r="Q41" i="11" s="1"/>
  <c r="P40" i="11"/>
  <c r="Q40" i="11" s="1"/>
  <c r="P39" i="11"/>
  <c r="Q39" i="11" s="1"/>
  <c r="P38" i="11"/>
  <c r="Q38" i="11" s="1"/>
  <c r="P37" i="11"/>
  <c r="Q37" i="11" s="1"/>
  <c r="P36" i="11"/>
  <c r="Q36" i="11" s="1"/>
  <c r="P35" i="11"/>
  <c r="Q35" i="11" s="1"/>
  <c r="P34" i="11"/>
  <c r="Q34" i="11" s="1"/>
  <c r="P33" i="11"/>
  <c r="Q33" i="11" s="1"/>
  <c r="P32" i="11"/>
  <c r="Q32" i="11" s="1"/>
  <c r="P31" i="11"/>
  <c r="Q31" i="11" s="1"/>
  <c r="P30" i="11"/>
  <c r="Q30" i="11" s="1"/>
  <c r="P29" i="11"/>
  <c r="Q29" i="11" s="1"/>
  <c r="P28" i="11"/>
  <c r="Q28" i="11" s="1"/>
  <c r="P27" i="11"/>
  <c r="Q27" i="11" s="1"/>
  <c r="P26" i="11"/>
  <c r="Q26" i="11" s="1"/>
  <c r="P25" i="11"/>
  <c r="Q25" i="11" s="1"/>
  <c r="P24" i="11"/>
  <c r="Q24" i="11" s="1"/>
  <c r="P23" i="11"/>
  <c r="Q23" i="11" s="1"/>
  <c r="P22" i="11"/>
  <c r="Q22" i="11" s="1"/>
  <c r="P21" i="11"/>
  <c r="Q21" i="11" s="1"/>
  <c r="P20" i="11"/>
  <c r="Q20" i="11" s="1"/>
  <c r="P19" i="11"/>
  <c r="Q19" i="11" s="1"/>
  <c r="P18" i="11"/>
  <c r="Q18" i="11" s="1"/>
  <c r="P17" i="11"/>
  <c r="Q17" i="11" s="1"/>
  <c r="P16" i="11"/>
  <c r="Q16" i="11" s="1"/>
  <c r="P15" i="11"/>
  <c r="Q15" i="11" s="1"/>
  <c r="P14" i="11"/>
  <c r="Q14" i="11" s="1"/>
  <c r="P13" i="11"/>
  <c r="Q13" i="11" s="1"/>
  <c r="P12" i="11"/>
  <c r="Q12" i="11" s="1"/>
  <c r="P11" i="11"/>
  <c r="Q11" i="11" s="1"/>
  <c r="P10" i="11"/>
  <c r="Q10" i="11" s="1"/>
  <c r="P9" i="11"/>
  <c r="Q9" i="11" s="1"/>
  <c r="P8" i="11"/>
  <c r="Q8" i="11" s="1"/>
  <c r="P7" i="11"/>
  <c r="Q7" i="11" s="1"/>
  <c r="T6" i="11"/>
  <c r="P6" i="11"/>
  <c r="Q6" i="11" s="1"/>
  <c r="T5" i="11"/>
  <c r="G1" i="11" s="1"/>
  <c r="M25" i="4" s="1"/>
  <c r="P5" i="11"/>
  <c r="Q5" i="11" s="1"/>
  <c r="T4" i="11"/>
  <c r="P4" i="11"/>
  <c r="Q4" i="11" s="1"/>
  <c r="T3" i="11"/>
  <c r="T7" i="11" s="1"/>
  <c r="C1" i="11" s="1"/>
  <c r="G25" i="4" s="1"/>
  <c r="P3" i="11"/>
  <c r="P189" i="10"/>
  <c r="Q189" i="10" s="1"/>
  <c r="P188" i="10"/>
  <c r="Q188" i="10" s="1"/>
  <c r="P187" i="10"/>
  <c r="Q187" i="10" s="1"/>
  <c r="P186" i="10"/>
  <c r="Q186" i="10" s="1"/>
  <c r="P185" i="10"/>
  <c r="Q185" i="10" s="1"/>
  <c r="P184" i="10"/>
  <c r="Q184" i="10" s="1"/>
  <c r="P183" i="10"/>
  <c r="Q183" i="10" s="1"/>
  <c r="P182" i="10"/>
  <c r="Q182" i="10" s="1"/>
  <c r="P181" i="10"/>
  <c r="Q181" i="10" s="1"/>
  <c r="P180" i="10"/>
  <c r="Q180" i="10" s="1"/>
  <c r="P179" i="10"/>
  <c r="Q179" i="10" s="1"/>
  <c r="P178" i="10"/>
  <c r="Q178" i="10" s="1"/>
  <c r="P177" i="10"/>
  <c r="Q177" i="10" s="1"/>
  <c r="P176" i="10"/>
  <c r="Q176" i="10" s="1"/>
  <c r="P175" i="10"/>
  <c r="Q175" i="10" s="1"/>
  <c r="P174" i="10"/>
  <c r="Q174" i="10" s="1"/>
  <c r="P173" i="10"/>
  <c r="Q173" i="10" s="1"/>
  <c r="Q172" i="10"/>
  <c r="P172" i="10"/>
  <c r="P171" i="10"/>
  <c r="Q171" i="10" s="1"/>
  <c r="P170" i="10"/>
  <c r="Q170" i="10" s="1"/>
  <c r="P169" i="10"/>
  <c r="Q169" i="10" s="1"/>
  <c r="P168" i="10"/>
  <c r="Q168" i="10" s="1"/>
  <c r="P167" i="10"/>
  <c r="Q167" i="10" s="1"/>
  <c r="P166" i="10"/>
  <c r="Q166" i="10" s="1"/>
  <c r="P165" i="10"/>
  <c r="Q165" i="10" s="1"/>
  <c r="P164" i="10"/>
  <c r="Q164" i="10" s="1"/>
  <c r="P163" i="10"/>
  <c r="Q163" i="10" s="1"/>
  <c r="P162" i="10"/>
  <c r="Q162" i="10" s="1"/>
  <c r="P161" i="10"/>
  <c r="Q161" i="10" s="1"/>
  <c r="P160" i="10"/>
  <c r="Q160" i="10" s="1"/>
  <c r="P159" i="10"/>
  <c r="Q159" i="10" s="1"/>
  <c r="P158" i="10"/>
  <c r="Q158" i="10" s="1"/>
  <c r="P157" i="10"/>
  <c r="Q157" i="10" s="1"/>
  <c r="P156" i="10"/>
  <c r="Q156" i="10" s="1"/>
  <c r="P155" i="10"/>
  <c r="Q155" i="10" s="1"/>
  <c r="P154" i="10"/>
  <c r="Q154" i="10" s="1"/>
  <c r="P153" i="10"/>
  <c r="Q153" i="10" s="1"/>
  <c r="P152" i="10"/>
  <c r="Q152" i="10" s="1"/>
  <c r="P151" i="10"/>
  <c r="Q151" i="10" s="1"/>
  <c r="P150" i="10"/>
  <c r="Q150" i="10" s="1"/>
  <c r="P149" i="10"/>
  <c r="Q149" i="10" s="1"/>
  <c r="Q148" i="10"/>
  <c r="P148" i="10"/>
  <c r="P147" i="10"/>
  <c r="Q147" i="10" s="1"/>
  <c r="P146" i="10"/>
  <c r="Q146" i="10" s="1"/>
  <c r="P145" i="10"/>
  <c r="Q145" i="10" s="1"/>
  <c r="P144" i="10"/>
  <c r="Q144" i="10" s="1"/>
  <c r="P143" i="10"/>
  <c r="Q143" i="10" s="1"/>
  <c r="P142" i="10"/>
  <c r="Q142" i="10" s="1"/>
  <c r="P141" i="10"/>
  <c r="Q141" i="10" s="1"/>
  <c r="P140" i="10"/>
  <c r="Q140" i="10" s="1"/>
  <c r="P139" i="10"/>
  <c r="Q139" i="10" s="1"/>
  <c r="P138" i="10"/>
  <c r="Q138" i="10" s="1"/>
  <c r="P137" i="10"/>
  <c r="Q137" i="10" s="1"/>
  <c r="P136" i="10"/>
  <c r="Q136" i="10" s="1"/>
  <c r="P135" i="10"/>
  <c r="Q135" i="10" s="1"/>
  <c r="P134" i="10"/>
  <c r="Q134" i="10" s="1"/>
  <c r="P133" i="10"/>
  <c r="Q133" i="10" s="1"/>
  <c r="P132" i="10"/>
  <c r="Q132" i="10" s="1"/>
  <c r="P131" i="10"/>
  <c r="Q131" i="10" s="1"/>
  <c r="P130" i="10"/>
  <c r="Q130" i="10" s="1"/>
  <c r="P129" i="10"/>
  <c r="Q129" i="10" s="1"/>
  <c r="P128" i="10"/>
  <c r="Q128" i="10" s="1"/>
  <c r="P127" i="10"/>
  <c r="Q127" i="10" s="1"/>
  <c r="P126" i="10"/>
  <c r="Q126" i="10" s="1"/>
  <c r="P125" i="10"/>
  <c r="Q125" i="10" s="1"/>
  <c r="P124" i="10"/>
  <c r="Q124" i="10" s="1"/>
  <c r="P123" i="10"/>
  <c r="Q123" i="10" s="1"/>
  <c r="P122" i="10"/>
  <c r="Q122" i="10" s="1"/>
  <c r="P121" i="10"/>
  <c r="Q121" i="10" s="1"/>
  <c r="P120" i="10"/>
  <c r="Q120" i="10" s="1"/>
  <c r="P119" i="10"/>
  <c r="Q119" i="10" s="1"/>
  <c r="P118" i="10"/>
  <c r="Q118" i="10" s="1"/>
  <c r="P117" i="10"/>
  <c r="Q117" i="10" s="1"/>
  <c r="P116" i="10"/>
  <c r="Q116" i="10" s="1"/>
  <c r="P115" i="10"/>
  <c r="Q115" i="10" s="1"/>
  <c r="P114" i="10"/>
  <c r="Q114" i="10" s="1"/>
  <c r="P113" i="10"/>
  <c r="Q113" i="10" s="1"/>
  <c r="P112" i="10"/>
  <c r="Q112" i="10" s="1"/>
  <c r="P111" i="10"/>
  <c r="Q111" i="10" s="1"/>
  <c r="P110" i="10"/>
  <c r="Q110" i="10" s="1"/>
  <c r="P109" i="10"/>
  <c r="Q109" i="10" s="1"/>
  <c r="Q108" i="10"/>
  <c r="P108" i="10"/>
  <c r="P107" i="10"/>
  <c r="Q107" i="10" s="1"/>
  <c r="P106" i="10"/>
  <c r="Q106" i="10" s="1"/>
  <c r="P105" i="10"/>
  <c r="Q105" i="10" s="1"/>
  <c r="P104" i="10"/>
  <c r="Q104" i="10" s="1"/>
  <c r="P103" i="10"/>
  <c r="Q103" i="10" s="1"/>
  <c r="P102" i="10"/>
  <c r="Q102" i="10" s="1"/>
  <c r="P101" i="10"/>
  <c r="Q101" i="10" s="1"/>
  <c r="P100" i="10"/>
  <c r="Q100" i="10" s="1"/>
  <c r="P99" i="10"/>
  <c r="Q99" i="10" s="1"/>
  <c r="P98" i="10"/>
  <c r="Q98" i="10" s="1"/>
  <c r="P97" i="10"/>
  <c r="Q97" i="10" s="1"/>
  <c r="P96" i="10"/>
  <c r="Q96" i="10" s="1"/>
  <c r="P95" i="10"/>
  <c r="Q95" i="10" s="1"/>
  <c r="P94" i="10"/>
  <c r="Q94" i="10" s="1"/>
  <c r="P93" i="10"/>
  <c r="Q93" i="10" s="1"/>
  <c r="P92" i="10"/>
  <c r="Q92" i="10" s="1"/>
  <c r="P91" i="10"/>
  <c r="Q91" i="10" s="1"/>
  <c r="P90" i="10"/>
  <c r="Q90" i="10" s="1"/>
  <c r="P89" i="10"/>
  <c r="Q89" i="10" s="1"/>
  <c r="P88" i="10"/>
  <c r="Q88" i="10" s="1"/>
  <c r="P87" i="10"/>
  <c r="Q87" i="10" s="1"/>
  <c r="P86" i="10"/>
  <c r="Q86" i="10" s="1"/>
  <c r="P85" i="10"/>
  <c r="Q85" i="10" s="1"/>
  <c r="P84" i="10"/>
  <c r="Q84" i="10" s="1"/>
  <c r="P83" i="10"/>
  <c r="Q83" i="10" s="1"/>
  <c r="P82" i="10"/>
  <c r="Q82" i="10" s="1"/>
  <c r="P81" i="10"/>
  <c r="Q81" i="10" s="1"/>
  <c r="P80" i="10"/>
  <c r="Q80" i="10" s="1"/>
  <c r="P79" i="10"/>
  <c r="Q79" i="10" s="1"/>
  <c r="P78" i="10"/>
  <c r="Q78" i="10" s="1"/>
  <c r="P77" i="10"/>
  <c r="Q77" i="10" s="1"/>
  <c r="P76" i="10"/>
  <c r="Q76" i="10" s="1"/>
  <c r="P75" i="10"/>
  <c r="Q75" i="10" s="1"/>
  <c r="P74" i="10"/>
  <c r="Q74" i="10" s="1"/>
  <c r="P73" i="10"/>
  <c r="Q73" i="10" s="1"/>
  <c r="P72" i="10"/>
  <c r="Q72" i="10" s="1"/>
  <c r="P71" i="10"/>
  <c r="Q71" i="10" s="1"/>
  <c r="P70" i="10"/>
  <c r="Q70" i="10" s="1"/>
  <c r="P69" i="10"/>
  <c r="Q69" i="10" s="1"/>
  <c r="P68" i="10"/>
  <c r="Q68" i="10" s="1"/>
  <c r="P67" i="10"/>
  <c r="Q67" i="10" s="1"/>
  <c r="P66" i="10"/>
  <c r="Q66" i="10" s="1"/>
  <c r="P65" i="10"/>
  <c r="Q65" i="10" s="1"/>
  <c r="P64" i="10"/>
  <c r="Q64" i="10" s="1"/>
  <c r="P63" i="10"/>
  <c r="Q63" i="10" s="1"/>
  <c r="P62" i="10"/>
  <c r="Q62" i="10" s="1"/>
  <c r="P61" i="10"/>
  <c r="Q61" i="10" s="1"/>
  <c r="P60" i="10"/>
  <c r="Q60" i="10" s="1"/>
  <c r="P59" i="10"/>
  <c r="Q59" i="10" s="1"/>
  <c r="P58" i="10"/>
  <c r="Q58" i="10" s="1"/>
  <c r="P57" i="10"/>
  <c r="Q57" i="10" s="1"/>
  <c r="P56" i="10"/>
  <c r="Q56" i="10" s="1"/>
  <c r="P55" i="10"/>
  <c r="Q55" i="10" s="1"/>
  <c r="P54" i="10"/>
  <c r="Q54" i="10" s="1"/>
  <c r="P53" i="10"/>
  <c r="Q53" i="10" s="1"/>
  <c r="P52" i="10"/>
  <c r="Q52" i="10" s="1"/>
  <c r="P51" i="10"/>
  <c r="Q51" i="10" s="1"/>
  <c r="P50" i="10"/>
  <c r="Q50" i="10" s="1"/>
  <c r="P49" i="10"/>
  <c r="Q49" i="10" s="1"/>
  <c r="P48" i="10"/>
  <c r="Q48" i="10" s="1"/>
  <c r="P47" i="10"/>
  <c r="Q47" i="10" s="1"/>
  <c r="P46" i="10"/>
  <c r="Q46" i="10" s="1"/>
  <c r="P45" i="10"/>
  <c r="Q45" i="10" s="1"/>
  <c r="P44" i="10"/>
  <c r="Q44" i="10" s="1"/>
  <c r="P43" i="10"/>
  <c r="Q43" i="10" s="1"/>
  <c r="P42" i="10"/>
  <c r="Q42" i="10" s="1"/>
  <c r="P41" i="10"/>
  <c r="Q41" i="10" s="1"/>
  <c r="P40" i="10"/>
  <c r="Q40" i="10" s="1"/>
  <c r="P39" i="10"/>
  <c r="Q39" i="10" s="1"/>
  <c r="P38" i="10"/>
  <c r="Q38" i="10" s="1"/>
  <c r="P37" i="10"/>
  <c r="Q37" i="10" s="1"/>
  <c r="P36" i="10"/>
  <c r="Q36" i="10" s="1"/>
  <c r="P35" i="10"/>
  <c r="Q35" i="10" s="1"/>
  <c r="P34" i="10"/>
  <c r="Q34" i="10" s="1"/>
  <c r="P33" i="10"/>
  <c r="Q33" i="10" s="1"/>
  <c r="P32" i="10"/>
  <c r="Q32" i="10" s="1"/>
  <c r="P31" i="10"/>
  <c r="Q31" i="10" s="1"/>
  <c r="P30" i="10"/>
  <c r="Q30" i="10" s="1"/>
  <c r="P29" i="10"/>
  <c r="Q29" i="10" s="1"/>
  <c r="P28" i="10"/>
  <c r="Q28" i="10" s="1"/>
  <c r="P27" i="10"/>
  <c r="Q27" i="10" s="1"/>
  <c r="P26" i="10"/>
  <c r="Q26" i="10" s="1"/>
  <c r="P25" i="10"/>
  <c r="Q25" i="10" s="1"/>
  <c r="P24" i="10"/>
  <c r="Q24" i="10" s="1"/>
  <c r="P23" i="10"/>
  <c r="Q23" i="10" s="1"/>
  <c r="P22" i="10"/>
  <c r="Q22" i="10" s="1"/>
  <c r="P21" i="10"/>
  <c r="Q21" i="10" s="1"/>
  <c r="P20" i="10"/>
  <c r="Q20" i="10" s="1"/>
  <c r="P19" i="10"/>
  <c r="Q19" i="10" s="1"/>
  <c r="P18" i="10"/>
  <c r="Q18" i="10" s="1"/>
  <c r="P17" i="10"/>
  <c r="Q17" i="10" s="1"/>
  <c r="P16" i="10"/>
  <c r="Q16" i="10" s="1"/>
  <c r="P15" i="10"/>
  <c r="Q15" i="10" s="1"/>
  <c r="P14" i="10"/>
  <c r="Q14" i="10" s="1"/>
  <c r="P13" i="10"/>
  <c r="Q13" i="10" s="1"/>
  <c r="P12" i="10"/>
  <c r="Q12" i="10" s="1"/>
  <c r="P11" i="10"/>
  <c r="Q11" i="10" s="1"/>
  <c r="P10" i="10"/>
  <c r="Q10" i="10" s="1"/>
  <c r="P9" i="10"/>
  <c r="Q9" i="10" s="1"/>
  <c r="P8" i="10"/>
  <c r="Q8" i="10" s="1"/>
  <c r="P7" i="10"/>
  <c r="Q7" i="10" s="1"/>
  <c r="T6" i="10"/>
  <c r="P6" i="10"/>
  <c r="Q6" i="10" s="1"/>
  <c r="T5" i="10"/>
  <c r="P5" i="10"/>
  <c r="Q5" i="10" s="1"/>
  <c r="T4" i="10"/>
  <c r="K24" i="4" s="1"/>
  <c r="P4" i="10"/>
  <c r="Q4" i="10" s="1"/>
  <c r="T3" i="10"/>
  <c r="P3" i="10"/>
  <c r="L25" i="4" l="1"/>
  <c r="T7" i="15"/>
  <c r="C1" i="15" s="1"/>
  <c r="G29" i="4" s="1"/>
  <c r="L29" i="4"/>
  <c r="L26" i="4"/>
  <c r="E1" i="12"/>
  <c r="E1" i="10"/>
  <c r="T7" i="10"/>
  <c r="C1" i="10" s="1"/>
  <c r="G24" i="4" s="1"/>
  <c r="L24" i="4"/>
  <c r="G1" i="10"/>
  <c r="M24" i="4" s="1"/>
  <c r="T9" i="15"/>
  <c r="U9" i="15"/>
  <c r="V9" i="15"/>
  <c r="Q3" i="15"/>
  <c r="E1" i="15"/>
  <c r="E1" i="14"/>
  <c r="T7" i="14"/>
  <c r="C1" i="14" s="1"/>
  <c r="G28" i="4" s="1"/>
  <c r="K28" i="4"/>
  <c r="L28" i="4"/>
  <c r="U9" i="14"/>
  <c r="Q6" i="14"/>
  <c r="T9" i="14"/>
  <c r="Q3" i="14"/>
  <c r="V9" i="14"/>
  <c r="Q4" i="12"/>
  <c r="U9" i="12"/>
  <c r="T9" i="12"/>
  <c r="Q3" i="12"/>
  <c r="V9" i="12"/>
  <c r="T9" i="11"/>
  <c r="U9" i="11"/>
  <c r="Q3" i="11"/>
  <c r="V9" i="11"/>
  <c r="E1" i="11"/>
  <c r="T9" i="10"/>
  <c r="U9" i="10"/>
  <c r="Q3" i="10"/>
  <c r="V9" i="10"/>
  <c r="AR2" i="17" l="1" a="1"/>
  <c r="AR2" i="17" s="1"/>
  <c r="AR3" i="17" a="1"/>
  <c r="AR3" i="17" s="1"/>
  <c r="AR7" i="17" a="1"/>
  <c r="AR7" i="17" s="1"/>
  <c r="AR11" i="17" a="1"/>
  <c r="AR11" i="17" s="1"/>
  <c r="AR15" i="17" a="1"/>
  <c r="AR15" i="17" s="1"/>
  <c r="AR19" i="17" a="1"/>
  <c r="AR19" i="17" s="1"/>
  <c r="AR23" i="17" a="1"/>
  <c r="AR23" i="17" s="1"/>
  <c r="AR27" i="17" a="1"/>
  <c r="AR27" i="17" s="1"/>
  <c r="AR31" i="17" a="1"/>
  <c r="AR31" i="17" s="1"/>
  <c r="AR35" i="17" a="1"/>
  <c r="AR35" i="17" s="1"/>
  <c r="AR12" i="17" a="1"/>
  <c r="AR12" i="17" s="1"/>
  <c r="AR20" i="17" a="1"/>
  <c r="AR20" i="17" s="1"/>
  <c r="AR24" i="17" a="1"/>
  <c r="AR24" i="17" s="1"/>
  <c r="AR32" i="17" a="1"/>
  <c r="AR32" i="17" s="1"/>
  <c r="AR40" i="17" a="1"/>
  <c r="AR40" i="17" s="1"/>
  <c r="AR48" i="17" a="1"/>
  <c r="AR48" i="17" s="1"/>
  <c r="AR43" i="17" a="1"/>
  <c r="AR43" i="17" s="1"/>
  <c r="AR4" i="17" a="1"/>
  <c r="AR4" i="17" s="1"/>
  <c r="AR8" i="17" a="1"/>
  <c r="AR8" i="17" s="1"/>
  <c r="AR16" i="17" a="1"/>
  <c r="AR16" i="17" s="1"/>
  <c r="AR28" i="17" a="1"/>
  <c r="AR28" i="17" s="1"/>
  <c r="AR36" i="17" a="1"/>
  <c r="AR36" i="17" s="1"/>
  <c r="AR44" i="17" a="1"/>
  <c r="AR44" i="17" s="1"/>
  <c r="AR5" i="17" a="1"/>
  <c r="AR5" i="17" s="1"/>
  <c r="AR13" i="17" a="1"/>
  <c r="AR13" i="17" s="1"/>
  <c r="AR21" i="17" a="1"/>
  <c r="AR21" i="17" s="1"/>
  <c r="AR29" i="17" a="1"/>
  <c r="AR29" i="17" s="1"/>
  <c r="AR37" i="17" a="1"/>
  <c r="AR37" i="17" s="1"/>
  <c r="AR45" i="17" a="1"/>
  <c r="AR45" i="17" s="1"/>
  <c r="AR9" i="17" a="1"/>
  <c r="AR9" i="17" s="1"/>
  <c r="AR17" i="17" a="1"/>
  <c r="AR17" i="17" s="1"/>
  <c r="AR25" i="17" a="1"/>
  <c r="AR25" i="17" s="1"/>
  <c r="AR33" i="17" a="1"/>
  <c r="AR33" i="17" s="1"/>
  <c r="AR41" i="17" a="1"/>
  <c r="AR41" i="17" s="1"/>
  <c r="AR39" i="17" a="1"/>
  <c r="AR39" i="17" s="1"/>
  <c r="AR18" i="17" a="1"/>
  <c r="AR18" i="17" s="1"/>
  <c r="AR30" i="17" a="1"/>
  <c r="AR30" i="17" s="1"/>
  <c r="AR38" i="17" a="1"/>
  <c r="AR38" i="17" s="1"/>
  <c r="AR6" i="17" a="1"/>
  <c r="AR6" i="17" s="1"/>
  <c r="AR10" i="17" a="1"/>
  <c r="AR10" i="17" s="1"/>
  <c r="AR14" i="17" a="1"/>
  <c r="AR14" i="17" s="1"/>
  <c r="AR22" i="17" a="1"/>
  <c r="AR22" i="17" s="1"/>
  <c r="AR26" i="17" a="1"/>
  <c r="AR26" i="17" s="1"/>
  <c r="AR34" i="17" a="1"/>
  <c r="AR34" i="17" s="1"/>
  <c r="AR42" i="17" a="1"/>
  <c r="AR42" i="17" s="1"/>
  <c r="AR46" i="17" a="1"/>
  <c r="AR46" i="17" s="1"/>
  <c r="AR47" i="17" a="1"/>
  <c r="AR47" i="17" s="1"/>
  <c r="AS2" i="17" a="1"/>
  <c r="AS2" i="17" s="1"/>
  <c r="AS3" i="17" a="1"/>
  <c r="AS3" i="17" s="1"/>
  <c r="AS7" i="17" a="1"/>
  <c r="AS7" i="17" s="1"/>
  <c r="AS11" i="17" a="1"/>
  <c r="AS11" i="17" s="1"/>
  <c r="AS15" i="17" a="1"/>
  <c r="AS15" i="17" s="1"/>
  <c r="AS19" i="17" a="1"/>
  <c r="AS19" i="17" s="1"/>
  <c r="AS23" i="17" a="1"/>
  <c r="AS23" i="17" s="1"/>
  <c r="AS27" i="17" a="1"/>
  <c r="AS27" i="17" s="1"/>
  <c r="AS31" i="17" a="1"/>
  <c r="AS31" i="17" s="1"/>
  <c r="AS8" i="17" a="1"/>
  <c r="AS8" i="17" s="1"/>
  <c r="AS20" i="17" a="1"/>
  <c r="AS20" i="17" s="1"/>
  <c r="AS28" i="17" a="1"/>
  <c r="AS28" i="17" s="1"/>
  <c r="AS32" i="17" a="1"/>
  <c r="AS32" i="17" s="1"/>
  <c r="AS44" i="17" a="1"/>
  <c r="AS44" i="17" s="1"/>
  <c r="AS35" i="17" a="1"/>
  <c r="AS35" i="17" s="1"/>
  <c r="AS4" i="17" a="1"/>
  <c r="AS4" i="17" s="1"/>
  <c r="AS12" i="17" a="1"/>
  <c r="AS12" i="17" s="1"/>
  <c r="AS16" i="17" a="1"/>
  <c r="AS16" i="17" s="1"/>
  <c r="AS24" i="17" a="1"/>
  <c r="AS24" i="17" s="1"/>
  <c r="AS36" i="17" a="1"/>
  <c r="AS36" i="17" s="1"/>
  <c r="AS40" i="17" a="1"/>
  <c r="AS40" i="17" s="1"/>
  <c r="AS48" i="17" a="1"/>
  <c r="AS48" i="17" s="1"/>
  <c r="AS13" i="17" a="1"/>
  <c r="AS13" i="17" s="1"/>
  <c r="AS21" i="17" a="1"/>
  <c r="AS21" i="17" s="1"/>
  <c r="AS29" i="17" a="1"/>
  <c r="AS29" i="17" s="1"/>
  <c r="AS37" i="17" a="1"/>
  <c r="AS37" i="17" s="1"/>
  <c r="AS45" i="17" a="1"/>
  <c r="AS45" i="17" s="1"/>
  <c r="AS47" i="17" a="1"/>
  <c r="AS47" i="17" s="1"/>
  <c r="AS5" i="17" a="1"/>
  <c r="AS5" i="17" s="1"/>
  <c r="AS9" i="17" a="1"/>
  <c r="AS9" i="17" s="1"/>
  <c r="AS17" i="17" a="1"/>
  <c r="AS17" i="17" s="1"/>
  <c r="AS25" i="17" a="1"/>
  <c r="AS25" i="17" s="1"/>
  <c r="AS33" i="17" a="1"/>
  <c r="AS33" i="17" s="1"/>
  <c r="AS41" i="17" a="1"/>
  <c r="AS41" i="17" s="1"/>
  <c r="AS43" i="17" a="1"/>
  <c r="AS43" i="17" s="1"/>
  <c r="AS14" i="17" a="1"/>
  <c r="AS14" i="17" s="1"/>
  <c r="AS22" i="17" a="1"/>
  <c r="AS22" i="17" s="1"/>
  <c r="AS30" i="17" a="1"/>
  <c r="AS30" i="17" s="1"/>
  <c r="AS38" i="17" a="1"/>
  <c r="AS38" i="17" s="1"/>
  <c r="AS46" i="17" a="1"/>
  <c r="AS46" i="17" s="1"/>
  <c r="AS39" i="17" a="1"/>
  <c r="AS39" i="17" s="1"/>
  <c r="AS6" i="17" a="1"/>
  <c r="AS6" i="17" s="1"/>
  <c r="AS10" i="17" a="1"/>
  <c r="AS10" i="17" s="1"/>
  <c r="AS18" i="17" a="1"/>
  <c r="AS18" i="17" s="1"/>
  <c r="AS26" i="17" a="1"/>
  <c r="AS26" i="17" s="1"/>
  <c r="AS34" i="17" a="1"/>
  <c r="AS34" i="17" s="1"/>
  <c r="AS42" i="17" a="1"/>
  <c r="AS42" i="17" s="1"/>
  <c r="AT2" i="17" a="1"/>
  <c r="AT2" i="17" s="1"/>
  <c r="AT3" i="17" a="1"/>
  <c r="AT3" i="17" s="1"/>
  <c r="AT7" i="17" a="1"/>
  <c r="AT7" i="17" s="1"/>
  <c r="AT11" i="17" a="1"/>
  <c r="AT11" i="17" s="1"/>
  <c r="AT15" i="17" a="1"/>
  <c r="AT15" i="17" s="1"/>
  <c r="AT19" i="17" a="1"/>
  <c r="AT19" i="17" s="1"/>
  <c r="AT23" i="17" a="1"/>
  <c r="AT23" i="17" s="1"/>
  <c r="AT27" i="17" a="1"/>
  <c r="AT27" i="17" s="1"/>
  <c r="AT31" i="17" a="1"/>
  <c r="AT31" i="17" s="1"/>
  <c r="AT35" i="17" a="1"/>
  <c r="AT35" i="17" s="1"/>
  <c r="AT39" i="17" a="1"/>
  <c r="AT39" i="17" s="1"/>
  <c r="AT8" i="17" a="1"/>
  <c r="AT8" i="17" s="1"/>
  <c r="AT16" i="17" a="1"/>
  <c r="AT16" i="17" s="1"/>
  <c r="AT24" i="17" a="1"/>
  <c r="AT24" i="17" s="1"/>
  <c r="AT32" i="17" a="1"/>
  <c r="AT32" i="17" s="1"/>
  <c r="AT40" i="17" a="1"/>
  <c r="AT40" i="17" s="1"/>
  <c r="AT48" i="17" a="1"/>
  <c r="AT48" i="17" s="1"/>
  <c r="AT38" i="17" a="1"/>
  <c r="AT38" i="17" s="1"/>
  <c r="AT4" i="17" a="1"/>
  <c r="AT4" i="17" s="1"/>
  <c r="AT12" i="17" a="1"/>
  <c r="AT12" i="17" s="1"/>
  <c r="AT20" i="17" a="1"/>
  <c r="AT20" i="17" s="1"/>
  <c r="AT28" i="17" a="1"/>
  <c r="AT28" i="17" s="1"/>
  <c r="AT36" i="17" a="1"/>
  <c r="AT36" i="17" s="1"/>
  <c r="AT44" i="17" a="1"/>
  <c r="AT44" i="17" s="1"/>
  <c r="AT34" i="17" a="1"/>
  <c r="AT34" i="17" s="1"/>
  <c r="AT47" i="17" a="1"/>
  <c r="AT47" i="17" s="1"/>
  <c r="AT9" i="17" a="1"/>
  <c r="AT9" i="17" s="1"/>
  <c r="AT21" i="17" a="1"/>
  <c r="AT21" i="17" s="1"/>
  <c r="AT29" i="17" a="1"/>
  <c r="AT29" i="17" s="1"/>
  <c r="AT37" i="17" a="1"/>
  <c r="AT37" i="17" s="1"/>
  <c r="AT45" i="17" a="1"/>
  <c r="AT45" i="17" s="1"/>
  <c r="AT42" i="17" a="1"/>
  <c r="AT42" i="17" s="1"/>
  <c r="AT5" i="17" a="1"/>
  <c r="AT5" i="17" s="1"/>
  <c r="AT13" i="17" a="1"/>
  <c r="AT13" i="17" s="1"/>
  <c r="AT17" i="17" a="1"/>
  <c r="AT17" i="17" s="1"/>
  <c r="AT25" i="17" a="1"/>
  <c r="AT25" i="17" s="1"/>
  <c r="AT33" i="17" a="1"/>
  <c r="AT33" i="17" s="1"/>
  <c r="AT41" i="17" a="1"/>
  <c r="AT41" i="17" s="1"/>
  <c r="AT46" i="17" a="1"/>
  <c r="AT46" i="17" s="1"/>
  <c r="AT43" i="17" a="1"/>
  <c r="AT43" i="17" s="1"/>
  <c r="AT6" i="17" a="1"/>
  <c r="AT6" i="17" s="1"/>
  <c r="AT10" i="17" a="1"/>
  <c r="AT10" i="17" s="1"/>
  <c r="AT14" i="17" a="1"/>
  <c r="AT14" i="17" s="1"/>
  <c r="AT18" i="17" a="1"/>
  <c r="AT18" i="17" s="1"/>
  <c r="AT22" i="17" a="1"/>
  <c r="AT22" i="17" s="1"/>
  <c r="AT26" i="17" a="1"/>
  <c r="AT26" i="17" s="1"/>
  <c r="AT30" i="17" a="1"/>
  <c r="AT30" i="17" s="1"/>
  <c r="AU2" i="17" a="1"/>
  <c r="AU2" i="17" s="1"/>
  <c r="AU3" i="17" a="1"/>
  <c r="AU3" i="17" s="1"/>
  <c r="AU7" i="17" a="1"/>
  <c r="AU7" i="17" s="1"/>
  <c r="AU11" i="17" a="1"/>
  <c r="AU11" i="17" s="1"/>
  <c r="AU15" i="17" a="1"/>
  <c r="AU15" i="17" s="1"/>
  <c r="AU19" i="17" a="1"/>
  <c r="AU19" i="17" s="1"/>
  <c r="AU23" i="17" a="1"/>
  <c r="AU23" i="17" s="1"/>
  <c r="AU27" i="17" a="1"/>
  <c r="AU27" i="17" s="1"/>
  <c r="AU47" i="17" a="1"/>
  <c r="AU47" i="17" s="1"/>
  <c r="AU12" i="17" a="1"/>
  <c r="AU12" i="17" s="1"/>
  <c r="AU20" i="17" a="1"/>
  <c r="AU20" i="17" s="1"/>
  <c r="AU28" i="17" a="1"/>
  <c r="AU28" i="17" s="1"/>
  <c r="AU40" i="17" a="1"/>
  <c r="AU40" i="17" s="1"/>
  <c r="AU44" i="17" a="1"/>
  <c r="AU44" i="17" s="1"/>
  <c r="AU48" i="17" a="1"/>
  <c r="AU48" i="17" s="1"/>
  <c r="AU4" i="17" a="1"/>
  <c r="AU4" i="17" s="1"/>
  <c r="AU8" i="17" a="1"/>
  <c r="AU8" i="17" s="1"/>
  <c r="AU16" i="17" a="1"/>
  <c r="AU16" i="17" s="1"/>
  <c r="AU24" i="17" a="1"/>
  <c r="AU24" i="17" s="1"/>
  <c r="AU32" i="17" a="1"/>
  <c r="AU32" i="17" s="1"/>
  <c r="AU36" i="17" a="1"/>
  <c r="AU36" i="17" s="1"/>
  <c r="AU9" i="17" a="1"/>
  <c r="AU9" i="17" s="1"/>
  <c r="AU21" i="17" a="1"/>
  <c r="AU21" i="17" s="1"/>
  <c r="AU29" i="17" a="1"/>
  <c r="AU29" i="17" s="1"/>
  <c r="AU33" i="17" a="1"/>
  <c r="AU33" i="17" s="1"/>
  <c r="AU45" i="17" a="1"/>
  <c r="AU45" i="17" s="1"/>
  <c r="AU43" i="17" a="1"/>
  <c r="AU43" i="17" s="1"/>
  <c r="AU5" i="17" a="1"/>
  <c r="AU5" i="17" s="1"/>
  <c r="AU13" i="17" a="1"/>
  <c r="AU13" i="17" s="1"/>
  <c r="AU17" i="17" a="1"/>
  <c r="AU17" i="17" s="1"/>
  <c r="AU25" i="17" a="1"/>
  <c r="AU25" i="17" s="1"/>
  <c r="AU37" i="17" a="1"/>
  <c r="AU37" i="17" s="1"/>
  <c r="AU41" i="17" a="1"/>
  <c r="AU41" i="17" s="1"/>
  <c r="AU31" i="17" a="1"/>
  <c r="AU31" i="17" s="1"/>
  <c r="AU10" i="17" a="1"/>
  <c r="AU10" i="17" s="1"/>
  <c r="AU18" i="17" a="1"/>
  <c r="AU18" i="17" s="1"/>
  <c r="AU26" i="17" a="1"/>
  <c r="AU26" i="17" s="1"/>
  <c r="AU34" i="17" a="1"/>
  <c r="AU34" i="17" s="1"/>
  <c r="AU42" i="17" a="1"/>
  <c r="AU42" i="17" s="1"/>
  <c r="AU39" i="17" a="1"/>
  <c r="AU39" i="17" s="1"/>
  <c r="AU6" i="17" a="1"/>
  <c r="AU6" i="17" s="1"/>
  <c r="AU14" i="17" a="1"/>
  <c r="AU14" i="17" s="1"/>
  <c r="AU22" i="17" a="1"/>
  <c r="AU22" i="17" s="1"/>
  <c r="AU30" i="17" a="1"/>
  <c r="AU30" i="17" s="1"/>
  <c r="AU38" i="17" a="1"/>
  <c r="AU38" i="17" s="1"/>
  <c r="AU46" i="17" a="1"/>
  <c r="AU46" i="17" s="1"/>
  <c r="AU35" i="17" a="1"/>
  <c r="AU35" i="17" s="1"/>
  <c r="AV2" i="17" a="1"/>
  <c r="AV2" i="17" s="1"/>
  <c r="AV3" i="17" a="1"/>
  <c r="AV3" i="17" s="1"/>
  <c r="AV7" i="17" a="1"/>
  <c r="AV7" i="17" s="1"/>
  <c r="AV11" i="17" a="1"/>
  <c r="AV11" i="17" s="1"/>
  <c r="AV15" i="17" a="1"/>
  <c r="AV15" i="17" s="1"/>
  <c r="AV19" i="17" a="1"/>
  <c r="AV19" i="17" s="1"/>
  <c r="AV23" i="17" a="1"/>
  <c r="AV23" i="17" s="1"/>
  <c r="AV27" i="17" a="1"/>
  <c r="AV27" i="17" s="1"/>
  <c r="AV47" i="17" a="1"/>
  <c r="AV47" i="17" s="1"/>
  <c r="AV12" i="17" a="1"/>
  <c r="AV12" i="17" s="1"/>
  <c r="AV20" i="17" a="1"/>
  <c r="AV20" i="17" s="1"/>
  <c r="AV28" i="17" a="1"/>
  <c r="AV28" i="17" s="1"/>
  <c r="AV36" i="17" a="1"/>
  <c r="AV36" i="17" s="1"/>
  <c r="AV48" i="17" a="1"/>
  <c r="AV48" i="17" s="1"/>
  <c r="AV4" i="17" a="1"/>
  <c r="AV4" i="17" s="1"/>
  <c r="AV8" i="17" a="1"/>
  <c r="AV8" i="17" s="1"/>
  <c r="AV16" i="17" a="1"/>
  <c r="AV16" i="17" s="1"/>
  <c r="AV24" i="17" a="1"/>
  <c r="AV24" i="17" s="1"/>
  <c r="AV32" i="17" a="1"/>
  <c r="AV32" i="17" s="1"/>
  <c r="AV40" i="17" a="1"/>
  <c r="AV40" i="17" s="1"/>
  <c r="AV44" i="17" a="1"/>
  <c r="AV44" i="17" s="1"/>
  <c r="AV13" i="17" a="1"/>
  <c r="AV13" i="17" s="1"/>
  <c r="AV21" i="17" a="1"/>
  <c r="AV21" i="17" s="1"/>
  <c r="AV29" i="17" a="1"/>
  <c r="AV29" i="17" s="1"/>
  <c r="AV37" i="17" a="1"/>
  <c r="AV37" i="17" s="1"/>
  <c r="AV45" i="17" a="1"/>
  <c r="AV45" i="17" s="1"/>
  <c r="AV35" i="17" a="1"/>
  <c r="AV35" i="17" s="1"/>
  <c r="AV5" i="17" a="1"/>
  <c r="AV5" i="17" s="1"/>
  <c r="AV9" i="17" a="1"/>
  <c r="AV9" i="17" s="1"/>
  <c r="AV17" i="17" a="1"/>
  <c r="AV17" i="17" s="1"/>
  <c r="AV25" i="17" a="1"/>
  <c r="AV25" i="17" s="1"/>
  <c r="AV33" i="17" a="1"/>
  <c r="AV33" i="17" s="1"/>
  <c r="AV41" i="17" a="1"/>
  <c r="AV41" i="17" s="1"/>
  <c r="AV39" i="17" a="1"/>
  <c r="AV39" i="17" s="1"/>
  <c r="AV14" i="17" a="1"/>
  <c r="AV14" i="17" s="1"/>
  <c r="AV22" i="17" a="1"/>
  <c r="AV22" i="17" s="1"/>
  <c r="AV30" i="17" a="1"/>
  <c r="AV30" i="17" s="1"/>
  <c r="AV38" i="17" a="1"/>
  <c r="AV38" i="17" s="1"/>
  <c r="AV46" i="17" a="1"/>
  <c r="AV46" i="17" s="1"/>
  <c r="AV43" i="17" a="1"/>
  <c r="AV43" i="17" s="1"/>
  <c r="AV6" i="17" a="1"/>
  <c r="AV6" i="17" s="1"/>
  <c r="AV10" i="17" a="1"/>
  <c r="AV10" i="17" s="1"/>
  <c r="AV18" i="17" a="1"/>
  <c r="AV18" i="17" s="1"/>
  <c r="AV26" i="17" a="1"/>
  <c r="AV26" i="17" s="1"/>
  <c r="AV34" i="17" a="1"/>
  <c r="AV34" i="17" s="1"/>
  <c r="AV42" i="17" a="1"/>
  <c r="AV42" i="17" s="1"/>
  <c r="AV31" i="17" a="1"/>
  <c r="AV31" i="17" s="1"/>
  <c r="AK2" i="17" a="1"/>
  <c r="AK2" i="17" s="1"/>
  <c r="AK3" i="17" a="1"/>
  <c r="AK3" i="17" s="1"/>
  <c r="AK11" i="17" a="1"/>
  <c r="AK11" i="17" s="1"/>
  <c r="AK27" i="17" a="1"/>
  <c r="AK27" i="17" s="1"/>
  <c r="AK39" i="17" a="1"/>
  <c r="AK39" i="17" s="1"/>
  <c r="AK47" i="17" a="1"/>
  <c r="AK47" i="17" s="1"/>
  <c r="AK59" i="17" a="1"/>
  <c r="AK59" i="17" s="1"/>
  <c r="AK8" i="17" a="1"/>
  <c r="AK8" i="17" s="1"/>
  <c r="AK20" i="17" a="1"/>
  <c r="AK20" i="17" s="1"/>
  <c r="AK24" i="17" a="1"/>
  <c r="AK24" i="17" s="1"/>
  <c r="AK32" i="17" a="1"/>
  <c r="AK32" i="17" s="1"/>
  <c r="AK40" i="17" a="1"/>
  <c r="AK40" i="17" s="1"/>
  <c r="AK48" i="17" a="1"/>
  <c r="AK48" i="17" s="1"/>
  <c r="AK56" i="17" a="1"/>
  <c r="AK56" i="17" s="1"/>
  <c r="AK64" i="17" a="1"/>
  <c r="AK64" i="17" s="1"/>
  <c r="AK68" i="17" a="1"/>
  <c r="AK68" i="17" s="1"/>
  <c r="AK62" i="17" a="1"/>
  <c r="AK62" i="17" s="1"/>
  <c r="AK4" i="17" a="1"/>
  <c r="AK4" i="17" s="1"/>
  <c r="AK12" i="17" a="1"/>
  <c r="AK12" i="17" s="1"/>
  <c r="AK16" i="17" a="1"/>
  <c r="AK16" i="17" s="1"/>
  <c r="AK28" i="17" a="1"/>
  <c r="AK28" i="17" s="1"/>
  <c r="AK36" i="17" a="1"/>
  <c r="AK36" i="17" s="1"/>
  <c r="AK44" i="17" a="1"/>
  <c r="AK44" i="17" s="1"/>
  <c r="AK52" i="17" a="1"/>
  <c r="AK52" i="17" s="1"/>
  <c r="AK60" i="17" a="1"/>
  <c r="AK60" i="17" s="1"/>
  <c r="AK72" i="17" a="1"/>
  <c r="AK72" i="17" s="1"/>
  <c r="AK66" i="17" a="1"/>
  <c r="AK66" i="17" s="1"/>
  <c r="AK5" i="17" a="1"/>
  <c r="AK5" i="17" s="1"/>
  <c r="AK9" i="17" a="1"/>
  <c r="AK9" i="17" s="1"/>
  <c r="AK13" i="17" a="1"/>
  <c r="AK13" i="17" s="1"/>
  <c r="AK21" i="17" a="1"/>
  <c r="AK21" i="17" s="1"/>
  <c r="AK25" i="17" a="1"/>
  <c r="AK25" i="17" s="1"/>
  <c r="AK33" i="17" a="1"/>
  <c r="AK33" i="17" s="1"/>
  <c r="AK41" i="17" a="1"/>
  <c r="AK41" i="17" s="1"/>
  <c r="AK49" i="17" a="1"/>
  <c r="AK49" i="17" s="1"/>
  <c r="AK57" i="17" a="1"/>
  <c r="AK57" i="17" s="1"/>
  <c r="AK65" i="17" a="1"/>
  <c r="AK65" i="17" s="1"/>
  <c r="AK73" i="17" a="1"/>
  <c r="AK73" i="17" s="1"/>
  <c r="AK70" i="17" a="1"/>
  <c r="AK70" i="17" s="1"/>
  <c r="AK17" i="17" a="1"/>
  <c r="AK17" i="17" s="1"/>
  <c r="AK29" i="17" a="1"/>
  <c r="AK29" i="17" s="1"/>
  <c r="AK37" i="17" a="1"/>
  <c r="AK37" i="17" s="1"/>
  <c r="AK45" i="17" a="1"/>
  <c r="AK45" i="17" s="1"/>
  <c r="AK53" i="17" a="1"/>
  <c r="AK53" i="17" s="1"/>
  <c r="AK61" i="17" a="1"/>
  <c r="AK61" i="17" s="1"/>
  <c r="AK69" i="17" a="1"/>
  <c r="AK69" i="17" s="1"/>
  <c r="AK58" i="17" a="1"/>
  <c r="AK58" i="17" s="1"/>
  <c r="AK6" i="17" a="1"/>
  <c r="AK6" i="17" s="1"/>
  <c r="AK10" i="17" a="1"/>
  <c r="AK10" i="17" s="1"/>
  <c r="AK14" i="17" a="1"/>
  <c r="AK14" i="17" s="1"/>
  <c r="AK18" i="17" a="1"/>
  <c r="AK18" i="17" s="1"/>
  <c r="AK22" i="17" a="1"/>
  <c r="AK22" i="17" s="1"/>
  <c r="AK26" i="17" a="1"/>
  <c r="AK26" i="17" s="1"/>
  <c r="AK30" i="17" a="1"/>
  <c r="AK30" i="17" s="1"/>
  <c r="AK34" i="17" a="1"/>
  <c r="AK34" i="17" s="1"/>
  <c r="AK38" i="17" a="1"/>
  <c r="AK38" i="17" s="1"/>
  <c r="AK42" i="17" a="1"/>
  <c r="AK42" i="17" s="1"/>
  <c r="AK46" i="17" a="1"/>
  <c r="AK46" i="17" s="1"/>
  <c r="AK50" i="17" a="1"/>
  <c r="AK50" i="17" s="1"/>
  <c r="AK54" i="17" a="1"/>
  <c r="AK54" i="17" s="1"/>
  <c r="AK7" i="17" a="1"/>
  <c r="AK7" i="17" s="1"/>
  <c r="AK15" i="17" a="1"/>
  <c r="AK15" i="17" s="1"/>
  <c r="AK19" i="17" a="1"/>
  <c r="AK19" i="17" s="1"/>
  <c r="AK23" i="17" a="1"/>
  <c r="AK23" i="17" s="1"/>
  <c r="AK31" i="17" a="1"/>
  <c r="AK31" i="17" s="1"/>
  <c r="AK35" i="17" a="1"/>
  <c r="AK35" i="17" s="1"/>
  <c r="AK43" i="17" a="1"/>
  <c r="AK43" i="17" s="1"/>
  <c r="AK51" i="17" a="1"/>
  <c r="AK51" i="17" s="1"/>
  <c r="AK55" i="17" a="1"/>
  <c r="AK55" i="17" s="1"/>
  <c r="AK63" i="17" a="1"/>
  <c r="AK63" i="17" s="1"/>
  <c r="AK67" i="17" a="1"/>
  <c r="AK67" i="17" s="1"/>
  <c r="AK71" i="17" a="1"/>
  <c r="AK71" i="17" s="1"/>
  <c r="AL2" i="17" a="1"/>
  <c r="AL2" i="17" s="1"/>
  <c r="AL3" i="17" a="1"/>
  <c r="AL3" i="17" s="1"/>
  <c r="AL7" i="17" a="1"/>
  <c r="AL7" i="17" s="1"/>
  <c r="AL11" i="17" a="1"/>
  <c r="AL11" i="17" s="1"/>
  <c r="AL15" i="17" a="1"/>
  <c r="AL15" i="17" s="1"/>
  <c r="AL19" i="17" a="1"/>
  <c r="AL19" i="17" s="1"/>
  <c r="AL23" i="17" a="1"/>
  <c r="AL23" i="17" s="1"/>
  <c r="AL27" i="17" a="1"/>
  <c r="AL27" i="17" s="1"/>
  <c r="AL31" i="17" a="1"/>
  <c r="AL31" i="17" s="1"/>
  <c r="AL35" i="17" a="1"/>
  <c r="AL35" i="17" s="1"/>
  <c r="AL39" i="17" a="1"/>
  <c r="AL39" i="17" s="1"/>
  <c r="AL43" i="17" a="1"/>
  <c r="AL43" i="17" s="1"/>
  <c r="AL63" i="17" a="1"/>
  <c r="AL63" i="17" s="1"/>
  <c r="AL8" i="17" a="1"/>
  <c r="AL8" i="17" s="1"/>
  <c r="AL16" i="17" a="1"/>
  <c r="AL16" i="17" s="1"/>
  <c r="AL28" i="17" a="1"/>
  <c r="AL28" i="17" s="1"/>
  <c r="AL36" i="17" a="1"/>
  <c r="AL36" i="17" s="1"/>
  <c r="AL44" i="17" a="1"/>
  <c r="AL44" i="17" s="1"/>
  <c r="AL48" i="17" a="1"/>
  <c r="AL48" i="17" s="1"/>
  <c r="AL52" i="17" a="1"/>
  <c r="AL52" i="17" s="1"/>
  <c r="AL56" i="17" a="1"/>
  <c r="AL56" i="17" s="1"/>
  <c r="AL60" i="17" a="1"/>
  <c r="AL60" i="17" s="1"/>
  <c r="AL64" i="17" a="1"/>
  <c r="AL64" i="17" s="1"/>
  <c r="AL68" i="17" a="1"/>
  <c r="AL68" i="17" s="1"/>
  <c r="AL47" i="17" a="1"/>
  <c r="AL47" i="17" s="1"/>
  <c r="AL4" i="17" a="1"/>
  <c r="AL4" i="17" s="1"/>
  <c r="AL12" i="17" a="1"/>
  <c r="AL12" i="17" s="1"/>
  <c r="AL20" i="17" a="1"/>
  <c r="AL20" i="17" s="1"/>
  <c r="AL24" i="17" a="1"/>
  <c r="AL24" i="17" s="1"/>
  <c r="AL32" i="17" a="1"/>
  <c r="AL32" i="17" s="1"/>
  <c r="AL40" i="17" a="1"/>
  <c r="AL40" i="17" s="1"/>
  <c r="AL72" i="17" a="1"/>
  <c r="AL72" i="17" s="1"/>
  <c r="AL67" i="17" a="1"/>
  <c r="AL67" i="17" s="1"/>
  <c r="AL9" i="17" a="1"/>
  <c r="AL9" i="17" s="1"/>
  <c r="AL21" i="17" a="1"/>
  <c r="AL21" i="17" s="1"/>
  <c r="AL25" i="17" a="1"/>
  <c r="AL25" i="17" s="1"/>
  <c r="AL37" i="17" a="1"/>
  <c r="AL37" i="17" s="1"/>
  <c r="AL45" i="17" a="1"/>
  <c r="AL45" i="17" s="1"/>
  <c r="AL49" i="17" a="1"/>
  <c r="AL49" i="17" s="1"/>
  <c r="AL61" i="17" a="1"/>
  <c r="AL61" i="17" s="1"/>
  <c r="AL65" i="17" a="1"/>
  <c r="AL65" i="17" s="1"/>
  <c r="AL73" i="17" a="1"/>
  <c r="AL73" i="17" s="1"/>
  <c r="AL46" i="17" a="1"/>
  <c r="AL46" i="17" s="1"/>
  <c r="AL54" i="17" a="1"/>
  <c r="AL54" i="17" s="1"/>
  <c r="AL66" i="17" a="1"/>
  <c r="AL66" i="17" s="1"/>
  <c r="AL55" i="17" a="1"/>
  <c r="AL55" i="17" s="1"/>
  <c r="AL71" i="17" a="1"/>
  <c r="AL71" i="17" s="1"/>
  <c r="AL5" i="17" a="1"/>
  <c r="AL5" i="17" s="1"/>
  <c r="AL13" i="17" a="1"/>
  <c r="AL13" i="17" s="1"/>
  <c r="AL17" i="17" a="1"/>
  <c r="AL17" i="17" s="1"/>
  <c r="AL29" i="17" a="1"/>
  <c r="AL29" i="17" s="1"/>
  <c r="AL33" i="17" a="1"/>
  <c r="AL33" i="17" s="1"/>
  <c r="AL41" i="17" a="1"/>
  <c r="AL41" i="17" s="1"/>
  <c r="AL53" i="17" a="1"/>
  <c r="AL53" i="17" s="1"/>
  <c r="AL57" i="17" a="1"/>
  <c r="AL57" i="17" s="1"/>
  <c r="AL69" i="17" a="1"/>
  <c r="AL69" i="17" s="1"/>
  <c r="AL42" i="17" a="1"/>
  <c r="AL42" i="17" s="1"/>
  <c r="AL58" i="17" a="1"/>
  <c r="AL58" i="17" s="1"/>
  <c r="AL70" i="17" a="1"/>
  <c r="AL70" i="17" s="1"/>
  <c r="AL51" i="17" a="1"/>
  <c r="AL51" i="17" s="1"/>
  <c r="AL6" i="17" a="1"/>
  <c r="AL6" i="17" s="1"/>
  <c r="AL10" i="17" a="1"/>
  <c r="AL10" i="17" s="1"/>
  <c r="AL14" i="17" a="1"/>
  <c r="AL14" i="17" s="1"/>
  <c r="AL18" i="17" a="1"/>
  <c r="AL18" i="17" s="1"/>
  <c r="AL22" i="17" a="1"/>
  <c r="AL22" i="17" s="1"/>
  <c r="AL26" i="17" a="1"/>
  <c r="AL26" i="17" s="1"/>
  <c r="AL30" i="17" a="1"/>
  <c r="AL30" i="17" s="1"/>
  <c r="AL34" i="17" a="1"/>
  <c r="AL34" i="17" s="1"/>
  <c r="AL38" i="17" a="1"/>
  <c r="AL38" i="17" s="1"/>
  <c r="AL50" i="17" a="1"/>
  <c r="AL50" i="17" s="1"/>
  <c r="AL62" i="17" a="1"/>
  <c r="AL62" i="17" s="1"/>
  <c r="AL59" i="17" a="1"/>
  <c r="AL59" i="17" s="1"/>
  <c r="AM2" i="17" a="1"/>
  <c r="AM2" i="17" s="1"/>
  <c r="AM3" i="17" a="1"/>
  <c r="AM3" i="17" s="1"/>
  <c r="AM7" i="17" a="1"/>
  <c r="AM7" i="17" s="1"/>
  <c r="AM11" i="17" a="1"/>
  <c r="AM11" i="17" s="1"/>
  <c r="AM15" i="17" a="1"/>
  <c r="AM15" i="17" s="1"/>
  <c r="AM19" i="17" a="1"/>
  <c r="AM19" i="17" s="1"/>
  <c r="AM23" i="17" a="1"/>
  <c r="AM23" i="17" s="1"/>
  <c r="AM27" i="17" a="1"/>
  <c r="AM27" i="17" s="1"/>
  <c r="AM31" i="17" a="1"/>
  <c r="AM31" i="17" s="1"/>
  <c r="AM35" i="17" a="1"/>
  <c r="AM35" i="17" s="1"/>
  <c r="AM39" i="17" a="1"/>
  <c r="AM39" i="17" s="1"/>
  <c r="AM43" i="17" a="1"/>
  <c r="AM43" i="17" s="1"/>
  <c r="AM59" i="17" a="1"/>
  <c r="AM59" i="17" s="1"/>
  <c r="AM67" i="17" a="1"/>
  <c r="AM67" i="17" s="1"/>
  <c r="AM8" i="17" a="1"/>
  <c r="AM8" i="17" s="1"/>
  <c r="AM16" i="17" a="1"/>
  <c r="AM16" i="17" s="1"/>
  <c r="AM24" i="17" a="1"/>
  <c r="AM24" i="17" s="1"/>
  <c r="AM32" i="17" a="1"/>
  <c r="AM32" i="17" s="1"/>
  <c r="AM40" i="17" a="1"/>
  <c r="AM40" i="17" s="1"/>
  <c r="AM64" i="17" a="1"/>
  <c r="AM64" i="17" s="1"/>
  <c r="AM4" i="17" a="1"/>
  <c r="AM4" i="17" s="1"/>
  <c r="AM12" i="17" a="1"/>
  <c r="AM12" i="17" s="1"/>
  <c r="AM20" i="17" a="1"/>
  <c r="AM20" i="17" s="1"/>
  <c r="AM28" i="17" a="1"/>
  <c r="AM28" i="17" s="1"/>
  <c r="AM36" i="17" a="1"/>
  <c r="AM36" i="17" s="1"/>
  <c r="AM44" i="17" a="1"/>
  <c r="AM44" i="17" s="1"/>
  <c r="AM48" i="17" a="1"/>
  <c r="AM48" i="17" s="1"/>
  <c r="AM52" i="17" a="1"/>
  <c r="AM52" i="17" s="1"/>
  <c r="AM56" i="17" a="1"/>
  <c r="AM56" i="17" s="1"/>
  <c r="AM60" i="17" a="1"/>
  <c r="AM60" i="17" s="1"/>
  <c r="AM68" i="17" a="1"/>
  <c r="AM68" i="17" s="1"/>
  <c r="AM13" i="17" a="1"/>
  <c r="AM13" i="17" s="1"/>
  <c r="AM21" i="17" a="1"/>
  <c r="AM21" i="17" s="1"/>
  <c r="AM29" i="17" a="1"/>
  <c r="AM29" i="17" s="1"/>
  <c r="AM37" i="17" a="1"/>
  <c r="AM37" i="17" s="1"/>
  <c r="AM45" i="17" a="1"/>
  <c r="AM45" i="17" s="1"/>
  <c r="AM49" i="17" a="1"/>
  <c r="AM49" i="17" s="1"/>
  <c r="AM57" i="17" a="1"/>
  <c r="AM57" i="17" s="1"/>
  <c r="AM65" i="17" a="1"/>
  <c r="AM65" i="17" s="1"/>
  <c r="AM73" i="17" a="1"/>
  <c r="AM73" i="17" s="1"/>
  <c r="AM5" i="17" a="1"/>
  <c r="AM5" i="17" s="1"/>
  <c r="AM9" i="17" a="1"/>
  <c r="AM9" i="17" s="1"/>
  <c r="AM17" i="17" a="1"/>
  <c r="AM17" i="17" s="1"/>
  <c r="AM25" i="17" a="1"/>
  <c r="AM25" i="17" s="1"/>
  <c r="AM33" i="17" a="1"/>
  <c r="AM33" i="17" s="1"/>
  <c r="AM41" i="17" a="1"/>
  <c r="AM41" i="17" s="1"/>
  <c r="AM53" i="17" a="1"/>
  <c r="AM53" i="17" s="1"/>
  <c r="AM61" i="17" a="1"/>
  <c r="AM61" i="17" s="1"/>
  <c r="AM69" i="17" a="1"/>
  <c r="AM69" i="17" s="1"/>
  <c r="AM47" i="17" a="1"/>
  <c r="AM47" i="17" s="1"/>
  <c r="AM71" i="17" a="1"/>
  <c r="AM71" i="17" s="1"/>
  <c r="AM10" i="17" a="1"/>
  <c r="AM10" i="17" s="1"/>
  <c r="AM22" i="17" a="1"/>
  <c r="AM22" i="17" s="1"/>
  <c r="AM30" i="17" a="1"/>
  <c r="AM30" i="17" s="1"/>
  <c r="AM38" i="17" a="1"/>
  <c r="AM38" i="17" s="1"/>
  <c r="AM46" i="17" a="1"/>
  <c r="AM46" i="17" s="1"/>
  <c r="AM54" i="17" a="1"/>
  <c r="AM54" i="17" s="1"/>
  <c r="AM62" i="17" a="1"/>
  <c r="AM62" i="17" s="1"/>
  <c r="AM70" i="17" a="1"/>
  <c r="AM70" i="17" s="1"/>
  <c r="AM51" i="17" a="1"/>
  <c r="AM51" i="17" s="1"/>
  <c r="AM72" i="17" a="1"/>
  <c r="AM72" i="17" s="1"/>
  <c r="AM6" i="17" a="1"/>
  <c r="AM6" i="17" s="1"/>
  <c r="AM14" i="17" a="1"/>
  <c r="AM14" i="17" s="1"/>
  <c r="AM18" i="17" a="1"/>
  <c r="AM18" i="17" s="1"/>
  <c r="AM26" i="17" a="1"/>
  <c r="AM26" i="17" s="1"/>
  <c r="AM34" i="17" a="1"/>
  <c r="AM34" i="17" s="1"/>
  <c r="AM42" i="17" a="1"/>
  <c r="AM42" i="17" s="1"/>
  <c r="AM50" i="17" a="1"/>
  <c r="AM50" i="17" s="1"/>
  <c r="AM58" i="17" a="1"/>
  <c r="AM58" i="17" s="1"/>
  <c r="AM66" i="17" a="1"/>
  <c r="AM66" i="17" s="1"/>
  <c r="AM55" i="17" a="1"/>
  <c r="AM55" i="17" s="1"/>
  <c r="AM63" i="17" a="1"/>
  <c r="AM63" i="17" s="1"/>
  <c r="AN2" i="17" a="1"/>
  <c r="AN2" i="17" s="1"/>
  <c r="AN3" i="17" a="1"/>
  <c r="AN3" i="17" s="1"/>
  <c r="AN7" i="17" a="1"/>
  <c r="AN7" i="17" s="1"/>
  <c r="AN11" i="17" a="1"/>
  <c r="AN11" i="17" s="1"/>
  <c r="AN15" i="17" a="1"/>
  <c r="AN15" i="17" s="1"/>
  <c r="AN19" i="17" a="1"/>
  <c r="AN19" i="17" s="1"/>
  <c r="AN23" i="17" a="1"/>
  <c r="AN23" i="17" s="1"/>
  <c r="AN27" i="17" a="1"/>
  <c r="AN27" i="17" s="1"/>
  <c r="AN31" i="17" a="1"/>
  <c r="AN31" i="17" s="1"/>
  <c r="AN35" i="17" a="1"/>
  <c r="AN35" i="17" s="1"/>
  <c r="AN39" i="17" a="1"/>
  <c r="AN39" i="17" s="1"/>
  <c r="AN43" i="17" a="1"/>
  <c r="AN43" i="17" s="1"/>
  <c r="AN55" i="17" a="1"/>
  <c r="AN55" i="17" s="1"/>
  <c r="AN67" i="17" a="1"/>
  <c r="AN67" i="17" s="1"/>
  <c r="AN71" i="17" a="1"/>
  <c r="AN71" i="17" s="1"/>
  <c r="AN12" i="17" a="1"/>
  <c r="AN12" i="17" s="1"/>
  <c r="AN20" i="17" a="1"/>
  <c r="AN20" i="17" s="1"/>
  <c r="AN28" i="17" a="1"/>
  <c r="AN28" i="17" s="1"/>
  <c r="AN36" i="17" a="1"/>
  <c r="AN36" i="17" s="1"/>
  <c r="AN4" i="17" a="1"/>
  <c r="AN4" i="17" s="1"/>
  <c r="AN8" i="17" a="1"/>
  <c r="AN8" i="17" s="1"/>
  <c r="AN16" i="17" a="1"/>
  <c r="AN16" i="17" s="1"/>
  <c r="AN24" i="17" a="1"/>
  <c r="AN24" i="17" s="1"/>
  <c r="AN32" i="17" a="1"/>
  <c r="AN32" i="17" s="1"/>
  <c r="AN40" i="17" a="1"/>
  <c r="AN40" i="17" s="1"/>
  <c r="AN44" i="17" a="1"/>
  <c r="AN44" i="17" s="1"/>
  <c r="AN48" i="17" a="1"/>
  <c r="AN48" i="17" s="1"/>
  <c r="AN52" i="17" a="1"/>
  <c r="AN52" i="17" s="1"/>
  <c r="AN56" i="17" a="1"/>
  <c r="AN56" i="17" s="1"/>
  <c r="AN60" i="17" a="1"/>
  <c r="AN60" i="17" s="1"/>
  <c r="AN64" i="17" a="1"/>
  <c r="AN64" i="17" s="1"/>
  <c r="AN9" i="17" a="1"/>
  <c r="AN9" i="17" s="1"/>
  <c r="AN17" i="17" a="1"/>
  <c r="AN17" i="17" s="1"/>
  <c r="AN25" i="17" a="1"/>
  <c r="AN25" i="17" s="1"/>
  <c r="AN33" i="17" a="1"/>
  <c r="AN33" i="17" s="1"/>
  <c r="AN41" i="17" a="1"/>
  <c r="AN41" i="17" s="1"/>
  <c r="AN49" i="17" a="1"/>
  <c r="AN49" i="17" s="1"/>
  <c r="AN57" i="17" a="1"/>
  <c r="AN57" i="17" s="1"/>
  <c r="AN69" i="17" a="1"/>
  <c r="AN69" i="17" s="1"/>
  <c r="AN68" i="17" a="1"/>
  <c r="AN68" i="17" s="1"/>
  <c r="AN5" i="17" a="1"/>
  <c r="AN5" i="17" s="1"/>
  <c r="AN13" i="17" a="1"/>
  <c r="AN13" i="17" s="1"/>
  <c r="AN21" i="17" a="1"/>
  <c r="AN21" i="17" s="1"/>
  <c r="AN29" i="17" a="1"/>
  <c r="AN29" i="17" s="1"/>
  <c r="AN37" i="17" a="1"/>
  <c r="AN37" i="17" s="1"/>
  <c r="AN45" i="17" a="1"/>
  <c r="AN45" i="17" s="1"/>
  <c r="AN53" i="17" a="1"/>
  <c r="AN53" i="17" s="1"/>
  <c r="AN61" i="17" a="1"/>
  <c r="AN61" i="17" s="1"/>
  <c r="AN65" i="17" a="1"/>
  <c r="AN65" i="17" s="1"/>
  <c r="AN73" i="17" a="1"/>
  <c r="AN73" i="17" s="1"/>
  <c r="AN14" i="17" a="1"/>
  <c r="AN14" i="17" s="1"/>
  <c r="AN18" i="17" a="1"/>
  <c r="AN18" i="17" s="1"/>
  <c r="AN30" i="17" a="1"/>
  <c r="AN30" i="17" s="1"/>
  <c r="AN38" i="17" a="1"/>
  <c r="AN38" i="17" s="1"/>
  <c r="AN46" i="17" a="1"/>
  <c r="AN46" i="17" s="1"/>
  <c r="AN54" i="17" a="1"/>
  <c r="AN54" i="17" s="1"/>
  <c r="AN62" i="17" a="1"/>
  <c r="AN62" i="17" s="1"/>
  <c r="AN70" i="17" a="1"/>
  <c r="AN70" i="17" s="1"/>
  <c r="AN51" i="17" a="1"/>
  <c r="AN51" i="17" s="1"/>
  <c r="AN63" i="17" a="1"/>
  <c r="AN63" i="17" s="1"/>
  <c r="AN72" i="17" a="1"/>
  <c r="AN72" i="17" s="1"/>
  <c r="AN6" i="17" a="1"/>
  <c r="AN6" i="17" s="1"/>
  <c r="AN10" i="17" a="1"/>
  <c r="AN10" i="17" s="1"/>
  <c r="AN22" i="17" a="1"/>
  <c r="AN22" i="17" s="1"/>
  <c r="AN26" i="17" a="1"/>
  <c r="AN26" i="17" s="1"/>
  <c r="AN34" i="17" a="1"/>
  <c r="AN34" i="17" s="1"/>
  <c r="AN42" i="17" a="1"/>
  <c r="AN42" i="17" s="1"/>
  <c r="AN50" i="17" a="1"/>
  <c r="AN50" i="17" s="1"/>
  <c r="AN58" i="17" a="1"/>
  <c r="AN58" i="17" s="1"/>
  <c r="AN66" i="17" a="1"/>
  <c r="AN66" i="17" s="1"/>
  <c r="AN47" i="17" a="1"/>
  <c r="AN47" i="17" s="1"/>
  <c r="AN59" i="17" a="1"/>
  <c r="AN59" i="17" s="1"/>
  <c r="AO6" i="17" a="1"/>
  <c r="AO6" i="17" s="1"/>
  <c r="AO10" i="17" a="1"/>
  <c r="AO10" i="17" s="1"/>
  <c r="AO14" i="17" a="1"/>
  <c r="AO14" i="17" s="1"/>
  <c r="AO22" i="17" a="1"/>
  <c r="AO22" i="17" s="1"/>
  <c r="AO30" i="17" a="1"/>
  <c r="AO30" i="17" s="1"/>
  <c r="AO34" i="17" a="1"/>
  <c r="AO34" i="17" s="1"/>
  <c r="AO42" i="17" a="1"/>
  <c r="AO42" i="17" s="1"/>
  <c r="AO50" i="17" a="1"/>
  <c r="AO50" i="17" s="1"/>
  <c r="AO54" i="17" a="1"/>
  <c r="AO54" i="17" s="1"/>
  <c r="AO62" i="17" a="1"/>
  <c r="AO62" i="17" s="1"/>
  <c r="AO70" i="17" a="1"/>
  <c r="AO70" i="17" s="1"/>
  <c r="AO63" i="17" a="1"/>
  <c r="AO63" i="17" s="1"/>
  <c r="AO11" i="17" a="1"/>
  <c r="AO11" i="17" s="1"/>
  <c r="AO19" i="17" a="1"/>
  <c r="AO19" i="17" s="1"/>
  <c r="AO27" i="17" a="1"/>
  <c r="AO27" i="17" s="1"/>
  <c r="AO31" i="17" a="1"/>
  <c r="AO31" i="17" s="1"/>
  <c r="AO35" i="17" a="1"/>
  <c r="AO35" i="17" s="1"/>
  <c r="AO39" i="17" a="1"/>
  <c r="AO39" i="17" s="1"/>
  <c r="AO43" i="17" a="1"/>
  <c r="AO43" i="17" s="1"/>
  <c r="AO47" i="17" a="1"/>
  <c r="AO47" i="17" s="1"/>
  <c r="AO51" i="17" a="1"/>
  <c r="AO51" i="17" s="1"/>
  <c r="AO55" i="17" a="1"/>
  <c r="AO55" i="17" s="1"/>
  <c r="AO59" i="17" a="1"/>
  <c r="AO59" i="17" s="1"/>
  <c r="AO71" i="17" a="1"/>
  <c r="AO71" i="17" s="1"/>
  <c r="AO7" i="17" a="1"/>
  <c r="AO7" i="17" s="1"/>
  <c r="AO15" i="17" a="1"/>
  <c r="AO15" i="17" s="1"/>
  <c r="AO23" i="17" a="1"/>
  <c r="AO23" i="17" s="1"/>
  <c r="AO12" i="17" a="1"/>
  <c r="AO12" i="17" s="1"/>
  <c r="AO24" i="17" a="1"/>
  <c r="AO24" i="17" s="1"/>
  <c r="AO32" i="17" a="1"/>
  <c r="AO32" i="17" s="1"/>
  <c r="AO36" i="17" a="1"/>
  <c r="AO36" i="17" s="1"/>
  <c r="AO44" i="17" a="1"/>
  <c r="AO44" i="17" s="1"/>
  <c r="AO52" i="17" a="1"/>
  <c r="AO52" i="17" s="1"/>
  <c r="AO60" i="17" a="1"/>
  <c r="AO60" i="17" s="1"/>
  <c r="AO68" i="17" a="1"/>
  <c r="AO68" i="17" s="1"/>
  <c r="AO57" i="17" a="1"/>
  <c r="AO57" i="17" s="1"/>
  <c r="AO69" i="17" a="1"/>
  <c r="AO69" i="17" s="1"/>
  <c r="AO8" i="17" a="1"/>
  <c r="AO8" i="17" s="1"/>
  <c r="AO16" i="17" a="1"/>
  <c r="AO16" i="17" s="1"/>
  <c r="AO20" i="17" a="1"/>
  <c r="AO20" i="17" s="1"/>
  <c r="AO28" i="17" a="1"/>
  <c r="AO28" i="17" s="1"/>
  <c r="AO40" i="17" a="1"/>
  <c r="AO40" i="17" s="1"/>
  <c r="AO48" i="17" a="1"/>
  <c r="AO48" i="17" s="1"/>
  <c r="AO56" i="17" a="1"/>
  <c r="AO56" i="17" s="1"/>
  <c r="AO64" i="17" a="1"/>
  <c r="AO64" i="17" s="1"/>
  <c r="AO72" i="17" a="1"/>
  <c r="AO72" i="17" s="1"/>
  <c r="AO53" i="17" a="1"/>
  <c r="AO53" i="17" s="1"/>
  <c r="AO65" i="17" a="1"/>
  <c r="AO65" i="17" s="1"/>
  <c r="AO9" i="17" a="1"/>
  <c r="AO9" i="17" s="1"/>
  <c r="AO13" i="17" a="1"/>
  <c r="AO13" i="17" s="1"/>
  <c r="AO17" i="17" a="1"/>
  <c r="AO17" i="17" s="1"/>
  <c r="AO21" i="17" a="1"/>
  <c r="AO21" i="17" s="1"/>
  <c r="AO25" i="17" a="1"/>
  <c r="AO25" i="17" s="1"/>
  <c r="AO29" i="17" a="1"/>
  <c r="AO29" i="17" s="1"/>
  <c r="AO33" i="17" a="1"/>
  <c r="AO33" i="17" s="1"/>
  <c r="AO37" i="17" a="1"/>
  <c r="AO37" i="17" s="1"/>
  <c r="AO41" i="17" a="1"/>
  <c r="AO41" i="17" s="1"/>
  <c r="AO45" i="17" a="1"/>
  <c r="AO45" i="17" s="1"/>
  <c r="AO49" i="17" a="1"/>
  <c r="AO49" i="17" s="1"/>
  <c r="AO61" i="17" a="1"/>
  <c r="AO61" i="17" s="1"/>
  <c r="AO73" i="17" a="1"/>
  <c r="AO73" i="17" s="1"/>
  <c r="AO18" i="17" a="1"/>
  <c r="AO18" i="17" s="1"/>
  <c r="AO26" i="17" a="1"/>
  <c r="AO26" i="17" s="1"/>
  <c r="AO38" i="17" a="1"/>
  <c r="AO38" i="17" s="1"/>
  <c r="AO46" i="17" a="1"/>
  <c r="AO46" i="17" s="1"/>
  <c r="AO58" i="17" a="1"/>
  <c r="AO58" i="17" s="1"/>
  <c r="AO66" i="17" a="1"/>
  <c r="AO66" i="17" s="1"/>
  <c r="AO67" i="17" a="1"/>
  <c r="AO67" i="17" s="1"/>
  <c r="AO2" i="17" a="1"/>
  <c r="AO2" i="17" s="1"/>
  <c r="AO3" i="17" a="1"/>
  <c r="AO3" i="17" s="1"/>
  <c r="AO4" i="17" a="1"/>
  <c r="AO4" i="17" s="1"/>
  <c r="AO5" i="17" a="1"/>
  <c r="AO5" i="17" s="1"/>
  <c r="AE3" i="17" a="1"/>
  <c r="AE3" i="17" s="1"/>
  <c r="AE7" i="17" a="1"/>
  <c r="AE7" i="17" s="1"/>
  <c r="AE8" i="17" a="1"/>
  <c r="AE8" i="17" s="1"/>
  <c r="AE4" i="17" a="1"/>
  <c r="AE4" i="17" s="1"/>
  <c r="AE9" i="17" a="1"/>
  <c r="AE9" i="17" s="1"/>
  <c r="AE5" i="17" a="1"/>
  <c r="AE5" i="17" s="1"/>
  <c r="AE6" i="17" a="1"/>
  <c r="AE6" i="17" s="1"/>
  <c r="AE10" i="17" a="1"/>
  <c r="AE10" i="17" s="1"/>
  <c r="AD3" i="17" a="1"/>
  <c r="AD3" i="17" s="1"/>
  <c r="AD7" i="17" a="1"/>
  <c r="AD7" i="17" s="1"/>
  <c r="AD8" i="17" a="1"/>
  <c r="AD8" i="17" s="1"/>
  <c r="AD4" i="17" a="1"/>
  <c r="AD4" i="17" s="1"/>
  <c r="AD5" i="17" a="1"/>
  <c r="AD5" i="17" s="1"/>
  <c r="AD9" i="17" a="1"/>
  <c r="AD9" i="17" s="1"/>
  <c r="AD6" i="17" a="1"/>
  <c r="AD6" i="17" s="1"/>
  <c r="AD10" i="17" a="1"/>
  <c r="AD10" i="17" s="1"/>
  <c r="AE2" i="17" a="1"/>
  <c r="AE2" i="17" s="1"/>
  <c r="AD2" i="17" a="1"/>
  <c r="AD2" i="17" s="1"/>
  <c r="AF2" i="17" a="1"/>
  <c r="AF2" i="17" s="1"/>
  <c r="AF3" i="17" a="1"/>
  <c r="AF3" i="17" s="1"/>
  <c r="AF7" i="17" a="1"/>
  <c r="AF7" i="17" s="1"/>
  <c r="AF4" i="17" a="1"/>
  <c r="AF4" i="17" s="1"/>
  <c r="AF8" i="17" a="1"/>
  <c r="AF8" i="17" s="1"/>
  <c r="AF5" i="17" a="1"/>
  <c r="AF5" i="17" s="1"/>
  <c r="AF9" i="17" a="1"/>
  <c r="AF9" i="17" s="1"/>
  <c r="AF6" i="17" a="1"/>
  <c r="AF6" i="17" s="1"/>
  <c r="AF10" i="17" a="1"/>
  <c r="AF10" i="17" s="1"/>
  <c r="AG2" i="17" a="1"/>
  <c r="AG2" i="17" s="1"/>
  <c r="AG3" i="17" a="1"/>
  <c r="AG3" i="17" s="1"/>
  <c r="AG7" i="17" a="1"/>
  <c r="AG7" i="17" s="1"/>
  <c r="AG4" i="17" a="1"/>
  <c r="AG4" i="17" s="1"/>
  <c r="AG8" i="17" a="1"/>
  <c r="AG8" i="17" s="1"/>
  <c r="AG5" i="17" a="1"/>
  <c r="AG5" i="17" s="1"/>
  <c r="AG9" i="17" a="1"/>
  <c r="AG9" i="17" s="1"/>
  <c r="AG6" i="17" a="1"/>
  <c r="AG6" i="17" s="1"/>
  <c r="AG10" i="17" a="1"/>
  <c r="AG10" i="17" s="1"/>
  <c r="AH2" i="17" a="1"/>
  <c r="AH2" i="17" s="1"/>
  <c r="AH3" i="17" a="1"/>
  <c r="AH3" i="17" s="1"/>
  <c r="AH7" i="17" a="1"/>
  <c r="AH7" i="17" s="1"/>
  <c r="AH4" i="17" a="1"/>
  <c r="AH4" i="17" s="1"/>
  <c r="AH8" i="17" a="1"/>
  <c r="AH8" i="17" s="1"/>
  <c r="AH9" i="17" a="1"/>
  <c r="AH9" i="17" s="1"/>
  <c r="AH5" i="17" a="1"/>
  <c r="AH5" i="17" s="1"/>
  <c r="AH6" i="17" a="1"/>
  <c r="AH6" i="17" s="1"/>
  <c r="AH10" i="17" a="1"/>
  <c r="AH10" i="17" s="1"/>
  <c r="J28" i="4"/>
  <c r="H25" i="4"/>
  <c r="I25" i="4"/>
  <c r="I24" i="4"/>
  <c r="H28" i="4"/>
  <c r="H24" i="4"/>
  <c r="J26" i="4"/>
  <c r="J24" i="4"/>
  <c r="I28" i="4"/>
  <c r="J29" i="4"/>
  <c r="H26" i="4"/>
  <c r="I29" i="4"/>
  <c r="J25" i="4"/>
  <c r="I26" i="4"/>
  <c r="H29" i="4"/>
  <c r="P95" i="7" l="1"/>
  <c r="Q95" i="7" s="1"/>
  <c r="P94" i="7"/>
  <c r="Q94" i="7" s="1"/>
  <c r="P93" i="7"/>
  <c r="Q93" i="7" s="1"/>
  <c r="P92" i="7"/>
  <c r="Q92" i="7" s="1"/>
  <c r="P91" i="7"/>
  <c r="Q91" i="7" s="1"/>
  <c r="P90" i="7"/>
  <c r="Q90" i="7" s="1"/>
  <c r="P89" i="7"/>
  <c r="Q89" i="7" s="1"/>
  <c r="P88" i="7"/>
  <c r="Q88" i="7" s="1"/>
  <c r="P87" i="7"/>
  <c r="Q87" i="7" s="1"/>
  <c r="P86" i="7"/>
  <c r="Q86" i="7" s="1"/>
  <c r="P85" i="7"/>
  <c r="Q85" i="7" s="1"/>
  <c r="P84" i="7"/>
  <c r="Q84" i="7" s="1"/>
  <c r="P83" i="7"/>
  <c r="Q83" i="7" s="1"/>
  <c r="P82" i="7"/>
  <c r="Q82" i="7" s="1"/>
  <c r="P81" i="7"/>
  <c r="Q81" i="7" s="1"/>
  <c r="P80" i="7"/>
  <c r="Q80" i="7" s="1"/>
  <c r="P79" i="7"/>
  <c r="Q79" i="7" s="1"/>
  <c r="P78" i="7"/>
  <c r="Q78" i="7" s="1"/>
  <c r="P77" i="7"/>
  <c r="Q77" i="7" s="1"/>
  <c r="P76" i="7"/>
  <c r="Q76" i="7" s="1"/>
  <c r="P75" i="7"/>
  <c r="Q75" i="7" s="1"/>
  <c r="P74" i="7"/>
  <c r="Q74" i="7" s="1"/>
  <c r="P73" i="7"/>
  <c r="Q73" i="7" s="1"/>
  <c r="P72" i="7"/>
  <c r="Q72" i="7" s="1"/>
  <c r="P71" i="7"/>
  <c r="Q71" i="7" s="1"/>
  <c r="P70" i="7"/>
  <c r="Q70" i="7" s="1"/>
  <c r="P69" i="7"/>
  <c r="Q69" i="7" s="1"/>
  <c r="P68" i="7"/>
  <c r="Q68" i="7" s="1"/>
  <c r="P67" i="7"/>
  <c r="Q67" i="7" s="1"/>
  <c r="P66" i="7"/>
  <c r="Q66" i="7" s="1"/>
  <c r="P65" i="7"/>
  <c r="Q65" i="7" s="1"/>
  <c r="P64" i="7"/>
  <c r="Q64" i="7" s="1"/>
  <c r="P63" i="7"/>
  <c r="Q63" i="7" s="1"/>
  <c r="P62" i="7"/>
  <c r="Q62" i="7" s="1"/>
  <c r="P61" i="7"/>
  <c r="Q61" i="7" s="1"/>
  <c r="P60" i="7"/>
  <c r="Q60" i="7" s="1"/>
  <c r="P59" i="7"/>
  <c r="Q59" i="7" s="1"/>
  <c r="P58" i="7"/>
  <c r="Q58" i="7" s="1"/>
  <c r="P57" i="7"/>
  <c r="Q57" i="7" s="1"/>
  <c r="P56" i="7"/>
  <c r="Q56" i="7" s="1"/>
  <c r="P55" i="7"/>
  <c r="Q55" i="7" s="1"/>
  <c r="P54" i="7"/>
  <c r="Q54" i="7" s="1"/>
  <c r="P53" i="7"/>
  <c r="Q53" i="7" s="1"/>
  <c r="P52" i="7"/>
  <c r="Q52" i="7" s="1"/>
  <c r="P51" i="7"/>
  <c r="Q51" i="7" s="1"/>
  <c r="P50" i="7"/>
  <c r="Q50" i="7" s="1"/>
  <c r="P49" i="7"/>
  <c r="Q49" i="7" s="1"/>
  <c r="P48" i="7"/>
  <c r="Q48" i="7" s="1"/>
  <c r="P47" i="7"/>
  <c r="Q47" i="7" s="1"/>
  <c r="P46" i="7"/>
  <c r="Q46" i="7" s="1"/>
  <c r="P45" i="7"/>
  <c r="Q45" i="7" s="1"/>
  <c r="P44" i="7"/>
  <c r="Q44" i="7" s="1"/>
  <c r="P43" i="7"/>
  <c r="Q43" i="7" s="1"/>
  <c r="P42" i="7"/>
  <c r="Q42" i="7" s="1"/>
  <c r="P41" i="7"/>
  <c r="Q41" i="7" s="1"/>
  <c r="P40" i="7"/>
  <c r="Q40" i="7" s="1"/>
  <c r="P39" i="7"/>
  <c r="Q39" i="7" s="1"/>
  <c r="P38" i="7"/>
  <c r="Q38" i="7" s="1"/>
  <c r="P37" i="7"/>
  <c r="Q37" i="7" s="1"/>
  <c r="P36" i="7"/>
  <c r="Q36" i="7" s="1"/>
  <c r="P35" i="7"/>
  <c r="Q35" i="7" s="1"/>
  <c r="P34" i="7"/>
  <c r="Q34" i="7" s="1"/>
  <c r="P33" i="7"/>
  <c r="Q33" i="7" s="1"/>
  <c r="P32" i="7"/>
  <c r="Q32" i="7" s="1"/>
  <c r="P31" i="7"/>
  <c r="Q31" i="7" s="1"/>
  <c r="P30" i="7"/>
  <c r="Q30" i="7" s="1"/>
  <c r="P29" i="7"/>
  <c r="Q29" i="7" s="1"/>
  <c r="P28" i="7"/>
  <c r="Q28" i="7" s="1"/>
  <c r="P27" i="7"/>
  <c r="Q27" i="7" s="1"/>
  <c r="P26" i="7"/>
  <c r="Q26" i="7" s="1"/>
  <c r="P25" i="7"/>
  <c r="Q25" i="7" s="1"/>
  <c r="P24" i="7"/>
  <c r="Q24" i="7" s="1"/>
  <c r="P23" i="7"/>
  <c r="Q23" i="7" s="1"/>
  <c r="P22" i="7"/>
  <c r="Q22" i="7" s="1"/>
  <c r="P21" i="7"/>
  <c r="Q21" i="7" s="1"/>
  <c r="P20" i="7"/>
  <c r="Q20" i="7" s="1"/>
  <c r="P19" i="7"/>
  <c r="Q19" i="7" s="1"/>
  <c r="P18" i="7"/>
  <c r="Q18" i="7" s="1"/>
  <c r="P17" i="7"/>
  <c r="Q17" i="7" s="1"/>
  <c r="P16" i="7"/>
  <c r="Q16" i="7" s="1"/>
  <c r="P15" i="7"/>
  <c r="Q15" i="7" s="1"/>
  <c r="P14" i="7"/>
  <c r="Q14" i="7" s="1"/>
  <c r="P13" i="7"/>
  <c r="Q13" i="7" s="1"/>
  <c r="P12" i="7"/>
  <c r="Q12" i="7" s="1"/>
  <c r="P11" i="7"/>
  <c r="Q11" i="7" s="1"/>
  <c r="P10" i="7"/>
  <c r="Q10" i="7" s="1"/>
  <c r="P9" i="7"/>
  <c r="Q9" i="7" s="1"/>
  <c r="P8" i="7"/>
  <c r="Q8" i="7" s="1"/>
  <c r="P7" i="7"/>
  <c r="Q7" i="7" s="1"/>
  <c r="T6" i="7"/>
  <c r="P6" i="7"/>
  <c r="Q6" i="7" s="1"/>
  <c r="T5" i="7"/>
  <c r="P5" i="7"/>
  <c r="Q5" i="7" s="1"/>
  <c r="T4" i="7"/>
  <c r="K21" i="4" s="1"/>
  <c r="P4" i="7"/>
  <c r="Q4" i="7" s="1"/>
  <c r="T3" i="7"/>
  <c r="P3" i="7"/>
  <c r="Q3" i="7" s="1"/>
  <c r="P190" i="9"/>
  <c r="Q190" i="9" s="1"/>
  <c r="Q189" i="9"/>
  <c r="P189" i="9"/>
  <c r="Q188" i="9"/>
  <c r="P188" i="9"/>
  <c r="P187" i="9"/>
  <c r="Q187" i="9" s="1"/>
  <c r="P186" i="9"/>
  <c r="Q186" i="9" s="1"/>
  <c r="P185" i="9"/>
  <c r="Q185" i="9" s="1"/>
  <c r="Q184" i="9"/>
  <c r="P184" i="9"/>
  <c r="P183" i="9"/>
  <c r="Q183" i="9" s="1"/>
  <c r="P182" i="9"/>
  <c r="Q182" i="9" s="1"/>
  <c r="P181" i="9"/>
  <c r="Q181" i="9" s="1"/>
  <c r="P180" i="9"/>
  <c r="Q180" i="9" s="1"/>
  <c r="P179" i="9"/>
  <c r="Q179" i="9" s="1"/>
  <c r="P178" i="9"/>
  <c r="Q178" i="9" s="1"/>
  <c r="Q177" i="9"/>
  <c r="P177" i="9"/>
  <c r="P176" i="9"/>
  <c r="Q176" i="9" s="1"/>
  <c r="P175" i="9"/>
  <c r="Q175" i="9" s="1"/>
  <c r="P174" i="9"/>
  <c r="Q174" i="9" s="1"/>
  <c r="Q173" i="9"/>
  <c r="P173" i="9"/>
  <c r="Q172" i="9"/>
  <c r="P172" i="9"/>
  <c r="P171" i="9"/>
  <c r="Q171" i="9" s="1"/>
  <c r="P170" i="9"/>
  <c r="Q170" i="9" s="1"/>
  <c r="P169" i="9"/>
  <c r="Q169" i="9" s="1"/>
  <c r="Q168" i="9"/>
  <c r="P168" i="9"/>
  <c r="P167" i="9"/>
  <c r="Q167" i="9" s="1"/>
  <c r="P166" i="9"/>
  <c r="Q166" i="9" s="1"/>
  <c r="P165" i="9"/>
  <c r="Q165" i="9" s="1"/>
  <c r="P164" i="9"/>
  <c r="Q164" i="9" s="1"/>
  <c r="P163" i="9"/>
  <c r="Q163" i="9" s="1"/>
  <c r="P162" i="9"/>
  <c r="Q162" i="9" s="1"/>
  <c r="Q161" i="9"/>
  <c r="P161" i="9"/>
  <c r="P160" i="9"/>
  <c r="Q160" i="9" s="1"/>
  <c r="P159" i="9"/>
  <c r="Q159" i="9" s="1"/>
  <c r="P158" i="9"/>
  <c r="Q158" i="9" s="1"/>
  <c r="Q157" i="9"/>
  <c r="P157" i="9"/>
  <c r="Q156" i="9"/>
  <c r="P156" i="9"/>
  <c r="P155" i="9"/>
  <c r="Q155" i="9" s="1"/>
  <c r="P154" i="9"/>
  <c r="Q154" i="9" s="1"/>
  <c r="P153" i="9"/>
  <c r="Q153" i="9" s="1"/>
  <c r="Q152" i="9"/>
  <c r="P152" i="9"/>
  <c r="P151" i="9"/>
  <c r="Q151" i="9" s="1"/>
  <c r="P150" i="9"/>
  <c r="Q150" i="9" s="1"/>
  <c r="P149" i="9"/>
  <c r="Q149" i="9" s="1"/>
  <c r="P148" i="9"/>
  <c r="Q148" i="9" s="1"/>
  <c r="P147" i="9"/>
  <c r="Q147" i="9" s="1"/>
  <c r="P146" i="9"/>
  <c r="Q146" i="9" s="1"/>
  <c r="Q145" i="9"/>
  <c r="P145" i="9"/>
  <c r="P144" i="9"/>
  <c r="Q144" i="9" s="1"/>
  <c r="P143" i="9"/>
  <c r="Q143" i="9" s="1"/>
  <c r="P142" i="9"/>
  <c r="Q142" i="9" s="1"/>
  <c r="Q141" i="9"/>
  <c r="P141" i="9"/>
  <c r="Q140" i="9"/>
  <c r="P140" i="9"/>
  <c r="P139" i="9"/>
  <c r="Q139" i="9" s="1"/>
  <c r="P138" i="9"/>
  <c r="Q138" i="9" s="1"/>
  <c r="P137" i="9"/>
  <c r="Q137" i="9" s="1"/>
  <c r="Q136" i="9"/>
  <c r="P136" i="9"/>
  <c r="P135" i="9"/>
  <c r="Q135" i="9" s="1"/>
  <c r="P134" i="9"/>
  <c r="Q134" i="9" s="1"/>
  <c r="P133" i="9"/>
  <c r="Q133" i="9" s="1"/>
  <c r="P132" i="9"/>
  <c r="Q132" i="9" s="1"/>
  <c r="P131" i="9"/>
  <c r="Q131" i="9" s="1"/>
  <c r="P130" i="9"/>
  <c r="Q130" i="9" s="1"/>
  <c r="Q129" i="9"/>
  <c r="P129" i="9"/>
  <c r="P128" i="9"/>
  <c r="Q128" i="9" s="1"/>
  <c r="P127" i="9"/>
  <c r="Q127" i="9" s="1"/>
  <c r="P126" i="9"/>
  <c r="Q126" i="9" s="1"/>
  <c r="Q125" i="9"/>
  <c r="P125" i="9"/>
  <c r="Q124" i="9"/>
  <c r="P124" i="9"/>
  <c r="P123" i="9"/>
  <c r="Q123" i="9" s="1"/>
  <c r="P122" i="9"/>
  <c r="Q122" i="9" s="1"/>
  <c r="P121" i="9"/>
  <c r="Q121" i="9" s="1"/>
  <c r="Q120" i="9"/>
  <c r="P120" i="9"/>
  <c r="P119" i="9"/>
  <c r="Q119" i="9" s="1"/>
  <c r="P118" i="9"/>
  <c r="Q118" i="9" s="1"/>
  <c r="P117" i="9"/>
  <c r="Q117" i="9" s="1"/>
  <c r="P116" i="9"/>
  <c r="Q116" i="9" s="1"/>
  <c r="P115" i="9"/>
  <c r="Q115" i="9" s="1"/>
  <c r="P114" i="9"/>
  <c r="Q114" i="9" s="1"/>
  <c r="Q113" i="9"/>
  <c r="P113" i="9"/>
  <c r="P112" i="9"/>
  <c r="Q112" i="9" s="1"/>
  <c r="P111" i="9"/>
  <c r="Q111" i="9" s="1"/>
  <c r="P110" i="9"/>
  <c r="Q110" i="9" s="1"/>
  <c r="Q109" i="9"/>
  <c r="P109" i="9"/>
  <c r="Q108" i="9"/>
  <c r="P108" i="9"/>
  <c r="P107" i="9"/>
  <c r="Q107" i="9" s="1"/>
  <c r="P106" i="9"/>
  <c r="Q106" i="9" s="1"/>
  <c r="P105" i="9"/>
  <c r="Q105" i="9" s="1"/>
  <c r="Q104" i="9"/>
  <c r="P104" i="9"/>
  <c r="P103" i="9"/>
  <c r="Q103" i="9" s="1"/>
  <c r="P102" i="9"/>
  <c r="Q102" i="9" s="1"/>
  <c r="P101" i="9"/>
  <c r="Q101" i="9" s="1"/>
  <c r="P100" i="9"/>
  <c r="Q100" i="9" s="1"/>
  <c r="P99" i="9"/>
  <c r="Q99" i="9" s="1"/>
  <c r="P98" i="9"/>
  <c r="Q98" i="9" s="1"/>
  <c r="Q97" i="9"/>
  <c r="P97" i="9"/>
  <c r="P96" i="9"/>
  <c r="Q96" i="9" s="1"/>
  <c r="P95" i="9"/>
  <c r="Q95" i="9" s="1"/>
  <c r="P94" i="9"/>
  <c r="Q94" i="9" s="1"/>
  <c r="P93" i="9"/>
  <c r="Q93" i="9" s="1"/>
  <c r="P92" i="9"/>
  <c r="Q92" i="9" s="1"/>
  <c r="P91" i="9"/>
  <c r="Q91" i="9" s="1"/>
  <c r="P90" i="9"/>
  <c r="Q90" i="9" s="1"/>
  <c r="P89" i="9"/>
  <c r="Q89" i="9" s="1"/>
  <c r="P88" i="9"/>
  <c r="Q88" i="9" s="1"/>
  <c r="P87" i="9"/>
  <c r="Q87" i="9" s="1"/>
  <c r="P86" i="9"/>
  <c r="Q86" i="9" s="1"/>
  <c r="P85" i="9"/>
  <c r="Q85" i="9" s="1"/>
  <c r="P84" i="9"/>
  <c r="Q84" i="9" s="1"/>
  <c r="P83" i="9"/>
  <c r="Q83" i="9" s="1"/>
  <c r="P82" i="9"/>
  <c r="Q82" i="9" s="1"/>
  <c r="P81" i="9"/>
  <c r="Q81" i="9" s="1"/>
  <c r="P80" i="9"/>
  <c r="Q80" i="9" s="1"/>
  <c r="P79" i="9"/>
  <c r="Q79" i="9" s="1"/>
  <c r="P78" i="9"/>
  <c r="Q78" i="9" s="1"/>
  <c r="P77" i="9"/>
  <c r="Q77" i="9" s="1"/>
  <c r="P76" i="9"/>
  <c r="Q76" i="9" s="1"/>
  <c r="P75" i="9"/>
  <c r="Q75" i="9" s="1"/>
  <c r="P74" i="9"/>
  <c r="Q74" i="9" s="1"/>
  <c r="P73" i="9"/>
  <c r="Q73" i="9" s="1"/>
  <c r="P72" i="9"/>
  <c r="Q72" i="9" s="1"/>
  <c r="P71" i="9"/>
  <c r="Q71" i="9" s="1"/>
  <c r="P70" i="9"/>
  <c r="Q70" i="9" s="1"/>
  <c r="P69" i="9"/>
  <c r="Q69" i="9" s="1"/>
  <c r="P68" i="9"/>
  <c r="Q68" i="9" s="1"/>
  <c r="P67" i="9"/>
  <c r="Q67" i="9" s="1"/>
  <c r="P66" i="9"/>
  <c r="Q66" i="9" s="1"/>
  <c r="P65" i="9"/>
  <c r="Q65" i="9" s="1"/>
  <c r="P64" i="9"/>
  <c r="Q64" i="9" s="1"/>
  <c r="P63" i="9"/>
  <c r="Q63" i="9" s="1"/>
  <c r="P62" i="9"/>
  <c r="Q62" i="9" s="1"/>
  <c r="P61" i="9"/>
  <c r="Q61" i="9" s="1"/>
  <c r="P60" i="9"/>
  <c r="Q60" i="9" s="1"/>
  <c r="P59" i="9"/>
  <c r="Q59" i="9" s="1"/>
  <c r="P58" i="9"/>
  <c r="Q58" i="9" s="1"/>
  <c r="P57" i="9"/>
  <c r="Q57" i="9" s="1"/>
  <c r="P56" i="9"/>
  <c r="Q56" i="9" s="1"/>
  <c r="P55" i="9"/>
  <c r="Q55" i="9" s="1"/>
  <c r="P54" i="9"/>
  <c r="Q54" i="9" s="1"/>
  <c r="P53" i="9"/>
  <c r="Q53" i="9" s="1"/>
  <c r="P52" i="9"/>
  <c r="Q52" i="9" s="1"/>
  <c r="P51" i="9"/>
  <c r="Q51" i="9" s="1"/>
  <c r="P50" i="9"/>
  <c r="Q50" i="9" s="1"/>
  <c r="P49" i="9"/>
  <c r="Q49" i="9" s="1"/>
  <c r="P48" i="9"/>
  <c r="Q48" i="9" s="1"/>
  <c r="P47" i="9"/>
  <c r="Q47" i="9" s="1"/>
  <c r="P46" i="9"/>
  <c r="Q46" i="9" s="1"/>
  <c r="P45" i="9"/>
  <c r="Q45" i="9" s="1"/>
  <c r="P44" i="9"/>
  <c r="Q44" i="9" s="1"/>
  <c r="P43" i="9"/>
  <c r="Q43" i="9" s="1"/>
  <c r="P42" i="9"/>
  <c r="Q42" i="9" s="1"/>
  <c r="P41" i="9"/>
  <c r="Q41" i="9" s="1"/>
  <c r="P40" i="9"/>
  <c r="Q40" i="9" s="1"/>
  <c r="P39" i="9"/>
  <c r="Q39" i="9" s="1"/>
  <c r="P38" i="9"/>
  <c r="Q38" i="9" s="1"/>
  <c r="P37" i="9"/>
  <c r="Q37" i="9" s="1"/>
  <c r="P36" i="9"/>
  <c r="Q36" i="9" s="1"/>
  <c r="P35" i="9"/>
  <c r="Q35" i="9" s="1"/>
  <c r="P34" i="9"/>
  <c r="Q34" i="9" s="1"/>
  <c r="P33" i="9"/>
  <c r="Q33" i="9" s="1"/>
  <c r="P32" i="9"/>
  <c r="Q32" i="9" s="1"/>
  <c r="P31" i="9"/>
  <c r="Q31" i="9" s="1"/>
  <c r="P30" i="9"/>
  <c r="Q30" i="9" s="1"/>
  <c r="P29" i="9"/>
  <c r="Q29" i="9" s="1"/>
  <c r="P28" i="9"/>
  <c r="Q28" i="9" s="1"/>
  <c r="P27" i="9"/>
  <c r="Q27" i="9" s="1"/>
  <c r="P26" i="9"/>
  <c r="Q26" i="9" s="1"/>
  <c r="P25" i="9"/>
  <c r="Q25" i="9" s="1"/>
  <c r="P24" i="9"/>
  <c r="Q24" i="9" s="1"/>
  <c r="P23" i="9"/>
  <c r="Q23" i="9" s="1"/>
  <c r="P22" i="9"/>
  <c r="Q22" i="9" s="1"/>
  <c r="P21" i="9"/>
  <c r="Q21" i="9" s="1"/>
  <c r="P20" i="9"/>
  <c r="Q20" i="9" s="1"/>
  <c r="P19" i="9"/>
  <c r="Q19" i="9" s="1"/>
  <c r="P18" i="9"/>
  <c r="Q18" i="9" s="1"/>
  <c r="P17" i="9"/>
  <c r="Q17" i="9" s="1"/>
  <c r="P16" i="9"/>
  <c r="Q16" i="9" s="1"/>
  <c r="P15" i="9"/>
  <c r="Q15" i="9" s="1"/>
  <c r="P14" i="9"/>
  <c r="Q14" i="9" s="1"/>
  <c r="P13" i="9"/>
  <c r="Q13" i="9" s="1"/>
  <c r="P12" i="9"/>
  <c r="Q12" i="9" s="1"/>
  <c r="P11" i="9"/>
  <c r="Q11" i="9" s="1"/>
  <c r="P10" i="9"/>
  <c r="Q10" i="9" s="1"/>
  <c r="P9" i="9"/>
  <c r="Q9" i="9" s="1"/>
  <c r="P8" i="9"/>
  <c r="Q8" i="9" s="1"/>
  <c r="P7" i="9"/>
  <c r="Q7" i="9" s="1"/>
  <c r="T6" i="9"/>
  <c r="G1" i="9" s="1"/>
  <c r="M23" i="4" s="1"/>
  <c r="P6" i="9"/>
  <c r="T5" i="9"/>
  <c r="P5" i="9"/>
  <c r="Q5" i="9" s="1"/>
  <c r="T4" i="9"/>
  <c r="K23" i="4" s="1"/>
  <c r="P4" i="9"/>
  <c r="Q4" i="9" s="1"/>
  <c r="T3" i="9"/>
  <c r="P3" i="9"/>
  <c r="T6" i="8"/>
  <c r="T5" i="8"/>
  <c r="T4" i="8"/>
  <c r="K22" i="4" s="1"/>
  <c r="T3" i="8"/>
  <c r="E1" i="8" s="1"/>
  <c r="P3" i="8"/>
  <c r="Q3" i="8" s="1"/>
  <c r="L21" i="4"/>
  <c r="F33" i="4"/>
  <c r="F32" i="4"/>
  <c r="F31" i="4"/>
  <c r="F30" i="4"/>
  <c r="F29" i="4"/>
  <c r="F28" i="4"/>
  <c r="F27" i="4"/>
  <c r="F26" i="4"/>
  <c r="F25" i="4"/>
  <c r="F24" i="4"/>
  <c r="F23" i="4"/>
  <c r="F22" i="4"/>
  <c r="F21" i="4"/>
  <c r="F20" i="4"/>
  <c r="P277" i="6"/>
  <c r="Q277" i="6" s="1"/>
  <c r="P276" i="6"/>
  <c r="Q276" i="6" s="1"/>
  <c r="P275" i="6"/>
  <c r="Q275" i="6" s="1"/>
  <c r="P274" i="6"/>
  <c r="Q274" i="6" s="1"/>
  <c r="P273" i="6"/>
  <c r="Q273" i="6" s="1"/>
  <c r="P272" i="6"/>
  <c r="Q272" i="6" s="1"/>
  <c r="P271" i="6"/>
  <c r="Q271" i="6" s="1"/>
  <c r="P270" i="6"/>
  <c r="Q270" i="6" s="1"/>
  <c r="P269" i="6"/>
  <c r="Q269" i="6" s="1"/>
  <c r="P268" i="6"/>
  <c r="Q268" i="6" s="1"/>
  <c r="P267" i="6"/>
  <c r="Q267" i="6" s="1"/>
  <c r="P266" i="6"/>
  <c r="Q266" i="6" s="1"/>
  <c r="P265" i="6"/>
  <c r="Q265" i="6" s="1"/>
  <c r="P264" i="6"/>
  <c r="Q264" i="6" s="1"/>
  <c r="P263" i="6"/>
  <c r="Q263" i="6" s="1"/>
  <c r="P262" i="6"/>
  <c r="Q262" i="6" s="1"/>
  <c r="P261" i="6"/>
  <c r="Q261" i="6" s="1"/>
  <c r="P260" i="6"/>
  <c r="Q260" i="6" s="1"/>
  <c r="P259" i="6"/>
  <c r="Q259" i="6" s="1"/>
  <c r="P258" i="6"/>
  <c r="Q258" i="6" s="1"/>
  <c r="P257" i="6"/>
  <c r="Q257" i="6" s="1"/>
  <c r="P256" i="6"/>
  <c r="Q256" i="6" s="1"/>
  <c r="P255" i="6"/>
  <c r="Q255" i="6" s="1"/>
  <c r="P254" i="6"/>
  <c r="Q254" i="6" s="1"/>
  <c r="P253" i="6"/>
  <c r="Q253" i="6" s="1"/>
  <c r="P252" i="6"/>
  <c r="Q252" i="6" s="1"/>
  <c r="P251" i="6"/>
  <c r="Q251" i="6" s="1"/>
  <c r="P250" i="6"/>
  <c r="Q250" i="6" s="1"/>
  <c r="P249" i="6"/>
  <c r="Q249" i="6" s="1"/>
  <c r="P248" i="6"/>
  <c r="Q248" i="6" s="1"/>
  <c r="P247" i="6"/>
  <c r="Q247" i="6" s="1"/>
  <c r="P246" i="6"/>
  <c r="Q246" i="6" s="1"/>
  <c r="P245" i="6"/>
  <c r="Q245" i="6" s="1"/>
  <c r="P244" i="6"/>
  <c r="Q244" i="6" s="1"/>
  <c r="P243" i="6"/>
  <c r="Q243" i="6" s="1"/>
  <c r="P242" i="6"/>
  <c r="Q242" i="6" s="1"/>
  <c r="P241" i="6"/>
  <c r="Q241" i="6" s="1"/>
  <c r="P240" i="6"/>
  <c r="Q240" i="6" s="1"/>
  <c r="P239" i="6"/>
  <c r="Q239" i="6" s="1"/>
  <c r="P238" i="6"/>
  <c r="Q238" i="6" s="1"/>
  <c r="P237" i="6"/>
  <c r="Q237" i="6" s="1"/>
  <c r="P236" i="6"/>
  <c r="Q236" i="6" s="1"/>
  <c r="P235" i="6"/>
  <c r="Q235" i="6" s="1"/>
  <c r="P234" i="6"/>
  <c r="Q234" i="6" s="1"/>
  <c r="P233" i="6"/>
  <c r="Q233" i="6" s="1"/>
  <c r="P232" i="6"/>
  <c r="Q232" i="6" s="1"/>
  <c r="P231" i="6"/>
  <c r="Q231" i="6" s="1"/>
  <c r="P230" i="6"/>
  <c r="Q230" i="6" s="1"/>
  <c r="P229" i="6"/>
  <c r="Q229" i="6" s="1"/>
  <c r="P228" i="6"/>
  <c r="Q228" i="6" s="1"/>
  <c r="P227" i="6"/>
  <c r="Q227" i="6" s="1"/>
  <c r="P226" i="6"/>
  <c r="Q226" i="6" s="1"/>
  <c r="P225" i="6"/>
  <c r="Q225" i="6" s="1"/>
  <c r="P224" i="6"/>
  <c r="Q224" i="6" s="1"/>
  <c r="P223" i="6"/>
  <c r="Q223" i="6" s="1"/>
  <c r="P222" i="6"/>
  <c r="Q222" i="6" s="1"/>
  <c r="P221" i="6"/>
  <c r="Q221" i="6" s="1"/>
  <c r="P220" i="6"/>
  <c r="Q220" i="6" s="1"/>
  <c r="P219" i="6"/>
  <c r="Q219" i="6" s="1"/>
  <c r="P218" i="6"/>
  <c r="Q218" i="6" s="1"/>
  <c r="P217" i="6"/>
  <c r="Q217" i="6" s="1"/>
  <c r="P216" i="6"/>
  <c r="Q216" i="6" s="1"/>
  <c r="P215" i="6"/>
  <c r="Q215" i="6" s="1"/>
  <c r="P214" i="6"/>
  <c r="Q214" i="6" s="1"/>
  <c r="P213" i="6"/>
  <c r="Q213" i="6" s="1"/>
  <c r="P212" i="6"/>
  <c r="Q212" i="6" s="1"/>
  <c r="P211" i="6"/>
  <c r="Q211" i="6" s="1"/>
  <c r="P210" i="6"/>
  <c r="Q210" i="6" s="1"/>
  <c r="P209" i="6"/>
  <c r="Q209" i="6" s="1"/>
  <c r="P208" i="6"/>
  <c r="Q208" i="6" s="1"/>
  <c r="P207" i="6"/>
  <c r="Q207" i="6" s="1"/>
  <c r="P206" i="6"/>
  <c r="Q206" i="6" s="1"/>
  <c r="P205" i="6"/>
  <c r="Q205" i="6" s="1"/>
  <c r="P204" i="6"/>
  <c r="Q204" i="6" s="1"/>
  <c r="P203" i="6"/>
  <c r="Q203" i="6" s="1"/>
  <c r="P202" i="6"/>
  <c r="Q202" i="6" s="1"/>
  <c r="P201" i="6"/>
  <c r="Q201" i="6" s="1"/>
  <c r="P200" i="6"/>
  <c r="Q200" i="6" s="1"/>
  <c r="P199" i="6"/>
  <c r="Q199" i="6" s="1"/>
  <c r="P198" i="6"/>
  <c r="Q198" i="6" s="1"/>
  <c r="P197" i="6"/>
  <c r="Q197" i="6" s="1"/>
  <c r="P196" i="6"/>
  <c r="Q196" i="6" s="1"/>
  <c r="P195" i="6"/>
  <c r="Q195" i="6" s="1"/>
  <c r="P194" i="6"/>
  <c r="Q194" i="6" s="1"/>
  <c r="P193" i="6"/>
  <c r="Q193" i="6" s="1"/>
  <c r="P192" i="6"/>
  <c r="Q192" i="6" s="1"/>
  <c r="P191" i="6"/>
  <c r="Q191" i="6" s="1"/>
  <c r="P190" i="6"/>
  <c r="Q190" i="6" s="1"/>
  <c r="P189" i="6"/>
  <c r="Q189" i="6" s="1"/>
  <c r="P188" i="6"/>
  <c r="Q188" i="6" s="1"/>
  <c r="P187" i="6"/>
  <c r="Q187" i="6" s="1"/>
  <c r="P186" i="6"/>
  <c r="Q186" i="6" s="1"/>
  <c r="P185" i="6"/>
  <c r="Q185" i="6" s="1"/>
  <c r="P184" i="6"/>
  <c r="Q184" i="6" s="1"/>
  <c r="P183" i="6"/>
  <c r="Q183" i="6" s="1"/>
  <c r="P182" i="6"/>
  <c r="Q182" i="6" s="1"/>
  <c r="P181" i="6"/>
  <c r="Q181" i="6" s="1"/>
  <c r="P180" i="6"/>
  <c r="Q180" i="6" s="1"/>
  <c r="P179" i="6"/>
  <c r="Q179" i="6" s="1"/>
  <c r="P178" i="6"/>
  <c r="Q178" i="6" s="1"/>
  <c r="P177" i="6"/>
  <c r="Q177" i="6" s="1"/>
  <c r="P176" i="6"/>
  <c r="Q176" i="6" s="1"/>
  <c r="P175" i="6"/>
  <c r="Q175" i="6" s="1"/>
  <c r="P174" i="6"/>
  <c r="Q174" i="6" s="1"/>
  <c r="P173" i="6"/>
  <c r="Q173" i="6" s="1"/>
  <c r="P172" i="6"/>
  <c r="Q172" i="6" s="1"/>
  <c r="P171" i="6"/>
  <c r="Q171" i="6" s="1"/>
  <c r="P170" i="6"/>
  <c r="Q170" i="6" s="1"/>
  <c r="P169" i="6"/>
  <c r="Q169" i="6" s="1"/>
  <c r="P168" i="6"/>
  <c r="Q168" i="6" s="1"/>
  <c r="P167" i="6"/>
  <c r="Q167" i="6" s="1"/>
  <c r="P166" i="6"/>
  <c r="Q166" i="6" s="1"/>
  <c r="P165" i="6"/>
  <c r="Q165" i="6" s="1"/>
  <c r="P164" i="6"/>
  <c r="Q164" i="6" s="1"/>
  <c r="P163" i="6"/>
  <c r="Q163" i="6" s="1"/>
  <c r="P162" i="6"/>
  <c r="Q162" i="6" s="1"/>
  <c r="P161" i="6"/>
  <c r="Q161" i="6" s="1"/>
  <c r="P160" i="6"/>
  <c r="Q160" i="6" s="1"/>
  <c r="P159" i="6"/>
  <c r="Q159" i="6" s="1"/>
  <c r="P158" i="6"/>
  <c r="Q158" i="6" s="1"/>
  <c r="P157" i="6"/>
  <c r="Q157" i="6" s="1"/>
  <c r="P156" i="6"/>
  <c r="Q156" i="6" s="1"/>
  <c r="P155" i="6"/>
  <c r="Q155" i="6" s="1"/>
  <c r="P154" i="6"/>
  <c r="Q154" i="6" s="1"/>
  <c r="P153" i="6"/>
  <c r="Q153" i="6" s="1"/>
  <c r="P152" i="6"/>
  <c r="Q152" i="6" s="1"/>
  <c r="P151" i="6"/>
  <c r="Q151" i="6" s="1"/>
  <c r="P150" i="6"/>
  <c r="Q150" i="6" s="1"/>
  <c r="P149" i="6"/>
  <c r="Q149" i="6" s="1"/>
  <c r="P148" i="6"/>
  <c r="Q148" i="6" s="1"/>
  <c r="P147" i="6"/>
  <c r="Q147" i="6" s="1"/>
  <c r="P146" i="6"/>
  <c r="Q146" i="6" s="1"/>
  <c r="P145" i="6"/>
  <c r="Q145" i="6" s="1"/>
  <c r="P144" i="6"/>
  <c r="Q144" i="6" s="1"/>
  <c r="P143" i="6"/>
  <c r="Q143" i="6" s="1"/>
  <c r="P142" i="6"/>
  <c r="Q142" i="6" s="1"/>
  <c r="P141" i="6"/>
  <c r="Q141" i="6" s="1"/>
  <c r="P140" i="6"/>
  <c r="Q140" i="6" s="1"/>
  <c r="P139" i="6"/>
  <c r="Q139" i="6" s="1"/>
  <c r="P138" i="6"/>
  <c r="Q138" i="6" s="1"/>
  <c r="P137" i="6"/>
  <c r="Q137" i="6" s="1"/>
  <c r="P136" i="6"/>
  <c r="Q136" i="6" s="1"/>
  <c r="P135" i="6"/>
  <c r="Q135" i="6" s="1"/>
  <c r="P134" i="6"/>
  <c r="Q134" i="6" s="1"/>
  <c r="P133" i="6"/>
  <c r="Q133" i="6" s="1"/>
  <c r="P132" i="6"/>
  <c r="Q132" i="6" s="1"/>
  <c r="P131" i="6"/>
  <c r="Q131" i="6" s="1"/>
  <c r="P130" i="6"/>
  <c r="Q130" i="6" s="1"/>
  <c r="P129" i="6"/>
  <c r="Q129" i="6" s="1"/>
  <c r="P128" i="6"/>
  <c r="Q128" i="6" s="1"/>
  <c r="P127" i="6"/>
  <c r="Q127" i="6" s="1"/>
  <c r="P126" i="6"/>
  <c r="Q126" i="6" s="1"/>
  <c r="P125" i="6"/>
  <c r="Q125" i="6" s="1"/>
  <c r="P124" i="6"/>
  <c r="Q124" i="6" s="1"/>
  <c r="P123" i="6"/>
  <c r="Q123" i="6" s="1"/>
  <c r="P122" i="6"/>
  <c r="Q122" i="6" s="1"/>
  <c r="P121" i="6"/>
  <c r="Q121" i="6" s="1"/>
  <c r="P120" i="6"/>
  <c r="Q120" i="6" s="1"/>
  <c r="P119" i="6"/>
  <c r="Q119" i="6" s="1"/>
  <c r="P118" i="6"/>
  <c r="Q118" i="6" s="1"/>
  <c r="P117" i="6"/>
  <c r="Q117" i="6" s="1"/>
  <c r="P116" i="6"/>
  <c r="Q116" i="6" s="1"/>
  <c r="P115" i="6"/>
  <c r="Q115" i="6" s="1"/>
  <c r="P114" i="6"/>
  <c r="Q114" i="6" s="1"/>
  <c r="P113" i="6"/>
  <c r="Q113" i="6" s="1"/>
  <c r="P112" i="6"/>
  <c r="Q112" i="6" s="1"/>
  <c r="P111" i="6"/>
  <c r="Q111" i="6" s="1"/>
  <c r="P110" i="6"/>
  <c r="Q110" i="6" s="1"/>
  <c r="P109" i="6"/>
  <c r="Q109" i="6" s="1"/>
  <c r="P108" i="6"/>
  <c r="Q108" i="6" s="1"/>
  <c r="P107" i="6"/>
  <c r="Q107" i="6" s="1"/>
  <c r="P106" i="6"/>
  <c r="P105" i="6"/>
  <c r="P104" i="6"/>
  <c r="P103" i="6"/>
  <c r="P102" i="6"/>
  <c r="P101" i="6"/>
  <c r="P100" i="6"/>
  <c r="P99" i="6"/>
  <c r="P98" i="6"/>
  <c r="P97" i="6"/>
  <c r="P96" i="6"/>
  <c r="P95" i="6"/>
  <c r="P94" i="6"/>
  <c r="P93" i="6"/>
  <c r="P92" i="6"/>
  <c r="P91" i="6"/>
  <c r="P90" i="6"/>
  <c r="P89" i="6"/>
  <c r="P88" i="6"/>
  <c r="P87" i="6"/>
  <c r="P86" i="6"/>
  <c r="P85" i="6"/>
  <c r="P84" i="6"/>
  <c r="P83" i="6"/>
  <c r="P82" i="6"/>
  <c r="P81" i="6"/>
  <c r="P80" i="6"/>
  <c r="P79" i="6"/>
  <c r="P78" i="6"/>
  <c r="P77" i="6"/>
  <c r="P76" i="6"/>
  <c r="P75" i="6"/>
  <c r="P74" i="6"/>
  <c r="P73" i="6"/>
  <c r="P72" i="6"/>
  <c r="P71" i="6"/>
  <c r="P70" i="6"/>
  <c r="P69" i="6"/>
  <c r="P68" i="6"/>
  <c r="P67" i="6"/>
  <c r="P66" i="6"/>
  <c r="P65" i="6"/>
  <c r="P64" i="6"/>
  <c r="P63" i="6"/>
  <c r="P62" i="6"/>
  <c r="P61" i="6"/>
  <c r="P60" i="6"/>
  <c r="P59" i="6"/>
  <c r="P58" i="6"/>
  <c r="P57" i="6"/>
  <c r="P56" i="6"/>
  <c r="P55" i="6"/>
  <c r="P54" i="6"/>
  <c r="P53" i="6"/>
  <c r="P52" i="6"/>
  <c r="P51" i="6"/>
  <c r="P50" i="6"/>
  <c r="P49" i="6"/>
  <c r="P48" i="6"/>
  <c r="P47" i="6"/>
  <c r="P46" i="6"/>
  <c r="P45" i="6"/>
  <c r="P44" i="6"/>
  <c r="P43" i="6"/>
  <c r="P42" i="6"/>
  <c r="P41" i="6"/>
  <c r="P40" i="6"/>
  <c r="P39" i="6"/>
  <c r="P38" i="6"/>
  <c r="P37" i="6"/>
  <c r="P36" i="6"/>
  <c r="P35" i="6"/>
  <c r="P34" i="6"/>
  <c r="P33" i="6"/>
  <c r="P32" i="6"/>
  <c r="P31" i="6"/>
  <c r="P30" i="6"/>
  <c r="P29" i="6"/>
  <c r="P28" i="6"/>
  <c r="P27" i="6"/>
  <c r="P26" i="6"/>
  <c r="P25" i="6"/>
  <c r="P24" i="6"/>
  <c r="P23" i="6"/>
  <c r="P22" i="6"/>
  <c r="P21" i="6"/>
  <c r="P20" i="6"/>
  <c r="P19" i="6"/>
  <c r="P18" i="6"/>
  <c r="P17" i="6"/>
  <c r="P16" i="6"/>
  <c r="P15" i="6"/>
  <c r="P14" i="6"/>
  <c r="P13" i="6"/>
  <c r="P12" i="6"/>
  <c r="P11" i="6"/>
  <c r="P10" i="6"/>
  <c r="P9" i="6"/>
  <c r="P8" i="6"/>
  <c r="P7" i="6"/>
  <c r="T6" i="6"/>
  <c r="P6" i="6"/>
  <c r="T5" i="6"/>
  <c r="P5" i="6"/>
  <c r="T4" i="6"/>
  <c r="K20" i="4" s="1"/>
  <c r="P4" i="6"/>
  <c r="T3" i="6"/>
  <c r="P3" i="6"/>
  <c r="Q3" i="6" s="1"/>
  <c r="L2" i="17" l="1" a="1"/>
  <c r="L2" i="17" s="1"/>
  <c r="L6" i="17" a="1"/>
  <c r="L6" i="17" s="1"/>
  <c r="L10" i="17" a="1"/>
  <c r="L10" i="17" s="1"/>
  <c r="L14" i="17" a="1"/>
  <c r="L14" i="17" s="1"/>
  <c r="L18" i="17" a="1"/>
  <c r="L18" i="17" s="1"/>
  <c r="L22" i="17" a="1"/>
  <c r="L22" i="17" s="1"/>
  <c r="L26" i="17" a="1"/>
  <c r="L26" i="17" s="1"/>
  <c r="L30" i="17" a="1"/>
  <c r="L30" i="17" s="1"/>
  <c r="L34" i="17" a="1"/>
  <c r="L34" i="17" s="1"/>
  <c r="L15" i="17" a="1"/>
  <c r="L15" i="17" s="1"/>
  <c r="L23" i="17" a="1"/>
  <c r="L23" i="17" s="1"/>
  <c r="L31" i="17" a="1"/>
  <c r="L31" i="17" s="1"/>
  <c r="L39" i="17" a="1"/>
  <c r="L39" i="17" s="1"/>
  <c r="L47" i="17" a="1"/>
  <c r="L47" i="17" s="1"/>
  <c r="L55" i="17" a="1"/>
  <c r="L55" i="17" s="1"/>
  <c r="L46" i="17" a="1"/>
  <c r="L46" i="17" s="1"/>
  <c r="L3" i="17" a="1"/>
  <c r="L3" i="17" s="1"/>
  <c r="L7" i="17" a="1"/>
  <c r="L7" i="17" s="1"/>
  <c r="L11" i="17" a="1"/>
  <c r="L11" i="17" s="1"/>
  <c r="L19" i="17" a="1"/>
  <c r="L19" i="17" s="1"/>
  <c r="L27" i="17" a="1"/>
  <c r="L27" i="17" s="1"/>
  <c r="L35" i="17" a="1"/>
  <c r="L35" i="17" s="1"/>
  <c r="L43" i="17" a="1"/>
  <c r="L43" i="17" s="1"/>
  <c r="L51" i="17" a="1"/>
  <c r="L51" i="17" s="1"/>
  <c r="L42" i="17" a="1"/>
  <c r="L42" i="17" s="1"/>
  <c r="L12" i="17" a="1"/>
  <c r="L12" i="17" s="1"/>
  <c r="L20" i="17" a="1"/>
  <c r="L20" i="17" s="1"/>
  <c r="L28" i="17" a="1"/>
  <c r="L28" i="17" s="1"/>
  <c r="L36" i="17" a="1"/>
  <c r="L36" i="17" s="1"/>
  <c r="L44" i="17" a="1"/>
  <c r="L44" i="17" s="1"/>
  <c r="L52" i="17" a="1"/>
  <c r="L52" i="17" s="1"/>
  <c r="L38" i="17" a="1"/>
  <c r="L38" i="17" s="1"/>
  <c r="L4" i="17" a="1"/>
  <c r="L4" i="17" s="1"/>
  <c r="L8" i="17" a="1"/>
  <c r="L8" i="17" s="1"/>
  <c r="L16" i="17" a="1"/>
  <c r="L16" i="17" s="1"/>
  <c r="L24" i="17" a="1"/>
  <c r="L24" i="17" s="1"/>
  <c r="L32" i="17" a="1"/>
  <c r="L32" i="17" s="1"/>
  <c r="L40" i="17" a="1"/>
  <c r="L40" i="17" s="1"/>
  <c r="L48" i="17" a="1"/>
  <c r="L48" i="17" s="1"/>
  <c r="L56" i="17" a="1"/>
  <c r="L56" i="17" s="1"/>
  <c r="L50" i="17" a="1"/>
  <c r="L50" i="17" s="1"/>
  <c r="L13" i="17" a="1"/>
  <c r="L13" i="17" s="1"/>
  <c r="L21" i="17" a="1"/>
  <c r="L21" i="17" s="1"/>
  <c r="L29" i="17" a="1"/>
  <c r="L29" i="17" s="1"/>
  <c r="L37" i="17" a="1"/>
  <c r="L37" i="17" s="1"/>
  <c r="L45" i="17" a="1"/>
  <c r="L45" i="17" s="1"/>
  <c r="L53" i="17" a="1"/>
  <c r="L53" i="17" s="1"/>
  <c r="L5" i="17" a="1"/>
  <c r="L5" i="17" s="1"/>
  <c r="L9" i="17" a="1"/>
  <c r="L9" i="17" s="1"/>
  <c r="L17" i="17" a="1"/>
  <c r="L17" i="17" s="1"/>
  <c r="L25" i="17" a="1"/>
  <c r="L25" i="17" s="1"/>
  <c r="L33" i="17" a="1"/>
  <c r="L33" i="17" s="1"/>
  <c r="L41" i="17" a="1"/>
  <c r="L41" i="17" s="1"/>
  <c r="L49" i="17" a="1"/>
  <c r="L49" i="17" s="1"/>
  <c r="L57" i="17" a="1"/>
  <c r="L57" i="17" s="1"/>
  <c r="L54" i="17" a="1"/>
  <c r="L54" i="17" s="1"/>
  <c r="Q2" i="17" a="1"/>
  <c r="Q2" i="17" s="1"/>
  <c r="Q3" i="17" a="1"/>
  <c r="Q3" i="17" s="1"/>
  <c r="Q7" i="17" a="1"/>
  <c r="Q7" i="17" s="1"/>
  <c r="Q11" i="17" a="1"/>
  <c r="Q11" i="17" s="1"/>
  <c r="Q15" i="17" a="1"/>
  <c r="Q15" i="17" s="1"/>
  <c r="Q19" i="17" a="1"/>
  <c r="Q19" i="17" s="1"/>
  <c r="Q23" i="17" a="1"/>
  <c r="Q23" i="17" s="1"/>
  <c r="Q27" i="17" a="1"/>
  <c r="Q27" i="17" s="1"/>
  <c r="Q31" i="17" a="1"/>
  <c r="Q31" i="17" s="1"/>
  <c r="Q35" i="17" a="1"/>
  <c r="Q35" i="17" s="1"/>
  <c r="Q39" i="17" a="1"/>
  <c r="Q39" i="17" s="1"/>
  <c r="Q43" i="17" a="1"/>
  <c r="Q43" i="17" s="1"/>
  <c r="Q47" i="17" a="1"/>
  <c r="Q47" i="17" s="1"/>
  <c r="Q51" i="17" a="1"/>
  <c r="Q51" i="17" s="1"/>
  <c r="Q55" i="17" a="1"/>
  <c r="Q55" i="17" s="1"/>
  <c r="Q67" i="17" a="1"/>
  <c r="Q67" i="17" s="1"/>
  <c r="Q79" i="17" a="1"/>
  <c r="Q79" i="17" s="1"/>
  <c r="Q12" i="17" a="1"/>
  <c r="Q12" i="17" s="1"/>
  <c r="Q20" i="17" a="1"/>
  <c r="Q20" i="17" s="1"/>
  <c r="Q28" i="17" a="1"/>
  <c r="Q28" i="17" s="1"/>
  <c r="Q40" i="17" a="1"/>
  <c r="Q40" i="17" s="1"/>
  <c r="Q56" i="17" a="1"/>
  <c r="Q56" i="17" s="1"/>
  <c r="Q60" i="17" a="1"/>
  <c r="Q60" i="17" s="1"/>
  <c r="Q64" i="17" a="1"/>
  <c r="Q64" i="17" s="1"/>
  <c r="Q68" i="17" a="1"/>
  <c r="Q68" i="17" s="1"/>
  <c r="Q72" i="17" a="1"/>
  <c r="Q72" i="17" s="1"/>
  <c r="Q4" i="17" a="1"/>
  <c r="Q4" i="17" s="1"/>
  <c r="Q8" i="17" a="1"/>
  <c r="Q8" i="17" s="1"/>
  <c r="Q16" i="17" a="1"/>
  <c r="Q16" i="17" s="1"/>
  <c r="Q24" i="17" a="1"/>
  <c r="Q24" i="17" s="1"/>
  <c r="Q32" i="17" a="1"/>
  <c r="Q32" i="17" s="1"/>
  <c r="Q36" i="17" a="1"/>
  <c r="Q36" i="17" s="1"/>
  <c r="Q44" i="17" a="1"/>
  <c r="Q44" i="17" s="1"/>
  <c r="Q48" i="17" a="1"/>
  <c r="Q48" i="17" s="1"/>
  <c r="Q52" i="17" a="1"/>
  <c r="Q52" i="17" s="1"/>
  <c r="Q76" i="17" a="1"/>
  <c r="Q76" i="17" s="1"/>
  <c r="Q80" i="17" a="1"/>
  <c r="Q80" i="17" s="1"/>
  <c r="Q13" i="17" a="1"/>
  <c r="Q13" i="17" s="1"/>
  <c r="Q21" i="17" a="1"/>
  <c r="Q21" i="17" s="1"/>
  <c r="Q29" i="17" a="1"/>
  <c r="Q29" i="17" s="1"/>
  <c r="Q37" i="17" a="1"/>
  <c r="Q37" i="17" s="1"/>
  <c r="Q41" i="17" a="1"/>
  <c r="Q41" i="17" s="1"/>
  <c r="Q49" i="17" a="1"/>
  <c r="Q49" i="17" s="1"/>
  <c r="Q57" i="17" a="1"/>
  <c r="Q57" i="17" s="1"/>
  <c r="Q81" i="17" a="1"/>
  <c r="Q81" i="17" s="1"/>
  <c r="Q5" i="17" a="1"/>
  <c r="Q5" i="17" s="1"/>
  <c r="Q9" i="17" a="1"/>
  <c r="Q9" i="17" s="1"/>
  <c r="Q17" i="17" a="1"/>
  <c r="Q17" i="17" s="1"/>
  <c r="Q25" i="17" a="1"/>
  <c r="Q25" i="17" s="1"/>
  <c r="Q33" i="17" a="1"/>
  <c r="Q33" i="17" s="1"/>
  <c r="Q45" i="17" a="1"/>
  <c r="Q45" i="17" s="1"/>
  <c r="Q53" i="17" a="1"/>
  <c r="Q53" i="17" s="1"/>
  <c r="Q61" i="17" a="1"/>
  <c r="Q61" i="17" s="1"/>
  <c r="Q65" i="17" a="1"/>
  <c r="Q65" i="17" s="1"/>
  <c r="Q69" i="17" a="1"/>
  <c r="Q69" i="17" s="1"/>
  <c r="Q73" i="17" a="1"/>
  <c r="Q73" i="17" s="1"/>
  <c r="Q77" i="17" a="1"/>
  <c r="Q77" i="17" s="1"/>
  <c r="Q10" i="17" a="1"/>
  <c r="Q10" i="17" s="1"/>
  <c r="Q22" i="17" a="1"/>
  <c r="Q22" i="17" s="1"/>
  <c r="Q26" i="17" a="1"/>
  <c r="Q26" i="17" s="1"/>
  <c r="Q38" i="17" a="1"/>
  <c r="Q38" i="17" s="1"/>
  <c r="Q42" i="17" a="1"/>
  <c r="Q42" i="17" s="1"/>
  <c r="Q50" i="17" a="1"/>
  <c r="Q50" i="17" s="1"/>
  <c r="Q58" i="17" a="1"/>
  <c r="Q58" i="17" s="1"/>
  <c r="Q66" i="17" a="1"/>
  <c r="Q66" i="17" s="1"/>
  <c r="Q78" i="17" a="1"/>
  <c r="Q78" i="17" s="1"/>
  <c r="Q63" i="17" a="1"/>
  <c r="Q63" i="17" s="1"/>
  <c r="Q75" i="17" a="1"/>
  <c r="Q75" i="17" s="1"/>
  <c r="Q6" i="17" a="1"/>
  <c r="Q6" i="17" s="1"/>
  <c r="Q14" i="17" a="1"/>
  <c r="Q14" i="17" s="1"/>
  <c r="Q18" i="17" a="1"/>
  <c r="Q18" i="17" s="1"/>
  <c r="Q30" i="17" a="1"/>
  <c r="Q30" i="17" s="1"/>
  <c r="Q34" i="17" a="1"/>
  <c r="Q34" i="17" s="1"/>
  <c r="Q46" i="17" a="1"/>
  <c r="Q46" i="17" s="1"/>
  <c r="Q54" i="17" a="1"/>
  <c r="Q54" i="17" s="1"/>
  <c r="Q62" i="17" a="1"/>
  <c r="Q62" i="17" s="1"/>
  <c r="Q70" i="17" a="1"/>
  <c r="Q70" i="17" s="1"/>
  <c r="Q74" i="17" a="1"/>
  <c r="Q74" i="17" s="1"/>
  <c r="Q82" i="17" a="1"/>
  <c r="Q82" i="17" s="1"/>
  <c r="Q59" i="17" a="1"/>
  <c r="Q59" i="17" s="1"/>
  <c r="Q71" i="17" a="1"/>
  <c r="Q71" i="17" s="1"/>
  <c r="Q83" i="17" a="1"/>
  <c r="Q83" i="17" s="1"/>
  <c r="P2" i="17" a="1"/>
  <c r="P2" i="17" s="1"/>
  <c r="P3" i="17" a="1"/>
  <c r="P3" i="17" s="1"/>
  <c r="P7" i="17" a="1"/>
  <c r="P7" i="17" s="1"/>
  <c r="P15" i="17" a="1"/>
  <c r="P15" i="17" s="1"/>
  <c r="P23" i="17" a="1"/>
  <c r="P23" i="17" s="1"/>
  <c r="P27" i="17" a="1"/>
  <c r="P27" i="17" s="1"/>
  <c r="P35" i="17" a="1"/>
  <c r="P35" i="17" s="1"/>
  <c r="P47" i="17" a="1"/>
  <c r="P47" i="17" s="1"/>
  <c r="P55" i="17" a="1"/>
  <c r="P55" i="17" s="1"/>
  <c r="P63" i="17" a="1"/>
  <c r="P63" i="17" s="1"/>
  <c r="P71" i="17" a="1"/>
  <c r="P71" i="17" s="1"/>
  <c r="P75" i="17" a="1"/>
  <c r="P75" i="17" s="1"/>
  <c r="P83" i="17" a="1"/>
  <c r="P83" i="17" s="1"/>
  <c r="P53" i="17" a="1"/>
  <c r="P53" i="17" s="1"/>
  <c r="P81" i="17" a="1"/>
  <c r="P81" i="17" s="1"/>
  <c r="P42" i="17" a="1"/>
  <c r="P42" i="17" s="1"/>
  <c r="P66" i="17" a="1"/>
  <c r="P66" i="17" s="1"/>
  <c r="P8" i="17" a="1"/>
  <c r="P8" i="17" s="1"/>
  <c r="P16" i="17" a="1"/>
  <c r="P16" i="17" s="1"/>
  <c r="P24" i="17" a="1"/>
  <c r="P24" i="17" s="1"/>
  <c r="P28" i="17" a="1"/>
  <c r="P28" i="17" s="1"/>
  <c r="P32" i="17" a="1"/>
  <c r="P32" i="17" s="1"/>
  <c r="P40" i="17" a="1"/>
  <c r="P40" i="17" s="1"/>
  <c r="P48" i="17" a="1"/>
  <c r="P48" i="17" s="1"/>
  <c r="P56" i="17" a="1"/>
  <c r="P56" i="17" s="1"/>
  <c r="P64" i="17" a="1"/>
  <c r="P64" i="17" s="1"/>
  <c r="P72" i="17" a="1"/>
  <c r="P72" i="17" s="1"/>
  <c r="P80" i="17" a="1"/>
  <c r="P80" i="17" s="1"/>
  <c r="P49" i="17" a="1"/>
  <c r="P49" i="17" s="1"/>
  <c r="P73" i="17" a="1"/>
  <c r="P73" i="17" s="1"/>
  <c r="P50" i="17" a="1"/>
  <c r="P50" i="17" s="1"/>
  <c r="P82" i="17" a="1"/>
  <c r="P82" i="17" s="1"/>
  <c r="P4" i="17" a="1"/>
  <c r="P4" i="17" s="1"/>
  <c r="P12" i="17" a="1"/>
  <c r="P12" i="17" s="1"/>
  <c r="P20" i="17" a="1"/>
  <c r="P20" i="17" s="1"/>
  <c r="P36" i="17" a="1"/>
  <c r="P36" i="17" s="1"/>
  <c r="P44" i="17" a="1"/>
  <c r="P44" i="17" s="1"/>
  <c r="P52" i="17" a="1"/>
  <c r="P52" i="17" s="1"/>
  <c r="P60" i="17" a="1"/>
  <c r="P60" i="17" s="1"/>
  <c r="P68" i="17" a="1"/>
  <c r="P68" i="17" s="1"/>
  <c r="P76" i="17" a="1"/>
  <c r="P76" i="17" s="1"/>
  <c r="P69" i="17" a="1"/>
  <c r="P69" i="17" s="1"/>
  <c r="P38" i="17" a="1"/>
  <c r="P38" i="17" s="1"/>
  <c r="P70" i="17" a="1"/>
  <c r="P70" i="17" s="1"/>
  <c r="P5" i="17" a="1"/>
  <c r="P5" i="17" s="1"/>
  <c r="P9" i="17" a="1"/>
  <c r="P9" i="17" s="1"/>
  <c r="P13" i="17" a="1"/>
  <c r="P13" i="17" s="1"/>
  <c r="P17" i="17" a="1"/>
  <c r="P17" i="17" s="1"/>
  <c r="P21" i="17" a="1"/>
  <c r="P21" i="17" s="1"/>
  <c r="P25" i="17" a="1"/>
  <c r="P25" i="17" s="1"/>
  <c r="P29" i="17" a="1"/>
  <c r="P29" i="17" s="1"/>
  <c r="P33" i="17" a="1"/>
  <c r="P33" i="17" s="1"/>
  <c r="P37" i="17" a="1"/>
  <c r="P37" i="17" s="1"/>
  <c r="P41" i="17" a="1"/>
  <c r="P41" i="17" s="1"/>
  <c r="P45" i="17" a="1"/>
  <c r="P45" i="17" s="1"/>
  <c r="P65" i="17" a="1"/>
  <c r="P65" i="17" s="1"/>
  <c r="P77" i="17" a="1"/>
  <c r="P77" i="17" s="1"/>
  <c r="P54" i="17" a="1"/>
  <c r="P54" i="17" s="1"/>
  <c r="P62" i="17" a="1"/>
  <c r="P62" i="17" s="1"/>
  <c r="P61" i="17" a="1"/>
  <c r="P61" i="17" s="1"/>
  <c r="P34" i="17" a="1"/>
  <c r="P34" i="17" s="1"/>
  <c r="P74" i="17" a="1"/>
  <c r="P74" i="17" s="1"/>
  <c r="P6" i="17" a="1"/>
  <c r="P6" i="17" s="1"/>
  <c r="P10" i="17" a="1"/>
  <c r="P10" i="17" s="1"/>
  <c r="P14" i="17" a="1"/>
  <c r="P14" i="17" s="1"/>
  <c r="P18" i="17" a="1"/>
  <c r="P18" i="17" s="1"/>
  <c r="P22" i="17" a="1"/>
  <c r="P22" i="17" s="1"/>
  <c r="P26" i="17" a="1"/>
  <c r="P26" i="17" s="1"/>
  <c r="P30" i="17" a="1"/>
  <c r="P30" i="17" s="1"/>
  <c r="P58" i="17" a="1"/>
  <c r="P58" i="17" s="1"/>
  <c r="P78" i="17" a="1"/>
  <c r="P78" i="17" s="1"/>
  <c r="P11" i="17" a="1"/>
  <c r="P11" i="17" s="1"/>
  <c r="P19" i="17" a="1"/>
  <c r="P19" i="17" s="1"/>
  <c r="P31" i="17" a="1"/>
  <c r="P31" i="17" s="1"/>
  <c r="P39" i="17" a="1"/>
  <c r="P39" i="17" s="1"/>
  <c r="P43" i="17" a="1"/>
  <c r="P43" i="17" s="1"/>
  <c r="P51" i="17" a="1"/>
  <c r="P51" i="17" s="1"/>
  <c r="P59" i="17" a="1"/>
  <c r="P59" i="17" s="1"/>
  <c r="P67" i="17" a="1"/>
  <c r="P67" i="17" s="1"/>
  <c r="P79" i="17" a="1"/>
  <c r="P79" i="17" s="1"/>
  <c r="P57" i="17" a="1"/>
  <c r="P57" i="17" s="1"/>
  <c r="P46" i="17" a="1"/>
  <c r="P46" i="17" s="1"/>
  <c r="R2" i="17" a="1"/>
  <c r="R2" i="17" s="1"/>
  <c r="R3" i="17" a="1"/>
  <c r="R3" i="17" s="1"/>
  <c r="R7" i="17" a="1"/>
  <c r="R7" i="17" s="1"/>
  <c r="R11" i="17" a="1"/>
  <c r="R11" i="17" s="1"/>
  <c r="R15" i="17" a="1"/>
  <c r="R15" i="17" s="1"/>
  <c r="R19" i="17" a="1"/>
  <c r="R19" i="17" s="1"/>
  <c r="R23" i="17" a="1"/>
  <c r="R23" i="17" s="1"/>
  <c r="R27" i="17" a="1"/>
  <c r="R27" i="17" s="1"/>
  <c r="R31" i="17" a="1"/>
  <c r="R31" i="17" s="1"/>
  <c r="R35" i="17" a="1"/>
  <c r="R35" i="17" s="1"/>
  <c r="R39" i="17" a="1"/>
  <c r="R39" i="17" s="1"/>
  <c r="R43" i="17" a="1"/>
  <c r="R43" i="17" s="1"/>
  <c r="R47" i="17" a="1"/>
  <c r="R47" i="17" s="1"/>
  <c r="R51" i="17" a="1"/>
  <c r="R51" i="17" s="1"/>
  <c r="R75" i="17" a="1"/>
  <c r="R75" i="17" s="1"/>
  <c r="R12" i="17" a="1"/>
  <c r="R12" i="17" s="1"/>
  <c r="R20" i="17" a="1"/>
  <c r="R20" i="17" s="1"/>
  <c r="R32" i="17" a="1"/>
  <c r="R32" i="17" s="1"/>
  <c r="R44" i="17" a="1"/>
  <c r="R44" i="17" s="1"/>
  <c r="R52" i="17" a="1"/>
  <c r="R52" i="17" s="1"/>
  <c r="R60" i="17" a="1"/>
  <c r="R60" i="17" s="1"/>
  <c r="R68" i="17" a="1"/>
  <c r="R68" i="17" s="1"/>
  <c r="R76" i="17" a="1"/>
  <c r="R76" i="17" s="1"/>
  <c r="R67" i="17" a="1"/>
  <c r="R67" i="17" s="1"/>
  <c r="R4" i="17" a="1"/>
  <c r="R4" i="17" s="1"/>
  <c r="R8" i="17" a="1"/>
  <c r="R8" i="17" s="1"/>
  <c r="R16" i="17" a="1"/>
  <c r="R16" i="17" s="1"/>
  <c r="R24" i="17" a="1"/>
  <c r="R24" i="17" s="1"/>
  <c r="R28" i="17" a="1"/>
  <c r="R28" i="17" s="1"/>
  <c r="R36" i="17" a="1"/>
  <c r="R36" i="17" s="1"/>
  <c r="R40" i="17" a="1"/>
  <c r="R40" i="17" s="1"/>
  <c r="R48" i="17" a="1"/>
  <c r="R48" i="17" s="1"/>
  <c r="R56" i="17" a="1"/>
  <c r="R56" i="17" s="1"/>
  <c r="R64" i="17" a="1"/>
  <c r="R64" i="17" s="1"/>
  <c r="R72" i="17" a="1"/>
  <c r="R72" i="17" s="1"/>
  <c r="R80" i="17" a="1"/>
  <c r="R80" i="17" s="1"/>
  <c r="R81" i="17" a="1"/>
  <c r="R81" i="17" s="1"/>
  <c r="R79" i="17" a="1"/>
  <c r="R79" i="17" s="1"/>
  <c r="R13" i="17" a="1"/>
  <c r="R13" i="17" s="1"/>
  <c r="R21" i="17" a="1"/>
  <c r="R21" i="17" s="1"/>
  <c r="R29" i="17" a="1"/>
  <c r="R29" i="17" s="1"/>
  <c r="R37" i="17" a="1"/>
  <c r="R37" i="17" s="1"/>
  <c r="R45" i="17" a="1"/>
  <c r="R45" i="17" s="1"/>
  <c r="R77" i="17" a="1"/>
  <c r="R77" i="17" s="1"/>
  <c r="R63" i="17" a="1"/>
  <c r="R63" i="17" s="1"/>
  <c r="R5" i="17" a="1"/>
  <c r="R5" i="17" s="1"/>
  <c r="R9" i="17" a="1"/>
  <c r="R9" i="17" s="1"/>
  <c r="R17" i="17" a="1"/>
  <c r="R17" i="17" s="1"/>
  <c r="R25" i="17" a="1"/>
  <c r="R25" i="17" s="1"/>
  <c r="R33" i="17" a="1"/>
  <c r="R33" i="17" s="1"/>
  <c r="R41" i="17" a="1"/>
  <c r="R41" i="17" s="1"/>
  <c r="R49" i="17" a="1"/>
  <c r="R49" i="17" s="1"/>
  <c r="R53" i="17" a="1"/>
  <c r="R53" i="17" s="1"/>
  <c r="R57" i="17" a="1"/>
  <c r="R57" i="17" s="1"/>
  <c r="R61" i="17" a="1"/>
  <c r="R61" i="17" s="1"/>
  <c r="R65" i="17" a="1"/>
  <c r="R65" i="17" s="1"/>
  <c r="R69" i="17" a="1"/>
  <c r="R69" i="17" s="1"/>
  <c r="R73" i="17" a="1"/>
  <c r="R73" i="17" s="1"/>
  <c r="R71" i="17" a="1"/>
  <c r="R71" i="17" s="1"/>
  <c r="R83" i="17" a="1"/>
  <c r="R83" i="17" s="1"/>
  <c r="R10" i="17" a="1"/>
  <c r="R10" i="17" s="1"/>
  <c r="R18" i="17" a="1"/>
  <c r="R18" i="17" s="1"/>
  <c r="R26" i="17" a="1"/>
  <c r="R26" i="17" s="1"/>
  <c r="R34" i="17" a="1"/>
  <c r="R34" i="17" s="1"/>
  <c r="R42" i="17" a="1"/>
  <c r="R42" i="17" s="1"/>
  <c r="R50" i="17" a="1"/>
  <c r="R50" i="17" s="1"/>
  <c r="R58" i="17" a="1"/>
  <c r="R58" i="17" s="1"/>
  <c r="R66" i="17" a="1"/>
  <c r="R66" i="17" s="1"/>
  <c r="R74" i="17" a="1"/>
  <c r="R74" i="17" s="1"/>
  <c r="R82" i="17" a="1"/>
  <c r="R82" i="17" s="1"/>
  <c r="R55" i="17" a="1"/>
  <c r="R55" i="17" s="1"/>
  <c r="R6" i="17" a="1"/>
  <c r="R6" i="17" s="1"/>
  <c r="R14" i="17" a="1"/>
  <c r="R14" i="17" s="1"/>
  <c r="R22" i="17" a="1"/>
  <c r="R22" i="17" s="1"/>
  <c r="R30" i="17" a="1"/>
  <c r="R30" i="17" s="1"/>
  <c r="R38" i="17" a="1"/>
  <c r="R38" i="17" s="1"/>
  <c r="R46" i="17" a="1"/>
  <c r="R46" i="17" s="1"/>
  <c r="R54" i="17" a="1"/>
  <c r="R54" i="17" s="1"/>
  <c r="R62" i="17" a="1"/>
  <c r="R62" i="17" s="1"/>
  <c r="R70" i="17" a="1"/>
  <c r="R70" i="17" s="1"/>
  <c r="R78" i="17" a="1"/>
  <c r="R78" i="17" s="1"/>
  <c r="R59" i="17" a="1"/>
  <c r="R59" i="17" s="1"/>
  <c r="S2" i="17" a="1"/>
  <c r="S2" i="17" s="1"/>
  <c r="S3" i="17" a="1"/>
  <c r="S3" i="17" s="1"/>
  <c r="S7" i="17" a="1"/>
  <c r="S7" i="17" s="1"/>
  <c r="S11" i="17" a="1"/>
  <c r="S11" i="17" s="1"/>
  <c r="S15" i="17" a="1"/>
  <c r="S15" i="17" s="1"/>
  <c r="S19" i="17" a="1"/>
  <c r="S19" i="17" s="1"/>
  <c r="S23" i="17" a="1"/>
  <c r="S23" i="17" s="1"/>
  <c r="S27" i="17" a="1"/>
  <c r="S27" i="17" s="1"/>
  <c r="S31" i="17" a="1"/>
  <c r="S31" i="17" s="1"/>
  <c r="S35" i="17" a="1"/>
  <c r="S35" i="17" s="1"/>
  <c r="S39" i="17" a="1"/>
  <c r="S39" i="17" s="1"/>
  <c r="S43" i="17" a="1"/>
  <c r="S43" i="17" s="1"/>
  <c r="S47" i="17" a="1"/>
  <c r="S47" i="17" s="1"/>
  <c r="S51" i="17" a="1"/>
  <c r="S51" i="17" s="1"/>
  <c r="S55" i="17" a="1"/>
  <c r="S55" i="17" s="1"/>
  <c r="S59" i="17" a="1"/>
  <c r="S59" i="17" s="1"/>
  <c r="S79" i="17" a="1"/>
  <c r="S79" i="17" s="1"/>
  <c r="S8" i="17" a="1"/>
  <c r="S8" i="17" s="1"/>
  <c r="S20" i="17" a="1"/>
  <c r="S20" i="17" s="1"/>
  <c r="S28" i="17" a="1"/>
  <c r="S28" i="17" s="1"/>
  <c r="S36" i="17" a="1"/>
  <c r="S36" i="17" s="1"/>
  <c r="S44" i="17" a="1"/>
  <c r="S44" i="17" s="1"/>
  <c r="S48" i="17" a="1"/>
  <c r="S48" i="17" s="1"/>
  <c r="S52" i="17" a="1"/>
  <c r="S52" i="17" s="1"/>
  <c r="S56" i="17" a="1"/>
  <c r="S56" i="17" s="1"/>
  <c r="S64" i="17" a="1"/>
  <c r="S64" i="17" s="1"/>
  <c r="S72" i="17" a="1"/>
  <c r="S72" i="17" s="1"/>
  <c r="S80" i="17" a="1"/>
  <c r="S80" i="17" s="1"/>
  <c r="S71" i="17" a="1"/>
  <c r="S71" i="17" s="1"/>
  <c r="S4" i="17" a="1"/>
  <c r="S4" i="17" s="1"/>
  <c r="S12" i="17" a="1"/>
  <c r="S12" i="17" s="1"/>
  <c r="S16" i="17" a="1"/>
  <c r="S16" i="17" s="1"/>
  <c r="S24" i="17" a="1"/>
  <c r="S24" i="17" s="1"/>
  <c r="S32" i="17" a="1"/>
  <c r="S32" i="17" s="1"/>
  <c r="S40" i="17" a="1"/>
  <c r="S40" i="17" s="1"/>
  <c r="S60" i="17" a="1"/>
  <c r="S60" i="17" s="1"/>
  <c r="S68" i="17" a="1"/>
  <c r="S68" i="17" s="1"/>
  <c r="S76" i="17" a="1"/>
  <c r="S76" i="17" s="1"/>
  <c r="S78" i="17" a="1"/>
  <c r="S78" i="17" s="1"/>
  <c r="S75" i="17" a="1"/>
  <c r="S75" i="17" s="1"/>
  <c r="S13" i="17" a="1"/>
  <c r="S13" i="17" s="1"/>
  <c r="S21" i="17" a="1"/>
  <c r="S21" i="17" s="1"/>
  <c r="S29" i="17" a="1"/>
  <c r="S29" i="17" s="1"/>
  <c r="S33" i="17" a="1"/>
  <c r="S33" i="17" s="1"/>
  <c r="S41" i="17" a="1"/>
  <c r="S41" i="17" s="1"/>
  <c r="S53" i="17" a="1"/>
  <c r="S53" i="17" s="1"/>
  <c r="S65" i="17" a="1"/>
  <c r="S65" i="17" s="1"/>
  <c r="S74" i="17" a="1"/>
  <c r="S74" i="17" s="1"/>
  <c r="S5" i="17" a="1"/>
  <c r="S5" i="17" s="1"/>
  <c r="S9" i="17" a="1"/>
  <c r="S9" i="17" s="1"/>
  <c r="S17" i="17" a="1"/>
  <c r="S17" i="17" s="1"/>
  <c r="S25" i="17" a="1"/>
  <c r="S25" i="17" s="1"/>
  <c r="S37" i="17" a="1"/>
  <c r="S37" i="17" s="1"/>
  <c r="S45" i="17" a="1"/>
  <c r="S45" i="17" s="1"/>
  <c r="S49" i="17" a="1"/>
  <c r="S49" i="17" s="1"/>
  <c r="S57" i="17" a="1"/>
  <c r="S57" i="17" s="1"/>
  <c r="S61" i="17" a="1"/>
  <c r="S61" i="17" s="1"/>
  <c r="S69" i="17" a="1"/>
  <c r="S69" i="17" s="1"/>
  <c r="S73" i="17" a="1"/>
  <c r="S73" i="17" s="1"/>
  <c r="S77" i="17" a="1"/>
  <c r="S77" i="17" s="1"/>
  <c r="S81" i="17" a="1"/>
  <c r="S81" i="17" s="1"/>
  <c r="S82" i="17" a="1"/>
  <c r="S82" i="17" s="1"/>
  <c r="S63" i="17" a="1"/>
  <c r="S63" i="17" s="1"/>
  <c r="S10" i="17" a="1"/>
  <c r="S10" i="17" s="1"/>
  <c r="S18" i="17" a="1"/>
  <c r="S18" i="17" s="1"/>
  <c r="S26" i="17" a="1"/>
  <c r="S26" i="17" s="1"/>
  <c r="S34" i="17" a="1"/>
  <c r="S34" i="17" s="1"/>
  <c r="S38" i="17" a="1"/>
  <c r="S38" i="17" s="1"/>
  <c r="S42" i="17" a="1"/>
  <c r="S42" i="17" s="1"/>
  <c r="S46" i="17" a="1"/>
  <c r="S46" i="17" s="1"/>
  <c r="S50" i="17" a="1"/>
  <c r="S50" i="17" s="1"/>
  <c r="S54" i="17" a="1"/>
  <c r="S54" i="17" s="1"/>
  <c r="S58" i="17" a="1"/>
  <c r="S58" i="17" s="1"/>
  <c r="S62" i="17" a="1"/>
  <c r="S62" i="17" s="1"/>
  <c r="S66" i="17" a="1"/>
  <c r="S66" i="17" s="1"/>
  <c r="S70" i="17" a="1"/>
  <c r="S70" i="17" s="1"/>
  <c r="S67" i="17" a="1"/>
  <c r="S67" i="17" s="1"/>
  <c r="S83" i="17" a="1"/>
  <c r="S83" i="17" s="1"/>
  <c r="S6" i="17" a="1"/>
  <c r="S6" i="17" s="1"/>
  <c r="S14" i="17" a="1"/>
  <c r="S14" i="17" s="1"/>
  <c r="S22" i="17" a="1"/>
  <c r="S22" i="17" s="1"/>
  <c r="S30" i="17" a="1"/>
  <c r="S30" i="17" s="1"/>
  <c r="T2" i="17" a="1"/>
  <c r="T2" i="17" s="1"/>
  <c r="T3" i="17" a="1"/>
  <c r="T3" i="17" s="1"/>
  <c r="T7" i="17" a="1"/>
  <c r="T7" i="17" s="1"/>
  <c r="T11" i="17" a="1"/>
  <c r="T11" i="17" s="1"/>
  <c r="T15" i="17" a="1"/>
  <c r="T15" i="17" s="1"/>
  <c r="T19" i="17" a="1"/>
  <c r="T19" i="17" s="1"/>
  <c r="T23" i="17" a="1"/>
  <c r="T23" i="17" s="1"/>
  <c r="T27" i="17" a="1"/>
  <c r="T27" i="17" s="1"/>
  <c r="T31" i="17" a="1"/>
  <c r="T31" i="17" s="1"/>
  <c r="T35" i="17" a="1"/>
  <c r="T35" i="17" s="1"/>
  <c r="T39" i="17" a="1"/>
  <c r="T39" i="17" s="1"/>
  <c r="T43" i="17" a="1"/>
  <c r="T43" i="17" s="1"/>
  <c r="T47" i="17" a="1"/>
  <c r="T47" i="17" s="1"/>
  <c r="T51" i="17" a="1"/>
  <c r="T51" i="17" s="1"/>
  <c r="T71" i="17" a="1"/>
  <c r="T71" i="17" s="1"/>
  <c r="T12" i="17" a="1"/>
  <c r="T12" i="17" s="1"/>
  <c r="T20" i="17" a="1"/>
  <c r="T20" i="17" s="1"/>
  <c r="T28" i="17" a="1"/>
  <c r="T28" i="17" s="1"/>
  <c r="T36" i="17" a="1"/>
  <c r="T36" i="17" s="1"/>
  <c r="T44" i="17" a="1"/>
  <c r="T44" i="17" s="1"/>
  <c r="T52" i="17" a="1"/>
  <c r="T52" i="17" s="1"/>
  <c r="T56" i="17" a="1"/>
  <c r="T56" i="17" s="1"/>
  <c r="T64" i="17" a="1"/>
  <c r="T64" i="17" s="1"/>
  <c r="T68" i="17" a="1"/>
  <c r="T68" i="17" s="1"/>
  <c r="T72" i="17" a="1"/>
  <c r="T72" i="17" s="1"/>
  <c r="T76" i="17" a="1"/>
  <c r="T76" i="17" s="1"/>
  <c r="T80" i="17" a="1"/>
  <c r="T80" i="17" s="1"/>
  <c r="T4" i="17" a="1"/>
  <c r="T4" i="17" s="1"/>
  <c r="T8" i="17" a="1"/>
  <c r="T8" i="17" s="1"/>
  <c r="T16" i="17" a="1"/>
  <c r="T16" i="17" s="1"/>
  <c r="T24" i="17" a="1"/>
  <c r="T24" i="17" s="1"/>
  <c r="T32" i="17" a="1"/>
  <c r="T32" i="17" s="1"/>
  <c r="T40" i="17" a="1"/>
  <c r="T40" i="17" s="1"/>
  <c r="T48" i="17" a="1"/>
  <c r="T48" i="17" s="1"/>
  <c r="T60" i="17" a="1"/>
  <c r="T60" i="17" s="1"/>
  <c r="T9" i="17" a="1"/>
  <c r="T9" i="17" s="1"/>
  <c r="T17" i="17" a="1"/>
  <c r="T17" i="17" s="1"/>
  <c r="T29" i="17" a="1"/>
  <c r="T29" i="17" s="1"/>
  <c r="T33" i="17" a="1"/>
  <c r="T33" i="17" s="1"/>
  <c r="T41" i="17" a="1"/>
  <c r="T41" i="17" s="1"/>
  <c r="T49" i="17" a="1"/>
  <c r="T49" i="17" s="1"/>
  <c r="T57" i="17" a="1"/>
  <c r="T57" i="17" s="1"/>
  <c r="T65" i="17" a="1"/>
  <c r="T65" i="17" s="1"/>
  <c r="T73" i="17" a="1"/>
  <c r="T73" i="17" s="1"/>
  <c r="T81" i="17" a="1"/>
  <c r="T81" i="17" s="1"/>
  <c r="T63" i="17" a="1"/>
  <c r="T63" i="17" s="1"/>
  <c r="T75" i="17" a="1"/>
  <c r="T75" i="17" s="1"/>
  <c r="T5" i="17" a="1"/>
  <c r="T5" i="17" s="1"/>
  <c r="T13" i="17" a="1"/>
  <c r="T13" i="17" s="1"/>
  <c r="T21" i="17" a="1"/>
  <c r="T21" i="17" s="1"/>
  <c r="T25" i="17" a="1"/>
  <c r="T25" i="17" s="1"/>
  <c r="T37" i="17" a="1"/>
  <c r="T37" i="17" s="1"/>
  <c r="T45" i="17" a="1"/>
  <c r="T45" i="17" s="1"/>
  <c r="T53" i="17" a="1"/>
  <c r="T53" i="17" s="1"/>
  <c r="T61" i="17" a="1"/>
  <c r="T61" i="17" s="1"/>
  <c r="T69" i="17" a="1"/>
  <c r="T69" i="17" s="1"/>
  <c r="T77" i="17" a="1"/>
  <c r="T77" i="17" s="1"/>
  <c r="T55" i="17" a="1"/>
  <c r="T55" i="17" s="1"/>
  <c r="T79" i="17" a="1"/>
  <c r="T79" i="17" s="1"/>
  <c r="T14" i="17" a="1"/>
  <c r="T14" i="17" s="1"/>
  <c r="T22" i="17" a="1"/>
  <c r="T22" i="17" s="1"/>
  <c r="T30" i="17" a="1"/>
  <c r="T30" i="17" s="1"/>
  <c r="T38" i="17" a="1"/>
  <c r="T38" i="17" s="1"/>
  <c r="T46" i="17" a="1"/>
  <c r="T46" i="17" s="1"/>
  <c r="T54" i="17" a="1"/>
  <c r="T54" i="17" s="1"/>
  <c r="T62" i="17" a="1"/>
  <c r="T62" i="17" s="1"/>
  <c r="T70" i="17" a="1"/>
  <c r="T70" i="17" s="1"/>
  <c r="T78" i="17" a="1"/>
  <c r="T78" i="17" s="1"/>
  <c r="T67" i="17" a="1"/>
  <c r="T67" i="17" s="1"/>
  <c r="T6" i="17" a="1"/>
  <c r="T6" i="17" s="1"/>
  <c r="T10" i="17" a="1"/>
  <c r="T10" i="17" s="1"/>
  <c r="T18" i="17" a="1"/>
  <c r="T18" i="17" s="1"/>
  <c r="T26" i="17" a="1"/>
  <c r="T26" i="17" s="1"/>
  <c r="T34" i="17" a="1"/>
  <c r="T34" i="17" s="1"/>
  <c r="T42" i="17" a="1"/>
  <c r="T42" i="17" s="1"/>
  <c r="T50" i="17" a="1"/>
  <c r="T50" i="17" s="1"/>
  <c r="T58" i="17" a="1"/>
  <c r="T58" i="17" s="1"/>
  <c r="T66" i="17" a="1"/>
  <c r="T66" i="17" s="1"/>
  <c r="T74" i="17" a="1"/>
  <c r="T74" i="17" s="1"/>
  <c r="T82" i="17" a="1"/>
  <c r="T82" i="17" s="1"/>
  <c r="T59" i="17" a="1"/>
  <c r="T59" i="17" s="1"/>
  <c r="T83" i="17" a="1"/>
  <c r="T83" i="17" s="1"/>
  <c r="M3" i="17" a="1"/>
  <c r="M3" i="17" s="1"/>
  <c r="M7" i="17" a="1"/>
  <c r="M7" i="17" s="1"/>
  <c r="M11" i="17" a="1"/>
  <c r="M11" i="17" s="1"/>
  <c r="M15" i="17" a="1"/>
  <c r="M15" i="17" s="1"/>
  <c r="M19" i="17" a="1"/>
  <c r="M19" i="17" s="1"/>
  <c r="M23" i="17" a="1"/>
  <c r="M23" i="17" s="1"/>
  <c r="M27" i="17" a="1"/>
  <c r="M27" i="17" s="1"/>
  <c r="M8" i="17" a="1"/>
  <c r="M8" i="17" s="1"/>
  <c r="M16" i="17" a="1"/>
  <c r="M16" i="17" s="1"/>
  <c r="M28" i="17" a="1"/>
  <c r="M28" i="17" s="1"/>
  <c r="M36" i="17" a="1"/>
  <c r="M36" i="17" s="1"/>
  <c r="M44" i="17" a="1"/>
  <c r="M44" i="17" s="1"/>
  <c r="M52" i="17" a="1"/>
  <c r="M52" i="17" s="1"/>
  <c r="M50" i="17" a="1"/>
  <c r="M50" i="17" s="1"/>
  <c r="M39" i="17" a="1"/>
  <c r="M39" i="17" s="1"/>
  <c r="M4" i="17" a="1"/>
  <c r="M4" i="17" s="1"/>
  <c r="M12" i="17" a="1"/>
  <c r="M12" i="17" s="1"/>
  <c r="M20" i="17" a="1"/>
  <c r="M20" i="17" s="1"/>
  <c r="M24" i="17" a="1"/>
  <c r="M24" i="17" s="1"/>
  <c r="M32" i="17" a="1"/>
  <c r="M32" i="17" s="1"/>
  <c r="M40" i="17" a="1"/>
  <c r="M40" i="17" s="1"/>
  <c r="M48" i="17" a="1"/>
  <c r="M48" i="17" s="1"/>
  <c r="M56" i="17" a="1"/>
  <c r="M56" i="17" s="1"/>
  <c r="M46" i="17" a="1"/>
  <c r="M46" i="17" s="1"/>
  <c r="M47" i="17" a="1"/>
  <c r="M47" i="17" s="1"/>
  <c r="M13" i="17" a="1"/>
  <c r="M13" i="17" s="1"/>
  <c r="M21" i="17" a="1"/>
  <c r="M21" i="17" s="1"/>
  <c r="M29" i="17" a="1"/>
  <c r="M29" i="17" s="1"/>
  <c r="M37" i="17" a="1"/>
  <c r="M37" i="17" s="1"/>
  <c r="M45" i="17" a="1"/>
  <c r="M45" i="17" s="1"/>
  <c r="M53" i="17" a="1"/>
  <c r="M53" i="17" s="1"/>
  <c r="M34" i="17" a="1"/>
  <c r="M34" i="17" s="1"/>
  <c r="M43" i="17" a="1"/>
  <c r="M43" i="17" s="1"/>
  <c r="M5" i="17" a="1"/>
  <c r="M5" i="17" s="1"/>
  <c r="M9" i="17" a="1"/>
  <c r="M9" i="17" s="1"/>
  <c r="M17" i="17" a="1"/>
  <c r="M17" i="17" s="1"/>
  <c r="M25" i="17" a="1"/>
  <c r="M25" i="17" s="1"/>
  <c r="M33" i="17" a="1"/>
  <c r="M33" i="17" s="1"/>
  <c r="M41" i="17" a="1"/>
  <c r="M41" i="17" s="1"/>
  <c r="M49" i="17" a="1"/>
  <c r="M49" i="17" s="1"/>
  <c r="M57" i="17" a="1"/>
  <c r="M57" i="17" s="1"/>
  <c r="M38" i="17" a="1"/>
  <c r="M38" i="17" s="1"/>
  <c r="M35" i="17" a="1"/>
  <c r="M35" i="17" s="1"/>
  <c r="M55" i="17" a="1"/>
  <c r="M55" i="17" s="1"/>
  <c r="M6" i="17" a="1"/>
  <c r="M6" i="17" s="1"/>
  <c r="M10" i="17" a="1"/>
  <c r="M10" i="17" s="1"/>
  <c r="M14" i="17" a="1"/>
  <c r="M14" i="17" s="1"/>
  <c r="M18" i="17" a="1"/>
  <c r="M18" i="17" s="1"/>
  <c r="M22" i="17" a="1"/>
  <c r="M22" i="17" s="1"/>
  <c r="M26" i="17" a="1"/>
  <c r="M26" i="17" s="1"/>
  <c r="M30" i="17" a="1"/>
  <c r="M30" i="17" s="1"/>
  <c r="M42" i="17" a="1"/>
  <c r="M42" i="17" s="1"/>
  <c r="M54" i="17" a="1"/>
  <c r="M54" i="17" s="1"/>
  <c r="M31" i="17" a="1"/>
  <c r="M31" i="17" s="1"/>
  <c r="M51" i="17" a="1"/>
  <c r="M51" i="17" s="1"/>
  <c r="M2" i="17" a="1"/>
  <c r="M2" i="17" s="1"/>
  <c r="K3" i="17" a="1"/>
  <c r="K3" i="17" s="1"/>
  <c r="K7" i="17" a="1"/>
  <c r="K7" i="17" s="1"/>
  <c r="K11" i="17" a="1"/>
  <c r="K11" i="17" s="1"/>
  <c r="K15" i="17" a="1"/>
  <c r="K15" i="17" s="1"/>
  <c r="K19" i="17" a="1"/>
  <c r="K19" i="17" s="1"/>
  <c r="K23" i="17" a="1"/>
  <c r="K23" i="17" s="1"/>
  <c r="K27" i="17" a="1"/>
  <c r="K27" i="17" s="1"/>
  <c r="K31" i="17" a="1"/>
  <c r="K31" i="17" s="1"/>
  <c r="K35" i="17" a="1"/>
  <c r="K35" i="17" s="1"/>
  <c r="K55" i="17" a="1"/>
  <c r="K55" i="17" s="1"/>
  <c r="K12" i="17" a="1"/>
  <c r="K12" i="17" s="1"/>
  <c r="K20" i="17" a="1"/>
  <c r="K20" i="17" s="1"/>
  <c r="K32" i="17" a="1"/>
  <c r="K32" i="17" s="1"/>
  <c r="K4" i="17" a="1"/>
  <c r="K4" i="17" s="1"/>
  <c r="K8" i="17" a="1"/>
  <c r="K8" i="17" s="1"/>
  <c r="K16" i="17" a="1"/>
  <c r="K16" i="17" s="1"/>
  <c r="K24" i="17" a="1"/>
  <c r="K24" i="17" s="1"/>
  <c r="K28" i="17" a="1"/>
  <c r="K28" i="17" s="1"/>
  <c r="K36" i="17" a="1"/>
  <c r="K36" i="17" s="1"/>
  <c r="K40" i="17" a="1"/>
  <c r="K40" i="17" s="1"/>
  <c r="K44" i="17" a="1"/>
  <c r="K44" i="17" s="1"/>
  <c r="K48" i="17" a="1"/>
  <c r="K48" i="17" s="1"/>
  <c r="K13" i="17" a="1"/>
  <c r="K13" i="17" s="1"/>
  <c r="K21" i="17" a="1"/>
  <c r="K21" i="17" s="1"/>
  <c r="K29" i="17" a="1"/>
  <c r="K29" i="17" s="1"/>
  <c r="K37" i="17" a="1"/>
  <c r="K37" i="17" s="1"/>
  <c r="K45" i="17" a="1"/>
  <c r="K45" i="17" s="1"/>
  <c r="K53" i="17" a="1"/>
  <c r="K53" i="17" s="1"/>
  <c r="K47" i="17" a="1"/>
  <c r="K47" i="17" s="1"/>
  <c r="K5" i="17" a="1"/>
  <c r="K5" i="17" s="1"/>
  <c r="K9" i="17" a="1"/>
  <c r="K9" i="17" s="1"/>
  <c r="K17" i="17" a="1"/>
  <c r="K17" i="17" s="1"/>
  <c r="K25" i="17" a="1"/>
  <c r="K25" i="17" s="1"/>
  <c r="K33" i="17" a="1"/>
  <c r="K33" i="17" s="1"/>
  <c r="K41" i="17" a="1"/>
  <c r="K41" i="17" s="1"/>
  <c r="K49" i="17" a="1"/>
  <c r="K49" i="17" s="1"/>
  <c r="K57" i="17" a="1"/>
  <c r="K57" i="17" s="1"/>
  <c r="K51" i="17" a="1"/>
  <c r="K51" i="17" s="1"/>
  <c r="K56" i="17" a="1"/>
  <c r="K56" i="17" s="1"/>
  <c r="K14" i="17" a="1"/>
  <c r="K14" i="17" s="1"/>
  <c r="K22" i="17" a="1"/>
  <c r="K22" i="17" s="1"/>
  <c r="K30" i="17" a="1"/>
  <c r="K30" i="17" s="1"/>
  <c r="K38" i="17" a="1"/>
  <c r="K38" i="17" s="1"/>
  <c r="K46" i="17" a="1"/>
  <c r="K46" i="17" s="1"/>
  <c r="K54" i="17" a="1"/>
  <c r="K54" i="17" s="1"/>
  <c r="K39" i="17" a="1"/>
  <c r="K39" i="17" s="1"/>
  <c r="K52" i="17" a="1"/>
  <c r="K52" i="17" s="1"/>
  <c r="K6" i="17" a="1"/>
  <c r="K6" i="17" s="1"/>
  <c r="K10" i="17" a="1"/>
  <c r="K10" i="17" s="1"/>
  <c r="K18" i="17" a="1"/>
  <c r="K18" i="17" s="1"/>
  <c r="K26" i="17" a="1"/>
  <c r="K26" i="17" s="1"/>
  <c r="K34" i="17" a="1"/>
  <c r="K34" i="17" s="1"/>
  <c r="K42" i="17" a="1"/>
  <c r="K42" i="17" s="1"/>
  <c r="K50" i="17" a="1"/>
  <c r="K50" i="17" s="1"/>
  <c r="K43" i="17" a="1"/>
  <c r="K43" i="17" s="1"/>
  <c r="K2" i="17" a="1"/>
  <c r="K2" i="17" s="1"/>
  <c r="J3" i="17" a="1"/>
  <c r="J3" i="17" s="1"/>
  <c r="J7" i="17" a="1"/>
  <c r="J7" i="17" s="1"/>
  <c r="J15" i="17" a="1"/>
  <c r="J15" i="17" s="1"/>
  <c r="J23" i="17" a="1"/>
  <c r="J23" i="17" s="1"/>
  <c r="J31" i="17" a="1"/>
  <c r="J31" i="17" s="1"/>
  <c r="J39" i="17" a="1"/>
  <c r="J39" i="17" s="1"/>
  <c r="J51" i="17" a="1"/>
  <c r="J51" i="17" s="1"/>
  <c r="J44" i="17" a="1"/>
  <c r="J44" i="17" s="1"/>
  <c r="J56" i="17" a="1"/>
  <c r="J56" i="17" s="1"/>
  <c r="J8" i="17" a="1"/>
  <c r="J8" i="17" s="1"/>
  <c r="J12" i="17" a="1"/>
  <c r="J12" i="17" s="1"/>
  <c r="J16" i="17" a="1"/>
  <c r="J16" i="17" s="1"/>
  <c r="J20" i="17" a="1"/>
  <c r="J20" i="17" s="1"/>
  <c r="J24" i="17" a="1"/>
  <c r="J24" i="17" s="1"/>
  <c r="J28" i="17" a="1"/>
  <c r="J28" i="17" s="1"/>
  <c r="J32" i="17" a="1"/>
  <c r="J32" i="17" s="1"/>
  <c r="J36" i="17" a="1"/>
  <c r="J36" i="17" s="1"/>
  <c r="J48" i="17" a="1"/>
  <c r="J48" i="17" s="1"/>
  <c r="J4" i="17" a="1"/>
  <c r="J4" i="17" s="1"/>
  <c r="J13" i="17" a="1"/>
  <c r="J13" i="17" s="1"/>
  <c r="J21" i="17" a="1"/>
  <c r="J21" i="17" s="1"/>
  <c r="J29" i="17" a="1"/>
  <c r="J29" i="17" s="1"/>
  <c r="J37" i="17" a="1"/>
  <c r="J37" i="17" s="1"/>
  <c r="J45" i="17" a="1"/>
  <c r="J45" i="17" s="1"/>
  <c r="J53" i="17" a="1"/>
  <c r="J53" i="17" s="1"/>
  <c r="J42" i="17" a="1"/>
  <c r="J42" i="17" s="1"/>
  <c r="J54" i="17" a="1"/>
  <c r="J54" i="17" s="1"/>
  <c r="J5" i="17" a="1"/>
  <c r="J5" i="17" s="1"/>
  <c r="J9" i="17" a="1"/>
  <c r="J9" i="17" s="1"/>
  <c r="J17" i="17" a="1"/>
  <c r="J17" i="17" s="1"/>
  <c r="J25" i="17" a="1"/>
  <c r="J25" i="17" s="1"/>
  <c r="J33" i="17" a="1"/>
  <c r="J33" i="17" s="1"/>
  <c r="J41" i="17" a="1"/>
  <c r="J41" i="17" s="1"/>
  <c r="J49" i="17" a="1"/>
  <c r="J49" i="17" s="1"/>
  <c r="J57" i="17" a="1"/>
  <c r="J57" i="17" s="1"/>
  <c r="J38" i="17" a="1"/>
  <c r="J38" i="17" s="1"/>
  <c r="J50" i="17" a="1"/>
  <c r="J50" i="17" s="1"/>
  <c r="J6" i="17" a="1"/>
  <c r="J6" i="17" s="1"/>
  <c r="J10" i="17" a="1"/>
  <c r="J10" i="17" s="1"/>
  <c r="J14" i="17" a="1"/>
  <c r="J14" i="17" s="1"/>
  <c r="J18" i="17" a="1"/>
  <c r="J18" i="17" s="1"/>
  <c r="J22" i="17" a="1"/>
  <c r="J22" i="17" s="1"/>
  <c r="J26" i="17" a="1"/>
  <c r="J26" i="17" s="1"/>
  <c r="J30" i="17" a="1"/>
  <c r="J30" i="17" s="1"/>
  <c r="J34" i="17" a="1"/>
  <c r="J34" i="17" s="1"/>
  <c r="J46" i="17" a="1"/>
  <c r="J46" i="17" s="1"/>
  <c r="J11" i="17" a="1"/>
  <c r="J11" i="17" s="1"/>
  <c r="J19" i="17" a="1"/>
  <c r="J19" i="17" s="1"/>
  <c r="J27" i="17" a="1"/>
  <c r="J27" i="17" s="1"/>
  <c r="J35" i="17" a="1"/>
  <c r="J35" i="17" s="1"/>
  <c r="J43" i="17" a="1"/>
  <c r="J43" i="17" s="1"/>
  <c r="J47" i="17" a="1"/>
  <c r="J47" i="17" s="1"/>
  <c r="J55" i="17" a="1"/>
  <c r="J55" i="17" s="1"/>
  <c r="J40" i="17" a="1"/>
  <c r="J40" i="17" s="1"/>
  <c r="J52" i="17" a="1"/>
  <c r="J52" i="17" s="1"/>
  <c r="J2" i="17" a="1"/>
  <c r="J2" i="17" s="1"/>
  <c r="I3" i="17" a="1"/>
  <c r="I3" i="17" s="1"/>
  <c r="I7" i="17" a="1"/>
  <c r="I7" i="17" s="1"/>
  <c r="I15" i="17" a="1"/>
  <c r="I15" i="17" s="1"/>
  <c r="I19" i="17" a="1"/>
  <c r="I19" i="17" s="1"/>
  <c r="I27" i="17" a="1"/>
  <c r="I27" i="17" s="1"/>
  <c r="I35" i="17" a="1"/>
  <c r="I35" i="17" s="1"/>
  <c r="I39" i="17" a="1"/>
  <c r="I39" i="17" s="1"/>
  <c r="I43" i="17" a="1"/>
  <c r="I43" i="17" s="1"/>
  <c r="I47" i="17" a="1"/>
  <c r="I47" i="17" s="1"/>
  <c r="I51" i="17" a="1"/>
  <c r="I51" i="17" s="1"/>
  <c r="I55" i="17" a="1"/>
  <c r="I55" i="17" s="1"/>
  <c r="I12" i="17" a="1"/>
  <c r="I12" i="17" s="1"/>
  <c r="I20" i="17" a="1"/>
  <c r="I20" i="17" s="1"/>
  <c r="I28" i="17" a="1"/>
  <c r="I28" i="17" s="1"/>
  <c r="I36" i="17" a="1"/>
  <c r="I36" i="17" s="1"/>
  <c r="I44" i="17" a="1"/>
  <c r="I44" i="17" s="1"/>
  <c r="I52" i="17" a="1"/>
  <c r="I52" i="17" s="1"/>
  <c r="I4" i="17" a="1"/>
  <c r="I4" i="17" s="1"/>
  <c r="I8" i="17" a="1"/>
  <c r="I8" i="17" s="1"/>
  <c r="I16" i="17" a="1"/>
  <c r="I16" i="17" s="1"/>
  <c r="I24" i="17" a="1"/>
  <c r="I24" i="17" s="1"/>
  <c r="I32" i="17" a="1"/>
  <c r="I32" i="17" s="1"/>
  <c r="I40" i="17" a="1"/>
  <c r="I40" i="17" s="1"/>
  <c r="I48" i="17" a="1"/>
  <c r="I48" i="17" s="1"/>
  <c r="I56" i="17" a="1"/>
  <c r="I56" i="17" s="1"/>
  <c r="I50" i="17" a="1"/>
  <c r="I50" i="17" s="1"/>
  <c r="I13" i="17" a="1"/>
  <c r="I13" i="17" s="1"/>
  <c r="I21" i="17" a="1"/>
  <c r="I21" i="17" s="1"/>
  <c r="I29" i="17" a="1"/>
  <c r="I29" i="17" s="1"/>
  <c r="I37" i="17" a="1"/>
  <c r="I37" i="17" s="1"/>
  <c r="I45" i="17" a="1"/>
  <c r="I45" i="17" s="1"/>
  <c r="I54" i="17" a="1"/>
  <c r="I54" i="17" s="1"/>
  <c r="I5" i="17" a="1"/>
  <c r="I5" i="17" s="1"/>
  <c r="I9" i="17" a="1"/>
  <c r="I9" i="17" s="1"/>
  <c r="I17" i="17" a="1"/>
  <c r="I17" i="17" s="1"/>
  <c r="I25" i="17" a="1"/>
  <c r="I25" i="17" s="1"/>
  <c r="I33" i="17" a="1"/>
  <c r="I33" i="17" s="1"/>
  <c r="I41" i="17" a="1"/>
  <c r="I41" i="17" s="1"/>
  <c r="I49" i="17" a="1"/>
  <c r="I49" i="17" s="1"/>
  <c r="I53" i="17" a="1"/>
  <c r="I53" i="17" s="1"/>
  <c r="I57" i="17" a="1"/>
  <c r="I57" i="17" s="1"/>
  <c r="I46" i="17" a="1"/>
  <c r="I46" i="17" s="1"/>
  <c r="I6" i="17" a="1"/>
  <c r="I6" i="17" s="1"/>
  <c r="I10" i="17" a="1"/>
  <c r="I10" i="17" s="1"/>
  <c r="I14" i="17" a="1"/>
  <c r="I14" i="17" s="1"/>
  <c r="I18" i="17" a="1"/>
  <c r="I18" i="17" s="1"/>
  <c r="I22" i="17" a="1"/>
  <c r="I22" i="17" s="1"/>
  <c r="I26" i="17" a="1"/>
  <c r="I26" i="17" s="1"/>
  <c r="I30" i="17" a="1"/>
  <c r="I30" i="17" s="1"/>
  <c r="I34" i="17" a="1"/>
  <c r="I34" i="17" s="1"/>
  <c r="I38" i="17" a="1"/>
  <c r="I38" i="17" s="1"/>
  <c r="I42" i="17" a="1"/>
  <c r="I42" i="17" s="1"/>
  <c r="I11" i="17" a="1"/>
  <c r="I11" i="17" s="1"/>
  <c r="I23" i="17" a="1"/>
  <c r="I23" i="17" s="1"/>
  <c r="I31" i="17" a="1"/>
  <c r="I31" i="17" s="1"/>
  <c r="I2" i="17" a="1"/>
  <c r="I2" i="17" s="1"/>
  <c r="Q16" i="6"/>
  <c r="Q9" i="6"/>
  <c r="Q18" i="6"/>
  <c r="Q5" i="6"/>
  <c r="Q11" i="6"/>
  <c r="Q19" i="6"/>
  <c r="Q27" i="6"/>
  <c r="Q35" i="6"/>
  <c r="Q43" i="6"/>
  <c r="Q51" i="6"/>
  <c r="Q59" i="6"/>
  <c r="Q67" i="6"/>
  <c r="Q75" i="6"/>
  <c r="Q83" i="6"/>
  <c r="Q91" i="6"/>
  <c r="Q99" i="6"/>
  <c r="Q32" i="6"/>
  <c r="Q34" i="6"/>
  <c r="Q12" i="6"/>
  <c r="Q20" i="6"/>
  <c r="Q28" i="6"/>
  <c r="Q36" i="6"/>
  <c r="Q44" i="6"/>
  <c r="Q52" i="6"/>
  <c r="Q60" i="6"/>
  <c r="Q68" i="6"/>
  <c r="Q76" i="6"/>
  <c r="Q84" i="6"/>
  <c r="Q92" i="6"/>
  <c r="Q100" i="6"/>
  <c r="Q24" i="6"/>
  <c r="Q6" i="6"/>
  <c r="Q13" i="6"/>
  <c r="Q21" i="6"/>
  <c r="Q29" i="6"/>
  <c r="Q37" i="6"/>
  <c r="Q45" i="6"/>
  <c r="Q53" i="6"/>
  <c r="Q61" i="6"/>
  <c r="Q69" i="6"/>
  <c r="Q77" i="6"/>
  <c r="Q85" i="6"/>
  <c r="Q93" i="6"/>
  <c r="Q101" i="6"/>
  <c r="Q15" i="6"/>
  <c r="Q14" i="6"/>
  <c r="Q22" i="6"/>
  <c r="Q30" i="6"/>
  <c r="Q38" i="6"/>
  <c r="Q46" i="6"/>
  <c r="Q54" i="6"/>
  <c r="Q62" i="6"/>
  <c r="Q70" i="6"/>
  <c r="Q78" i="6"/>
  <c r="Q86" i="6"/>
  <c r="Q94" i="6"/>
  <c r="Q102" i="6"/>
  <c r="Q23" i="6"/>
  <c r="Q31" i="6"/>
  <c r="Q39" i="6"/>
  <c r="Q47" i="6"/>
  <c r="Q55" i="6"/>
  <c r="Q63" i="6"/>
  <c r="Q71" i="6"/>
  <c r="Q79" i="6"/>
  <c r="Q87" i="6"/>
  <c r="Q95" i="6"/>
  <c r="Q103" i="6"/>
  <c r="Q8" i="6"/>
  <c r="Q40" i="6"/>
  <c r="Q48" i="6"/>
  <c r="Q56" i="6"/>
  <c r="Q64" i="6"/>
  <c r="Q72" i="6"/>
  <c r="Q80" i="6"/>
  <c r="Q88" i="6"/>
  <c r="Q96" i="6"/>
  <c r="Q104" i="6"/>
  <c r="Q17" i="6"/>
  <c r="Q25" i="6"/>
  <c r="Q33" i="6"/>
  <c r="Q41" i="6"/>
  <c r="Q49" i="6"/>
  <c r="Q57" i="6"/>
  <c r="Q65" i="6"/>
  <c r="Q73" i="6"/>
  <c r="Q81" i="6"/>
  <c r="Q89" i="6"/>
  <c r="Q97" i="6"/>
  <c r="Q105" i="6"/>
  <c r="Q7" i="6"/>
  <c r="Q10" i="6"/>
  <c r="Q26" i="6"/>
  <c r="Q42" i="6"/>
  <c r="Q50" i="6"/>
  <c r="Q58" i="6"/>
  <c r="Q66" i="6"/>
  <c r="Q74" i="6"/>
  <c r="Q82" i="6"/>
  <c r="Q90" i="6"/>
  <c r="Q98" i="6"/>
  <c r="Q106" i="6"/>
  <c r="Q4" i="6"/>
  <c r="E1" i="9"/>
  <c r="L23" i="4"/>
  <c r="T7" i="9"/>
  <c r="C1" i="9" s="1"/>
  <c r="G23" i="4" s="1"/>
  <c r="G1" i="8"/>
  <c r="M22" i="4" s="1"/>
  <c r="L22" i="4"/>
  <c r="T7" i="8"/>
  <c r="C1" i="8" s="1"/>
  <c r="G22" i="4" s="1"/>
  <c r="G1" i="7"/>
  <c r="M21" i="4" s="1"/>
  <c r="T7" i="7"/>
  <c r="C1" i="7" s="1"/>
  <c r="G21" i="4" s="1"/>
  <c r="G1" i="6"/>
  <c r="M20" i="4" s="1"/>
  <c r="T7" i="6"/>
  <c r="C1" i="6" s="1"/>
  <c r="G20" i="4" s="1"/>
  <c r="L20" i="4"/>
  <c r="V9" i="7"/>
  <c r="U9" i="7"/>
  <c r="T9" i="7"/>
  <c r="E1" i="7"/>
  <c r="Q6" i="9"/>
  <c r="U9" i="9"/>
  <c r="T9" i="9"/>
  <c r="Q3" i="9"/>
  <c r="V9" i="9"/>
  <c r="T9" i="8"/>
  <c r="U9" i="8"/>
  <c r="V9" i="8"/>
  <c r="V9" i="6"/>
  <c r="T9" i="6"/>
  <c r="U9" i="6"/>
  <c r="E1" i="6"/>
  <c r="W3" i="17" l="1" a="1"/>
  <c r="W3" i="17" s="1"/>
  <c r="W7" i="17" a="1"/>
  <c r="W7" i="17" s="1"/>
  <c r="W11" i="17" a="1"/>
  <c r="W11" i="17" s="1"/>
  <c r="W15" i="17" a="1"/>
  <c r="W15" i="17" s="1"/>
  <c r="W19" i="17" a="1"/>
  <c r="W19" i="17" s="1"/>
  <c r="W23" i="17" a="1"/>
  <c r="W23" i="17" s="1"/>
  <c r="W27" i="17" a="1"/>
  <c r="W27" i="17" s="1"/>
  <c r="W31" i="17" a="1"/>
  <c r="W31" i="17" s="1"/>
  <c r="W35" i="17" a="1"/>
  <c r="W35" i="17" s="1"/>
  <c r="W39" i="17" a="1"/>
  <c r="W39" i="17" s="1"/>
  <c r="W43" i="17" a="1"/>
  <c r="W43" i="17" s="1"/>
  <c r="W63" i="17" a="1"/>
  <c r="W63" i="17" s="1"/>
  <c r="W67" i="17" a="1"/>
  <c r="W67" i="17" s="1"/>
  <c r="W12" i="17" a="1"/>
  <c r="W12" i="17" s="1"/>
  <c r="W20" i="17" a="1"/>
  <c r="W20" i="17" s="1"/>
  <c r="W28" i="17" a="1"/>
  <c r="W28" i="17" s="1"/>
  <c r="W36" i="17" a="1"/>
  <c r="W36" i="17" s="1"/>
  <c r="W44" i="17" a="1"/>
  <c r="W44" i="17" s="1"/>
  <c r="W52" i="17" a="1"/>
  <c r="W52" i="17" s="1"/>
  <c r="W60" i="17" a="1"/>
  <c r="W60" i="17" s="1"/>
  <c r="W64" i="17" a="1"/>
  <c r="W64" i="17" s="1"/>
  <c r="W72" i="17" a="1"/>
  <c r="W72" i="17" s="1"/>
  <c r="W4" i="17" a="1"/>
  <c r="W4" i="17" s="1"/>
  <c r="W8" i="17" a="1"/>
  <c r="W8" i="17" s="1"/>
  <c r="W16" i="17" a="1"/>
  <c r="W16" i="17" s="1"/>
  <c r="W24" i="17" a="1"/>
  <c r="W24" i="17" s="1"/>
  <c r="W32" i="17" a="1"/>
  <c r="W32" i="17" s="1"/>
  <c r="W40" i="17" a="1"/>
  <c r="W40" i="17" s="1"/>
  <c r="W48" i="17" a="1"/>
  <c r="W48" i="17" s="1"/>
  <c r="W56" i="17" a="1"/>
  <c r="W56" i="17" s="1"/>
  <c r="W68" i="17" a="1"/>
  <c r="W68" i="17" s="1"/>
  <c r="W76" i="17" a="1"/>
  <c r="W76" i="17" s="1"/>
  <c r="W13" i="17" a="1"/>
  <c r="W13" i="17" s="1"/>
  <c r="W21" i="17" a="1"/>
  <c r="W21" i="17" s="1"/>
  <c r="W29" i="17" a="1"/>
  <c r="W29" i="17" s="1"/>
  <c r="W37" i="17" a="1"/>
  <c r="W37" i="17" s="1"/>
  <c r="W45" i="17" a="1"/>
  <c r="W45" i="17" s="1"/>
  <c r="W53" i="17" a="1"/>
  <c r="W53" i="17" s="1"/>
  <c r="W61" i="17" a="1"/>
  <c r="W61" i="17" s="1"/>
  <c r="W69" i="17" a="1"/>
  <c r="W69" i="17" s="1"/>
  <c r="W77" i="17" a="1"/>
  <c r="W77" i="17" s="1"/>
  <c r="W47" i="17" a="1"/>
  <c r="W47" i="17" s="1"/>
  <c r="W5" i="17" a="1"/>
  <c r="W5" i="17" s="1"/>
  <c r="W9" i="17" a="1"/>
  <c r="W9" i="17" s="1"/>
  <c r="W17" i="17" a="1"/>
  <c r="W17" i="17" s="1"/>
  <c r="W25" i="17" a="1"/>
  <c r="W25" i="17" s="1"/>
  <c r="W33" i="17" a="1"/>
  <c r="W33" i="17" s="1"/>
  <c r="W41" i="17" a="1"/>
  <c r="W41" i="17" s="1"/>
  <c r="W49" i="17" a="1"/>
  <c r="W49" i="17" s="1"/>
  <c r="W57" i="17" a="1"/>
  <c r="W57" i="17" s="1"/>
  <c r="W65" i="17" a="1"/>
  <c r="W65" i="17" s="1"/>
  <c r="W73" i="17" a="1"/>
  <c r="W73" i="17" s="1"/>
  <c r="W59" i="17" a="1"/>
  <c r="W59" i="17" s="1"/>
  <c r="W75" i="17" a="1"/>
  <c r="W75" i="17" s="1"/>
  <c r="W14" i="17" a="1"/>
  <c r="W14" i="17" s="1"/>
  <c r="W22" i="17" a="1"/>
  <c r="W22" i="17" s="1"/>
  <c r="W30" i="17" a="1"/>
  <c r="W30" i="17" s="1"/>
  <c r="W38" i="17" a="1"/>
  <c r="W38" i="17" s="1"/>
  <c r="W46" i="17" a="1"/>
  <c r="W46" i="17" s="1"/>
  <c r="W54" i="17" a="1"/>
  <c r="W54" i="17" s="1"/>
  <c r="W62" i="17" a="1"/>
  <c r="W62" i="17" s="1"/>
  <c r="W70" i="17" a="1"/>
  <c r="W70" i="17" s="1"/>
  <c r="W51" i="17" a="1"/>
  <c r="W51" i="17" s="1"/>
  <c r="W71" i="17" a="1"/>
  <c r="W71" i="17" s="1"/>
  <c r="W6" i="17" a="1"/>
  <c r="W6" i="17" s="1"/>
  <c r="W10" i="17" a="1"/>
  <c r="W10" i="17" s="1"/>
  <c r="W18" i="17" a="1"/>
  <c r="W18" i="17" s="1"/>
  <c r="W26" i="17" a="1"/>
  <c r="W26" i="17" s="1"/>
  <c r="W34" i="17" a="1"/>
  <c r="W34" i="17" s="1"/>
  <c r="W42" i="17" a="1"/>
  <c r="W42" i="17" s="1"/>
  <c r="W50" i="17" a="1"/>
  <c r="W50" i="17" s="1"/>
  <c r="W58" i="17" a="1"/>
  <c r="W58" i="17" s="1"/>
  <c r="W66" i="17" a="1"/>
  <c r="W66" i="17" s="1"/>
  <c r="W74" i="17" a="1"/>
  <c r="W74" i="17" s="1"/>
  <c r="W55" i="17" a="1"/>
  <c r="W55" i="17" s="1"/>
  <c r="W2" i="17" a="1"/>
  <c r="W2" i="17" s="1"/>
  <c r="X2" i="17" a="1"/>
  <c r="X2" i="17" s="1"/>
  <c r="X3" i="17" a="1"/>
  <c r="X3" i="17" s="1"/>
  <c r="X7" i="17" a="1"/>
  <c r="X7" i="17" s="1"/>
  <c r="X11" i="17" a="1"/>
  <c r="X11" i="17" s="1"/>
  <c r="X15" i="17" a="1"/>
  <c r="X15" i="17" s="1"/>
  <c r="X19" i="17" a="1"/>
  <c r="X19" i="17" s="1"/>
  <c r="X23" i="17" a="1"/>
  <c r="X23" i="17" s="1"/>
  <c r="X27" i="17" a="1"/>
  <c r="X27" i="17" s="1"/>
  <c r="X31" i="17" a="1"/>
  <c r="X31" i="17" s="1"/>
  <c r="X35" i="17" a="1"/>
  <c r="X35" i="17" s="1"/>
  <c r="X39" i="17" a="1"/>
  <c r="X39" i="17" s="1"/>
  <c r="X43" i="17" a="1"/>
  <c r="X43" i="17" s="1"/>
  <c r="X47" i="17" a="1"/>
  <c r="X47" i="17" s="1"/>
  <c r="X75" i="17" a="1"/>
  <c r="X75" i="17" s="1"/>
  <c r="X8" i="17" a="1"/>
  <c r="X8" i="17" s="1"/>
  <c r="X16" i="17" a="1"/>
  <c r="X16" i="17" s="1"/>
  <c r="X28" i="17" a="1"/>
  <c r="X28" i="17" s="1"/>
  <c r="X32" i="17" a="1"/>
  <c r="X32" i="17" s="1"/>
  <c r="X40" i="17" a="1"/>
  <c r="X40" i="17" s="1"/>
  <c r="X48" i="17" a="1"/>
  <c r="X48" i="17" s="1"/>
  <c r="X56" i="17" a="1"/>
  <c r="X56" i="17" s="1"/>
  <c r="X64" i="17" a="1"/>
  <c r="X64" i="17" s="1"/>
  <c r="X72" i="17" a="1"/>
  <c r="X72" i="17" s="1"/>
  <c r="X55" i="17" a="1"/>
  <c r="X55" i="17" s="1"/>
  <c r="X4" i="17" a="1"/>
  <c r="X4" i="17" s="1"/>
  <c r="X12" i="17" a="1"/>
  <c r="X12" i="17" s="1"/>
  <c r="X20" i="17" a="1"/>
  <c r="X20" i="17" s="1"/>
  <c r="X24" i="17" a="1"/>
  <c r="X24" i="17" s="1"/>
  <c r="X36" i="17" a="1"/>
  <c r="X36" i="17" s="1"/>
  <c r="X44" i="17" a="1"/>
  <c r="X44" i="17" s="1"/>
  <c r="X52" i="17" a="1"/>
  <c r="X52" i="17" s="1"/>
  <c r="X60" i="17" a="1"/>
  <c r="X60" i="17" s="1"/>
  <c r="X68" i="17" a="1"/>
  <c r="X68" i="17" s="1"/>
  <c r="X76" i="17" a="1"/>
  <c r="X76" i="17" s="1"/>
  <c r="X63" i="17" a="1"/>
  <c r="X63" i="17" s="1"/>
  <c r="X13" i="17" a="1"/>
  <c r="X13" i="17" s="1"/>
  <c r="X21" i="17" a="1"/>
  <c r="X21" i="17" s="1"/>
  <c r="X29" i="17" a="1"/>
  <c r="X29" i="17" s="1"/>
  <c r="X37" i="17" a="1"/>
  <c r="X37" i="17" s="1"/>
  <c r="X45" i="17" a="1"/>
  <c r="X45" i="17" s="1"/>
  <c r="X57" i="17" a="1"/>
  <c r="X57" i="17" s="1"/>
  <c r="X69" i="17" a="1"/>
  <c r="X69" i="17" s="1"/>
  <c r="X77" i="17" a="1"/>
  <c r="X77" i="17" s="1"/>
  <c r="X51" i="17" a="1"/>
  <c r="X51" i="17" s="1"/>
  <c r="X5" i="17" a="1"/>
  <c r="X5" i="17" s="1"/>
  <c r="X9" i="17" a="1"/>
  <c r="X9" i="17" s="1"/>
  <c r="X17" i="17" a="1"/>
  <c r="X17" i="17" s="1"/>
  <c r="X25" i="17" a="1"/>
  <c r="X25" i="17" s="1"/>
  <c r="X33" i="17" a="1"/>
  <c r="X33" i="17" s="1"/>
  <c r="X41" i="17" a="1"/>
  <c r="X41" i="17" s="1"/>
  <c r="X49" i="17" a="1"/>
  <c r="X49" i="17" s="1"/>
  <c r="X53" i="17" a="1"/>
  <c r="X53" i="17" s="1"/>
  <c r="X61" i="17" a="1"/>
  <c r="X61" i="17" s="1"/>
  <c r="X65" i="17" a="1"/>
  <c r="X65" i="17" s="1"/>
  <c r="X73" i="17" a="1"/>
  <c r="X73" i="17" s="1"/>
  <c r="X59" i="17" a="1"/>
  <c r="X59" i="17" s="1"/>
  <c r="X10" i="17" a="1"/>
  <c r="X10" i="17" s="1"/>
  <c r="X18" i="17" a="1"/>
  <c r="X18" i="17" s="1"/>
  <c r="X26" i="17" a="1"/>
  <c r="X26" i="17" s="1"/>
  <c r="X38" i="17" a="1"/>
  <c r="X38" i="17" s="1"/>
  <c r="X46" i="17" a="1"/>
  <c r="X46" i="17" s="1"/>
  <c r="X54" i="17" a="1"/>
  <c r="X54" i="17" s="1"/>
  <c r="X66" i="17" a="1"/>
  <c r="X66" i="17" s="1"/>
  <c r="X74" i="17" a="1"/>
  <c r="X74" i="17" s="1"/>
  <c r="X67" i="17" a="1"/>
  <c r="X67" i="17" s="1"/>
  <c r="X6" i="17" a="1"/>
  <c r="X6" i="17" s="1"/>
  <c r="X14" i="17" a="1"/>
  <c r="X14" i="17" s="1"/>
  <c r="X22" i="17" a="1"/>
  <c r="X22" i="17" s="1"/>
  <c r="X30" i="17" a="1"/>
  <c r="X30" i="17" s="1"/>
  <c r="X34" i="17" a="1"/>
  <c r="X34" i="17" s="1"/>
  <c r="X42" i="17" a="1"/>
  <c r="X42" i="17" s="1"/>
  <c r="X50" i="17" a="1"/>
  <c r="X50" i="17" s="1"/>
  <c r="X58" i="17" a="1"/>
  <c r="X58" i="17" s="1"/>
  <c r="X62" i="17" a="1"/>
  <c r="X62" i="17" s="1"/>
  <c r="X70" i="17" a="1"/>
  <c r="X70" i="17" s="1"/>
  <c r="X71" i="17" a="1"/>
  <c r="X71" i="17" s="1"/>
  <c r="Y3" i="17" a="1"/>
  <c r="Y3" i="17" s="1"/>
  <c r="Y7" i="17" a="1"/>
  <c r="Y7" i="17" s="1"/>
  <c r="Y11" i="17" a="1"/>
  <c r="Y11" i="17" s="1"/>
  <c r="Y15" i="17" a="1"/>
  <c r="Y15" i="17" s="1"/>
  <c r="Y19" i="17" a="1"/>
  <c r="Y19" i="17" s="1"/>
  <c r="Y23" i="17" a="1"/>
  <c r="Y23" i="17" s="1"/>
  <c r="Y27" i="17" a="1"/>
  <c r="Y27" i="17" s="1"/>
  <c r="Y31" i="17" a="1"/>
  <c r="Y31" i="17" s="1"/>
  <c r="Y35" i="17" a="1"/>
  <c r="Y35" i="17" s="1"/>
  <c r="Y39" i="17" a="1"/>
  <c r="Y39" i="17" s="1"/>
  <c r="Y43" i="17" a="1"/>
  <c r="Y43" i="17" s="1"/>
  <c r="Y47" i="17" a="1"/>
  <c r="Y47" i="17" s="1"/>
  <c r="Y59" i="17" a="1"/>
  <c r="Y59" i="17" s="1"/>
  <c r="Y75" i="17" a="1"/>
  <c r="Y75" i="17" s="1"/>
  <c r="Y12" i="17" a="1"/>
  <c r="Y12" i="17" s="1"/>
  <c r="Y20" i="17" a="1"/>
  <c r="Y20" i="17" s="1"/>
  <c r="Y28" i="17" a="1"/>
  <c r="Y28" i="17" s="1"/>
  <c r="Y36" i="17" a="1"/>
  <c r="Y36" i="17" s="1"/>
  <c r="Y44" i="17" a="1"/>
  <c r="Y44" i="17" s="1"/>
  <c r="Y4" i="17" a="1"/>
  <c r="Y4" i="17" s="1"/>
  <c r="Y8" i="17" a="1"/>
  <c r="Y8" i="17" s="1"/>
  <c r="Y16" i="17" a="1"/>
  <c r="Y16" i="17" s="1"/>
  <c r="Y24" i="17" a="1"/>
  <c r="Y24" i="17" s="1"/>
  <c r="Y32" i="17" a="1"/>
  <c r="Y32" i="17" s="1"/>
  <c r="Y40" i="17" a="1"/>
  <c r="Y40" i="17" s="1"/>
  <c r="Y48" i="17" a="1"/>
  <c r="Y48" i="17" s="1"/>
  <c r="Y52" i="17" a="1"/>
  <c r="Y52" i="17" s="1"/>
  <c r="Y56" i="17" a="1"/>
  <c r="Y56" i="17" s="1"/>
  <c r="Y60" i="17" a="1"/>
  <c r="Y60" i="17" s="1"/>
  <c r="Y13" i="17" a="1"/>
  <c r="Y13" i="17" s="1"/>
  <c r="Y21" i="17" a="1"/>
  <c r="Y21" i="17" s="1"/>
  <c r="Y29" i="17" a="1"/>
  <c r="Y29" i="17" s="1"/>
  <c r="Y37" i="17" a="1"/>
  <c r="Y37" i="17" s="1"/>
  <c r="Y45" i="17" a="1"/>
  <c r="Y45" i="17" s="1"/>
  <c r="Y53" i="17" a="1"/>
  <c r="Y53" i="17" s="1"/>
  <c r="Y61" i="17" a="1"/>
  <c r="Y61" i="17" s="1"/>
  <c r="Y69" i="17" a="1"/>
  <c r="Y69" i="17" s="1"/>
  <c r="Y73" i="17" a="1"/>
  <c r="Y73" i="17" s="1"/>
  <c r="Y63" i="17" a="1"/>
  <c r="Y63" i="17" s="1"/>
  <c r="Y72" i="17" a="1"/>
  <c r="Y72" i="17" s="1"/>
  <c r="Y5" i="17" a="1"/>
  <c r="Y5" i="17" s="1"/>
  <c r="Y9" i="17" a="1"/>
  <c r="Y9" i="17" s="1"/>
  <c r="Y17" i="17" a="1"/>
  <c r="Y17" i="17" s="1"/>
  <c r="Y25" i="17" a="1"/>
  <c r="Y25" i="17" s="1"/>
  <c r="Y33" i="17" a="1"/>
  <c r="Y33" i="17" s="1"/>
  <c r="Y41" i="17" a="1"/>
  <c r="Y41" i="17" s="1"/>
  <c r="Y49" i="17" a="1"/>
  <c r="Y49" i="17" s="1"/>
  <c r="Y57" i="17" a="1"/>
  <c r="Y57" i="17" s="1"/>
  <c r="Y65" i="17" a="1"/>
  <c r="Y65" i="17" s="1"/>
  <c r="Y77" i="17" a="1"/>
  <c r="Y77" i="17" s="1"/>
  <c r="Y51" i="17" a="1"/>
  <c r="Y51" i="17" s="1"/>
  <c r="Y64" i="17" a="1"/>
  <c r="Y64" i="17" s="1"/>
  <c r="Y10" i="17" a="1"/>
  <c r="Y10" i="17" s="1"/>
  <c r="Y18" i="17" a="1"/>
  <c r="Y18" i="17" s="1"/>
  <c r="Y26" i="17" a="1"/>
  <c r="Y26" i="17" s="1"/>
  <c r="Y38" i="17" a="1"/>
  <c r="Y38" i="17" s="1"/>
  <c r="Y42" i="17" a="1"/>
  <c r="Y42" i="17" s="1"/>
  <c r="Y50" i="17" a="1"/>
  <c r="Y50" i="17" s="1"/>
  <c r="Y58" i="17" a="1"/>
  <c r="Y58" i="17" s="1"/>
  <c r="Y70" i="17" a="1"/>
  <c r="Y70" i="17" s="1"/>
  <c r="Y55" i="17" a="1"/>
  <c r="Y55" i="17" s="1"/>
  <c r="Y71" i="17" a="1"/>
  <c r="Y71" i="17" s="1"/>
  <c r="Y76" i="17" a="1"/>
  <c r="Y76" i="17" s="1"/>
  <c r="Y6" i="17" a="1"/>
  <c r="Y6" i="17" s="1"/>
  <c r="Y14" i="17" a="1"/>
  <c r="Y14" i="17" s="1"/>
  <c r="Y22" i="17" a="1"/>
  <c r="Y22" i="17" s="1"/>
  <c r="Y30" i="17" a="1"/>
  <c r="Y30" i="17" s="1"/>
  <c r="Y34" i="17" a="1"/>
  <c r="Y34" i="17" s="1"/>
  <c r="Y46" i="17" a="1"/>
  <c r="Y46" i="17" s="1"/>
  <c r="Y54" i="17" a="1"/>
  <c r="Y54" i="17" s="1"/>
  <c r="Y62" i="17" a="1"/>
  <c r="Y62" i="17" s="1"/>
  <c r="Y66" i="17" a="1"/>
  <c r="Y66" i="17" s="1"/>
  <c r="Y74" i="17" a="1"/>
  <c r="Y74" i="17" s="1"/>
  <c r="Y67" i="17" a="1"/>
  <c r="Y67" i="17" s="1"/>
  <c r="Y68" i="17" a="1"/>
  <c r="Y68" i="17" s="1"/>
  <c r="Y2" i="17" a="1"/>
  <c r="Y2" i="17" s="1"/>
  <c r="Z3" i="17" a="1"/>
  <c r="Z3" i="17" s="1"/>
  <c r="Z7" i="17" a="1"/>
  <c r="Z7" i="17" s="1"/>
  <c r="Z11" i="17" a="1"/>
  <c r="Z11" i="17" s="1"/>
  <c r="Z15" i="17" a="1"/>
  <c r="Z15" i="17" s="1"/>
  <c r="Z19" i="17" a="1"/>
  <c r="Z19" i="17" s="1"/>
  <c r="Z23" i="17" a="1"/>
  <c r="Z23" i="17" s="1"/>
  <c r="Z27" i="17" a="1"/>
  <c r="Z27" i="17" s="1"/>
  <c r="Z31" i="17" a="1"/>
  <c r="Z31" i="17" s="1"/>
  <c r="Z35" i="17" a="1"/>
  <c r="Z35" i="17" s="1"/>
  <c r="Z39" i="17" a="1"/>
  <c r="Z39" i="17" s="1"/>
  <c r="Z43" i="17" a="1"/>
  <c r="Z43" i="17" s="1"/>
  <c r="Z47" i="17" a="1"/>
  <c r="Z47" i="17" s="1"/>
  <c r="Z51" i="17" a="1"/>
  <c r="Z51" i="17" s="1"/>
  <c r="Z67" i="17" a="1"/>
  <c r="Z67" i="17" s="1"/>
  <c r="Z8" i="17" a="1"/>
  <c r="Z8" i="17" s="1"/>
  <c r="Z20" i="17" a="1"/>
  <c r="Z20" i="17" s="1"/>
  <c r="Z28" i="17" a="1"/>
  <c r="Z28" i="17" s="1"/>
  <c r="Z52" i="17" a="1"/>
  <c r="Z52" i="17" s="1"/>
  <c r="Z64" i="17" a="1"/>
  <c r="Z64" i="17" s="1"/>
  <c r="Z72" i="17" a="1"/>
  <c r="Z72" i="17" s="1"/>
  <c r="Z4" i="17" a="1"/>
  <c r="Z4" i="17" s="1"/>
  <c r="Z12" i="17" a="1"/>
  <c r="Z12" i="17" s="1"/>
  <c r="Z16" i="17" a="1"/>
  <c r="Z16" i="17" s="1"/>
  <c r="Z24" i="17" a="1"/>
  <c r="Z24" i="17" s="1"/>
  <c r="Z32" i="17" a="1"/>
  <c r="Z32" i="17" s="1"/>
  <c r="Z36" i="17" a="1"/>
  <c r="Z36" i="17" s="1"/>
  <c r="Z40" i="17" a="1"/>
  <c r="Z40" i="17" s="1"/>
  <c r="Z44" i="17" a="1"/>
  <c r="Z44" i="17" s="1"/>
  <c r="Z48" i="17" a="1"/>
  <c r="Z48" i="17" s="1"/>
  <c r="Z56" i="17" a="1"/>
  <c r="Z56" i="17" s="1"/>
  <c r="Z60" i="17" a="1"/>
  <c r="Z60" i="17" s="1"/>
  <c r="Z68" i="17" a="1"/>
  <c r="Z68" i="17" s="1"/>
  <c r="Z76" i="17" a="1"/>
  <c r="Z76" i="17" s="1"/>
  <c r="Z13" i="17" a="1"/>
  <c r="Z13" i="17" s="1"/>
  <c r="Z21" i="17" a="1"/>
  <c r="Z21" i="17" s="1"/>
  <c r="Z29" i="17" a="1"/>
  <c r="Z29" i="17" s="1"/>
  <c r="Z37" i="17" a="1"/>
  <c r="Z37" i="17" s="1"/>
  <c r="Z45" i="17" a="1"/>
  <c r="Z45" i="17" s="1"/>
  <c r="Z53" i="17" a="1"/>
  <c r="Z53" i="17" s="1"/>
  <c r="Z61" i="17" a="1"/>
  <c r="Z61" i="17" s="1"/>
  <c r="Z69" i="17" a="1"/>
  <c r="Z69" i="17" s="1"/>
  <c r="Z77" i="17" a="1"/>
  <c r="Z77" i="17" s="1"/>
  <c r="Z59" i="17" a="1"/>
  <c r="Z59" i="17" s="1"/>
  <c r="Z5" i="17" a="1"/>
  <c r="Z5" i="17" s="1"/>
  <c r="Z9" i="17" a="1"/>
  <c r="Z9" i="17" s="1"/>
  <c r="Z17" i="17" a="1"/>
  <c r="Z17" i="17" s="1"/>
  <c r="Z25" i="17" a="1"/>
  <c r="Z25" i="17" s="1"/>
  <c r="Z33" i="17" a="1"/>
  <c r="Z33" i="17" s="1"/>
  <c r="Z41" i="17" a="1"/>
  <c r="Z41" i="17" s="1"/>
  <c r="Z49" i="17" a="1"/>
  <c r="Z49" i="17" s="1"/>
  <c r="Z57" i="17" a="1"/>
  <c r="Z57" i="17" s="1"/>
  <c r="Z65" i="17" a="1"/>
  <c r="Z65" i="17" s="1"/>
  <c r="Z73" i="17" a="1"/>
  <c r="Z73" i="17" s="1"/>
  <c r="Z63" i="17" a="1"/>
  <c r="Z63" i="17" s="1"/>
  <c r="Z75" i="17" a="1"/>
  <c r="Z75" i="17" s="1"/>
  <c r="Z14" i="17" a="1"/>
  <c r="Z14" i="17" s="1"/>
  <c r="Z22" i="17" a="1"/>
  <c r="Z22" i="17" s="1"/>
  <c r="Z30" i="17" a="1"/>
  <c r="Z30" i="17" s="1"/>
  <c r="Z38" i="17" a="1"/>
  <c r="Z38" i="17" s="1"/>
  <c r="Z46" i="17" a="1"/>
  <c r="Z46" i="17" s="1"/>
  <c r="Z54" i="17" a="1"/>
  <c r="Z54" i="17" s="1"/>
  <c r="Z58" i="17" a="1"/>
  <c r="Z58" i="17" s="1"/>
  <c r="Z66" i="17" a="1"/>
  <c r="Z66" i="17" s="1"/>
  <c r="Z70" i="17" a="1"/>
  <c r="Z70" i="17" s="1"/>
  <c r="Z55" i="17" a="1"/>
  <c r="Z55" i="17" s="1"/>
  <c r="Z71" i="17" a="1"/>
  <c r="Z71" i="17" s="1"/>
  <c r="Z6" i="17" a="1"/>
  <c r="Z6" i="17" s="1"/>
  <c r="Z10" i="17" a="1"/>
  <c r="Z10" i="17" s="1"/>
  <c r="Z18" i="17" a="1"/>
  <c r="Z18" i="17" s="1"/>
  <c r="Z26" i="17" a="1"/>
  <c r="Z26" i="17" s="1"/>
  <c r="Z34" i="17" a="1"/>
  <c r="Z34" i="17" s="1"/>
  <c r="Z42" i="17" a="1"/>
  <c r="Z42" i="17" s="1"/>
  <c r="Z50" i="17" a="1"/>
  <c r="Z50" i="17" s="1"/>
  <c r="Z62" i="17" a="1"/>
  <c r="Z62" i="17" s="1"/>
  <c r="Z74" i="17" a="1"/>
  <c r="Z74" i="17" s="1"/>
  <c r="Z2" i="17" a="1"/>
  <c r="Z2" i="17" s="1"/>
  <c r="AA4" i="17" a="1"/>
  <c r="AA4" i="17" s="1"/>
  <c r="AA8" i="17" a="1"/>
  <c r="AA8" i="17" s="1"/>
  <c r="AA12" i="17" a="1"/>
  <c r="AA12" i="17" s="1"/>
  <c r="AA16" i="17" a="1"/>
  <c r="AA16" i="17" s="1"/>
  <c r="AA20" i="17" a="1"/>
  <c r="AA20" i="17" s="1"/>
  <c r="AA24" i="17" a="1"/>
  <c r="AA24" i="17" s="1"/>
  <c r="AA28" i="17" a="1"/>
  <c r="AA28" i="17" s="1"/>
  <c r="AA32" i="17" a="1"/>
  <c r="AA32" i="17" s="1"/>
  <c r="AA36" i="17" a="1"/>
  <c r="AA36" i="17" s="1"/>
  <c r="AA40" i="17" a="1"/>
  <c r="AA40" i="17" s="1"/>
  <c r="AA44" i="17" a="1"/>
  <c r="AA44" i="17" s="1"/>
  <c r="AA72" i="17" a="1"/>
  <c r="AA72" i="17" s="1"/>
  <c r="AA13" i="17" a="1"/>
  <c r="AA13" i="17" s="1"/>
  <c r="AA21" i="17" a="1"/>
  <c r="AA21" i="17" s="1"/>
  <c r="AA29" i="17" a="1"/>
  <c r="AA29" i="17" s="1"/>
  <c r="AA37" i="17" a="1"/>
  <c r="AA37" i="17" s="1"/>
  <c r="AA45" i="17" a="1"/>
  <c r="AA45" i="17" s="1"/>
  <c r="AA53" i="17" a="1"/>
  <c r="AA53" i="17" s="1"/>
  <c r="AA61" i="17" a="1"/>
  <c r="AA61" i="17" s="1"/>
  <c r="AA69" i="17" a="1"/>
  <c r="AA69" i="17" s="1"/>
  <c r="AA77" i="17" a="1"/>
  <c r="AA77" i="17" s="1"/>
  <c r="AA64" i="17" a="1"/>
  <c r="AA64" i="17" s="1"/>
  <c r="AA5" i="17" a="1"/>
  <c r="AA5" i="17" s="1"/>
  <c r="AA9" i="17" a="1"/>
  <c r="AA9" i="17" s="1"/>
  <c r="AA17" i="17" a="1"/>
  <c r="AA17" i="17" s="1"/>
  <c r="AA25" i="17" a="1"/>
  <c r="AA25" i="17" s="1"/>
  <c r="AA33" i="17" a="1"/>
  <c r="AA33" i="17" s="1"/>
  <c r="AA41" i="17" a="1"/>
  <c r="AA41" i="17" s="1"/>
  <c r="AA49" i="17" a="1"/>
  <c r="AA49" i="17" s="1"/>
  <c r="AA57" i="17" a="1"/>
  <c r="AA57" i="17" s="1"/>
  <c r="AA65" i="17" a="1"/>
  <c r="AA65" i="17" s="1"/>
  <c r="AA73" i="17" a="1"/>
  <c r="AA73" i="17" s="1"/>
  <c r="AA68" i="17" a="1"/>
  <c r="AA68" i="17" s="1"/>
  <c r="AA14" i="17" a="1"/>
  <c r="AA14" i="17" s="1"/>
  <c r="AA22" i="17" a="1"/>
  <c r="AA22" i="17" s="1"/>
  <c r="AA30" i="17" a="1"/>
  <c r="AA30" i="17" s="1"/>
  <c r="AA38" i="17" a="1"/>
  <c r="AA38" i="17" s="1"/>
  <c r="AA46" i="17" a="1"/>
  <c r="AA46" i="17" s="1"/>
  <c r="AA54" i="17" a="1"/>
  <c r="AA54" i="17" s="1"/>
  <c r="AA62" i="17" a="1"/>
  <c r="AA62" i="17" s="1"/>
  <c r="AA70" i="17" a="1"/>
  <c r="AA70" i="17" s="1"/>
  <c r="AA52" i="17" a="1"/>
  <c r="AA52" i="17" s="1"/>
  <c r="AA76" i="17" a="1"/>
  <c r="AA76" i="17" s="1"/>
  <c r="AA6" i="17" a="1"/>
  <c r="AA6" i="17" s="1"/>
  <c r="AA10" i="17" a="1"/>
  <c r="AA10" i="17" s="1"/>
  <c r="AA18" i="17" a="1"/>
  <c r="AA18" i="17" s="1"/>
  <c r="AA26" i="17" a="1"/>
  <c r="AA26" i="17" s="1"/>
  <c r="AA34" i="17" a="1"/>
  <c r="AA34" i="17" s="1"/>
  <c r="AA42" i="17" a="1"/>
  <c r="AA42" i="17" s="1"/>
  <c r="AA50" i="17" a="1"/>
  <c r="AA50" i="17" s="1"/>
  <c r="AA58" i="17" a="1"/>
  <c r="AA58" i="17" s="1"/>
  <c r="AA66" i="17" a="1"/>
  <c r="AA66" i="17" s="1"/>
  <c r="AA74" i="17" a="1"/>
  <c r="AA74" i="17" s="1"/>
  <c r="AA56" i="17" a="1"/>
  <c r="AA56" i="17" s="1"/>
  <c r="AA15" i="17" a="1"/>
  <c r="AA15" i="17" s="1"/>
  <c r="AA23" i="17" a="1"/>
  <c r="AA23" i="17" s="1"/>
  <c r="AA31" i="17" a="1"/>
  <c r="AA31" i="17" s="1"/>
  <c r="AA39" i="17" a="1"/>
  <c r="AA39" i="17" s="1"/>
  <c r="AA47" i="17" a="1"/>
  <c r="AA47" i="17" s="1"/>
  <c r="AA55" i="17" a="1"/>
  <c r="AA55" i="17" s="1"/>
  <c r="AA63" i="17" a="1"/>
  <c r="AA63" i="17" s="1"/>
  <c r="AA71" i="17" a="1"/>
  <c r="AA71" i="17" s="1"/>
  <c r="AA60" i="17" a="1"/>
  <c r="AA60" i="17" s="1"/>
  <c r="AA7" i="17" a="1"/>
  <c r="AA7" i="17" s="1"/>
  <c r="AA11" i="17" a="1"/>
  <c r="AA11" i="17" s="1"/>
  <c r="AA19" i="17" a="1"/>
  <c r="AA19" i="17" s="1"/>
  <c r="AA27" i="17" a="1"/>
  <c r="AA27" i="17" s="1"/>
  <c r="AA35" i="17" a="1"/>
  <c r="AA35" i="17" s="1"/>
  <c r="AA43" i="17" a="1"/>
  <c r="AA43" i="17" s="1"/>
  <c r="AA51" i="17" a="1"/>
  <c r="AA51" i="17" s="1"/>
  <c r="AA59" i="17" a="1"/>
  <c r="AA59" i="17" s="1"/>
  <c r="AA67" i="17" a="1"/>
  <c r="AA67" i="17" s="1"/>
  <c r="AA75" i="17" a="1"/>
  <c r="AA75" i="17" s="1"/>
  <c r="AA48" i="17" a="1"/>
  <c r="AA48" i="17" s="1"/>
  <c r="AA3" i="17" a="1"/>
  <c r="AA3" i="17" s="1"/>
  <c r="AA2" i="17" a="1"/>
  <c r="AA2" i="17" s="1"/>
  <c r="E2" i="17" a="1"/>
  <c r="E2" i="17" s="1"/>
  <c r="E33" i="17" a="1"/>
  <c r="E33" i="17" s="1"/>
  <c r="E37" i="17" a="1"/>
  <c r="E37" i="17" s="1"/>
  <c r="E24" i="17" a="1"/>
  <c r="E24" i="17" s="1"/>
  <c r="E20" i="17" a="1"/>
  <c r="E20" i="17" s="1"/>
  <c r="E3" i="17" a="1"/>
  <c r="E3" i="17" s="1"/>
  <c r="E46" i="17" a="1"/>
  <c r="E46" i="17" s="1"/>
  <c r="E50" i="17" a="1"/>
  <c r="E50" i="17" s="1"/>
  <c r="E25" i="17" a="1"/>
  <c r="E25" i="17" s="1"/>
  <c r="E29" i="17" a="1"/>
  <c r="E29" i="17" s="1"/>
  <c r="E16" i="17" a="1"/>
  <c r="E16" i="17" s="1"/>
  <c r="E12" i="17" a="1"/>
  <c r="E12" i="17" s="1"/>
  <c r="E55" i="17" a="1"/>
  <c r="E55" i="17" s="1"/>
  <c r="E38" i="17" a="1"/>
  <c r="E38" i="17" s="1"/>
  <c r="E42" i="17" a="1"/>
  <c r="E42" i="17" s="1"/>
  <c r="E17" i="17" a="1"/>
  <c r="E17" i="17" s="1"/>
  <c r="E21" i="17" a="1"/>
  <c r="E21" i="17" s="1"/>
  <c r="E8" i="17" a="1"/>
  <c r="E8" i="17" s="1"/>
  <c r="E51" i="17" a="1"/>
  <c r="E51" i="17" s="1"/>
  <c r="E47" i="17" a="1"/>
  <c r="E47" i="17" s="1"/>
  <c r="E30" i="17" a="1"/>
  <c r="E30" i="17" s="1"/>
  <c r="E34" i="17" a="1"/>
  <c r="E34" i="17" s="1"/>
  <c r="E9" i="17" a="1"/>
  <c r="E9" i="17" s="1"/>
  <c r="E13" i="17" a="1"/>
  <c r="E13" i="17" s="1"/>
  <c r="E4" i="17" a="1"/>
  <c r="E4" i="17" s="1"/>
  <c r="E43" i="17" a="1"/>
  <c r="E43" i="17" s="1"/>
  <c r="E39" i="17" a="1"/>
  <c r="E39" i="17" s="1"/>
  <c r="E22" i="17" a="1"/>
  <c r="E22" i="17" s="1"/>
  <c r="E26" i="17" a="1"/>
  <c r="E26" i="17" s="1"/>
  <c r="E5" i="17" a="1"/>
  <c r="E5" i="17" s="1"/>
  <c r="E56" i="17" a="1"/>
  <c r="E56" i="17" s="1"/>
  <c r="E52" i="17" a="1"/>
  <c r="E52" i="17" s="1"/>
  <c r="E31" i="17" a="1"/>
  <c r="E31" i="17" s="1"/>
  <c r="E35" i="17" a="1"/>
  <c r="E35" i="17" s="1"/>
  <c r="E14" i="17" a="1"/>
  <c r="E14" i="17" s="1"/>
  <c r="E18" i="17" a="1"/>
  <c r="E18" i="17" s="1"/>
  <c r="E54" i="17" a="1"/>
  <c r="E54" i="17" s="1"/>
  <c r="E48" i="17" a="1"/>
  <c r="E48" i="17" s="1"/>
  <c r="E44" i="17" a="1"/>
  <c r="E44" i="17" s="1"/>
  <c r="E23" i="17" a="1"/>
  <c r="E23" i="17" s="1"/>
  <c r="E27" i="17" a="1"/>
  <c r="E27" i="17" s="1"/>
  <c r="E10" i="17" a="1"/>
  <c r="E10" i="17" s="1"/>
  <c r="E49" i="17" a="1"/>
  <c r="E49" i="17" s="1"/>
  <c r="E53" i="17" a="1"/>
  <c r="E53" i="17" s="1"/>
  <c r="E40" i="17" a="1"/>
  <c r="E40" i="17" s="1"/>
  <c r="E36" i="17" a="1"/>
  <c r="E36" i="17" s="1"/>
  <c r="E15" i="17" a="1"/>
  <c r="E15" i="17" s="1"/>
  <c r="E19" i="17" a="1"/>
  <c r="E19" i="17" s="1"/>
  <c r="E6" i="17" a="1"/>
  <c r="E6" i="17" s="1"/>
  <c r="E41" i="17" a="1"/>
  <c r="E41" i="17" s="1"/>
  <c r="E45" i="17" a="1"/>
  <c r="E45" i="17" s="1"/>
  <c r="E32" i="17" a="1"/>
  <c r="E32" i="17" s="1"/>
  <c r="E28" i="17" a="1"/>
  <c r="E28" i="17" s="1"/>
  <c r="E7" i="17" a="1"/>
  <c r="E7" i="17" s="1"/>
  <c r="E11" i="17" a="1"/>
  <c r="E11" i="17" s="1"/>
  <c r="B31" i="17" a="1"/>
  <c r="B31" i="17" s="1"/>
  <c r="D31" i="17" a="1"/>
  <c r="D31" i="17" s="1"/>
  <c r="C31" i="17" a="1"/>
  <c r="C31" i="17" s="1"/>
  <c r="F31" i="17" a="1"/>
  <c r="F31" i="17" s="1"/>
  <c r="F23" i="17" a="1"/>
  <c r="F23" i="17" s="1"/>
  <c r="F41" i="17" a="1"/>
  <c r="F41" i="17" s="1"/>
  <c r="F37" i="17" a="1"/>
  <c r="F37" i="17" s="1"/>
  <c r="F18" i="17" a="1"/>
  <c r="F18" i="17" s="1"/>
  <c r="F25" i="17" a="1"/>
  <c r="F25" i="17" s="1"/>
  <c r="F29" i="17" a="1"/>
  <c r="F29" i="17" s="1"/>
  <c r="F16" i="17" a="1"/>
  <c r="F16" i="17" s="1"/>
  <c r="F36" i="17" a="1"/>
  <c r="F36" i="17" s="1"/>
  <c r="F27" i="17" a="1"/>
  <c r="F27" i="17" s="1"/>
  <c r="F24" i="17" a="1"/>
  <c r="F24" i="17" s="1"/>
  <c r="F51" i="17" a="1"/>
  <c r="F51" i="17" s="1"/>
  <c r="F14" i="17" a="1"/>
  <c r="F14" i="17" s="1"/>
  <c r="F17" i="17" a="1"/>
  <c r="F17" i="17" s="1"/>
  <c r="F21" i="17" a="1"/>
  <c r="F21" i="17" s="1"/>
  <c r="F8" i="17" a="1"/>
  <c r="F8" i="17" s="1"/>
  <c r="F28" i="17" a="1"/>
  <c r="F28" i="17" s="1"/>
  <c r="F22" i="17" a="1"/>
  <c r="F22" i="17" s="1"/>
  <c r="F2" i="17" a="1"/>
  <c r="F2" i="17" s="1"/>
  <c r="F43" i="17" a="1"/>
  <c r="F43" i="17" s="1"/>
  <c r="F10" i="17" a="1"/>
  <c r="F10" i="17" s="1"/>
  <c r="F9" i="17" a="1"/>
  <c r="F9" i="17" s="1"/>
  <c r="F13" i="17" a="1"/>
  <c r="F13" i="17" s="1"/>
  <c r="F4" i="17" a="1"/>
  <c r="F4" i="17" s="1"/>
  <c r="F20" i="17" a="1"/>
  <c r="F20" i="17" s="1"/>
  <c r="F19" i="17" a="1"/>
  <c r="F19" i="17" s="1"/>
  <c r="F26" i="17" a="1"/>
  <c r="F26" i="17" s="1"/>
  <c r="F33" i="17" a="1"/>
  <c r="F33" i="17" s="1"/>
  <c r="F38" i="17" a="1"/>
  <c r="F38" i="17" s="1"/>
  <c r="F6" i="17" a="1"/>
  <c r="F6" i="17" s="1"/>
  <c r="F5" i="17" a="1"/>
  <c r="F5" i="17" s="1"/>
  <c r="F42" i="17" a="1"/>
  <c r="F42" i="17" s="1"/>
  <c r="F55" i="17" a="1"/>
  <c r="F55" i="17" s="1"/>
  <c r="F12" i="17" a="1"/>
  <c r="F12" i="17" s="1"/>
  <c r="F15" i="17" a="1"/>
  <c r="F15" i="17" s="1"/>
  <c r="F34" i="17" a="1"/>
  <c r="F34" i="17" s="1"/>
  <c r="F54" i="17" a="1"/>
  <c r="F54" i="17" s="1"/>
  <c r="F46" i="17" a="1"/>
  <c r="F46" i="17" s="1"/>
  <c r="F48" i="17" a="1"/>
  <c r="F48" i="17" s="1"/>
  <c r="F50" i="17" a="1"/>
  <c r="F50" i="17" s="1"/>
  <c r="F47" i="17" a="1"/>
  <c r="F47" i="17" s="1"/>
  <c r="F11" i="17" a="1"/>
  <c r="F11" i="17" s="1"/>
  <c r="F44" i="17" a="1"/>
  <c r="F44" i="17" s="1"/>
  <c r="F30" i="17" a="1"/>
  <c r="F30" i="17" s="1"/>
  <c r="F49" i="17" a="1"/>
  <c r="F49" i="17" s="1"/>
  <c r="F53" i="17" a="1"/>
  <c r="F53" i="17" s="1"/>
  <c r="F40" i="17" a="1"/>
  <c r="F40" i="17" s="1"/>
  <c r="F56" i="17" a="1"/>
  <c r="F56" i="17" s="1"/>
  <c r="F39" i="17" a="1"/>
  <c r="F39" i="17" s="1"/>
  <c r="F7" i="17" a="1"/>
  <c r="F7" i="17" s="1"/>
  <c r="F45" i="17" a="1"/>
  <c r="F45" i="17" s="1"/>
  <c r="F32" i="17" a="1"/>
  <c r="F32" i="17" s="1"/>
  <c r="F52" i="17" a="1"/>
  <c r="F52" i="17" s="1"/>
  <c r="F35" i="17" a="1"/>
  <c r="F35" i="17" s="1"/>
  <c r="F3" i="17" a="1"/>
  <c r="F3" i="17" s="1"/>
  <c r="D41" i="17" a="1"/>
  <c r="D41" i="17" s="1"/>
  <c r="D34" i="17" a="1"/>
  <c r="D34" i="17" s="1"/>
  <c r="D39" i="17" a="1"/>
  <c r="D39" i="17" s="1"/>
  <c r="D50" i="17" a="1"/>
  <c r="D50" i="17" s="1"/>
  <c r="C41" i="17" a="1"/>
  <c r="C41" i="17" s="1"/>
  <c r="D35" i="17" a="1"/>
  <c r="D35" i="17" s="1"/>
  <c r="D42" i="17" a="1"/>
  <c r="D42" i="17" s="1"/>
  <c r="D52" i="17" a="1"/>
  <c r="D52" i="17" s="1"/>
  <c r="D47" i="17" a="1"/>
  <c r="D47" i="17" s="1"/>
  <c r="D51" i="17" a="1"/>
  <c r="D51" i="17" s="1"/>
  <c r="D56" i="17" a="1"/>
  <c r="D56" i="17" s="1"/>
  <c r="D48" i="17" a="1"/>
  <c r="D48" i="17" s="1"/>
  <c r="D49" i="17" a="1"/>
  <c r="D49" i="17" s="1"/>
  <c r="D43" i="17" a="1"/>
  <c r="D43" i="17" s="1"/>
  <c r="D53" i="17" a="1"/>
  <c r="D53" i="17" s="1"/>
  <c r="D44" i="17" a="1"/>
  <c r="D44" i="17" s="1"/>
  <c r="D54" i="17" a="1"/>
  <c r="D54" i="17" s="1"/>
  <c r="D45" i="17" a="1"/>
  <c r="D45" i="17" s="1"/>
  <c r="D40" i="17" a="1"/>
  <c r="D40" i="17" s="1"/>
  <c r="D46" i="17" a="1"/>
  <c r="D46" i="17" s="1"/>
  <c r="D37" i="17" a="1"/>
  <c r="D37" i="17" s="1"/>
  <c r="D36" i="17" a="1"/>
  <c r="D36" i="17" s="1"/>
  <c r="D55" i="17" a="1"/>
  <c r="D55" i="17" s="1"/>
  <c r="D38" i="17" a="1"/>
  <c r="D38" i="17" s="1"/>
  <c r="D33" i="17" a="1"/>
  <c r="D33" i="17" s="1"/>
  <c r="D32" i="17" a="1"/>
  <c r="D32" i="17" s="1"/>
  <c r="C43" i="17" a="1"/>
  <c r="C43" i="17" s="1"/>
  <c r="C55" i="17" a="1"/>
  <c r="C55" i="17" s="1"/>
  <c r="B28" i="17" a="1"/>
  <c r="B28" i="17" s="1"/>
  <c r="C39" i="17" a="1"/>
  <c r="C39" i="17" s="1"/>
  <c r="C50" i="17" a="1"/>
  <c r="C50" i="17" s="1"/>
  <c r="C56" i="17" a="1"/>
  <c r="C56" i="17" s="1"/>
  <c r="B56" i="17" a="1"/>
  <c r="B56" i="17" s="1"/>
  <c r="C35" i="17" a="1"/>
  <c r="C35" i="17" s="1"/>
  <c r="C42" i="17" a="1"/>
  <c r="C42" i="17" s="1"/>
  <c r="C52" i="17" a="1"/>
  <c r="C52" i="17" s="1"/>
  <c r="C51" i="17" a="1"/>
  <c r="C51" i="17" s="1"/>
  <c r="C37" i="17" a="1"/>
  <c r="C37" i="17" s="1"/>
  <c r="C48" i="17" a="1"/>
  <c r="C48" i="17" s="1"/>
  <c r="B21" i="17" a="1"/>
  <c r="B21" i="17" s="1"/>
  <c r="C54" i="17" a="1"/>
  <c r="C54" i="17" s="1"/>
  <c r="C33" i="17" a="1"/>
  <c r="C33" i="17" s="1"/>
  <c r="C44" i="17" a="1"/>
  <c r="C44" i="17" s="1"/>
  <c r="B46" i="17" a="1"/>
  <c r="B46" i="17" s="1"/>
  <c r="C53" i="17" a="1"/>
  <c r="C53" i="17" s="1"/>
  <c r="C40" i="17" a="1"/>
  <c r="C40" i="17" s="1"/>
  <c r="C46" i="17" a="1"/>
  <c r="C46" i="17" s="1"/>
  <c r="C38" i="17" a="1"/>
  <c r="C38" i="17" s="1"/>
  <c r="C49" i="17" a="1"/>
  <c r="C49" i="17" s="1"/>
  <c r="C36" i="17" a="1"/>
  <c r="C36" i="17" s="1"/>
  <c r="C47" i="17" a="1"/>
  <c r="C47" i="17" s="1"/>
  <c r="C34" i="17" a="1"/>
  <c r="C34" i="17" s="1"/>
  <c r="C45" i="17" a="1"/>
  <c r="C45" i="17" s="1"/>
  <c r="C32" i="17" a="1"/>
  <c r="C32" i="17" s="1"/>
  <c r="B19" i="17" a="1"/>
  <c r="B19" i="17" s="1"/>
  <c r="B44" i="17" a="1"/>
  <c r="B44" i="17" s="1"/>
  <c r="B18" i="17" a="1"/>
  <c r="B18" i="17" s="1"/>
  <c r="B38" i="17" a="1"/>
  <c r="B38" i="17" s="1"/>
  <c r="B49" i="17" a="1"/>
  <c r="B49" i="17" s="1"/>
  <c r="B51" i="17" a="1"/>
  <c r="B51" i="17" s="1"/>
  <c r="B13" i="17" a="1"/>
  <c r="B13" i="17" s="1"/>
  <c r="B32" i="17" a="1"/>
  <c r="B32" i="17" s="1"/>
  <c r="B47" i="17" a="1"/>
  <c r="B47" i="17" s="1"/>
  <c r="B10" i="17" a="1"/>
  <c r="B10" i="17" s="1"/>
  <c r="B30" i="17" a="1"/>
  <c r="B30" i="17" s="1"/>
  <c r="B41" i="17" a="1"/>
  <c r="B41" i="17" s="1"/>
  <c r="B35" i="17" a="1"/>
  <c r="B35" i="17" s="1"/>
  <c r="B48" i="17" a="1"/>
  <c r="B48" i="17" s="1"/>
  <c r="B2" i="17" a="1"/>
  <c r="B2" i="17" s="1"/>
  <c r="B23" i="17" a="1"/>
  <c r="B23" i="17" s="1"/>
  <c r="B6" i="17" a="1"/>
  <c r="B6" i="17" s="1"/>
  <c r="B22" i="17" a="1"/>
  <c r="B22" i="17" s="1"/>
  <c r="B33" i="17" a="1"/>
  <c r="B33" i="17" s="1"/>
  <c r="B15" i="17" a="1"/>
  <c r="B15" i="17" s="1"/>
  <c r="B40" i="17" a="1"/>
  <c r="B40" i="17" s="1"/>
  <c r="B24" i="17" a="1"/>
  <c r="B24" i="17" s="1"/>
  <c r="B11" i="17" a="1"/>
  <c r="B11" i="17" s="1"/>
  <c r="B43" i="17" a="1"/>
  <c r="B43" i="17" s="1"/>
  <c r="B14" i="17" a="1"/>
  <c r="B14" i="17" s="1"/>
  <c r="B25" i="17" a="1"/>
  <c r="B25" i="17" s="1"/>
  <c r="B53" i="17" a="1"/>
  <c r="B53" i="17" s="1"/>
  <c r="B36" i="17" a="1"/>
  <c r="B36" i="17" s="1"/>
  <c r="B20" i="17" a="1"/>
  <c r="B20" i="17" s="1"/>
  <c r="B50" i="17" a="1"/>
  <c r="B50" i="17" s="1"/>
  <c r="B27" i="17" a="1"/>
  <c r="B27" i="17" s="1"/>
  <c r="B55" i="17" a="1"/>
  <c r="B55" i="17" s="1"/>
  <c r="B17" i="17" a="1"/>
  <c r="B17" i="17" s="1"/>
  <c r="B45" i="17" a="1"/>
  <c r="B45" i="17" s="1"/>
  <c r="B8" i="17" a="1"/>
  <c r="B8" i="17" s="1"/>
  <c r="B16" i="17" a="1"/>
  <c r="B16" i="17" s="1"/>
  <c r="B26" i="17" a="1"/>
  <c r="B26" i="17" s="1"/>
  <c r="B42" i="17" a="1"/>
  <c r="B42" i="17" s="1"/>
  <c r="B7" i="17" a="1"/>
  <c r="B7" i="17" s="1"/>
  <c r="B39" i="17" a="1"/>
  <c r="B39" i="17" s="1"/>
  <c r="B9" i="17" a="1"/>
  <c r="B9" i="17" s="1"/>
  <c r="B37" i="17" a="1"/>
  <c r="B37" i="17" s="1"/>
  <c r="B4" i="17" a="1"/>
  <c r="B4" i="17" s="1"/>
  <c r="B12" i="17" a="1"/>
  <c r="B12" i="17" s="1"/>
  <c r="B34" i="17" a="1"/>
  <c r="B34" i="17" s="1"/>
  <c r="B54" i="17" a="1"/>
  <c r="B54" i="17" s="1"/>
  <c r="B5" i="17" a="1"/>
  <c r="B5" i="17" s="1"/>
  <c r="B29" i="17" a="1"/>
  <c r="B29" i="17" s="1"/>
  <c r="B52" i="17" a="1"/>
  <c r="B52" i="17" s="1"/>
  <c r="B3" i="17" a="1"/>
  <c r="B3" i="17" s="1"/>
  <c r="D27" i="17" a="1"/>
  <c r="D27" i="17" s="1"/>
  <c r="D18" i="17" a="1"/>
  <c r="D18" i="17" s="1"/>
  <c r="D6" i="17" a="1"/>
  <c r="D6" i="17" s="1"/>
  <c r="D5" i="17" a="1"/>
  <c r="D5" i="17" s="1"/>
  <c r="D2" i="17" a="1"/>
  <c r="D2" i="17" s="1"/>
  <c r="D23" i="17" a="1"/>
  <c r="D23" i="17" s="1"/>
  <c r="D13" i="17" a="1"/>
  <c r="D13" i="17" s="1"/>
  <c r="D19" i="17" a="1"/>
  <c r="D19" i="17" s="1"/>
  <c r="D28" i="17" a="1"/>
  <c r="D28" i="17" s="1"/>
  <c r="D15" i="17" a="1"/>
  <c r="D15" i="17" s="1"/>
  <c r="D14" i="17" a="1"/>
  <c r="D14" i="17" s="1"/>
  <c r="D25" i="17" a="1"/>
  <c r="D25" i="17" s="1"/>
  <c r="D20" i="17" a="1"/>
  <c r="D20" i="17" s="1"/>
  <c r="D24" i="17" a="1"/>
  <c r="D24" i="17" s="1"/>
  <c r="D11" i="17" a="1"/>
  <c r="D11" i="17" s="1"/>
  <c r="D10" i="17" a="1"/>
  <c r="D10" i="17" s="1"/>
  <c r="D26" i="17" a="1"/>
  <c r="D26" i="17" s="1"/>
  <c r="D30" i="17" a="1"/>
  <c r="D30" i="17" s="1"/>
  <c r="D17" i="17" a="1"/>
  <c r="D17" i="17" s="1"/>
  <c r="D29" i="17" a="1"/>
  <c r="D29" i="17" s="1"/>
  <c r="D12" i="17" a="1"/>
  <c r="D12" i="17" s="1"/>
  <c r="D16" i="17" a="1"/>
  <c r="D16" i="17" s="1"/>
  <c r="D7" i="17" a="1"/>
  <c r="D7" i="17" s="1"/>
  <c r="D22" i="17" a="1"/>
  <c r="D22" i="17" s="1"/>
  <c r="D9" i="17" a="1"/>
  <c r="D9" i="17" s="1"/>
  <c r="D21" i="17" a="1"/>
  <c r="D21" i="17" s="1"/>
  <c r="D4" i="17" a="1"/>
  <c r="D4" i="17" s="1"/>
  <c r="D8" i="17" a="1"/>
  <c r="D8" i="17" s="1"/>
  <c r="D3" i="17" a="1"/>
  <c r="D3" i="17" s="1"/>
  <c r="C30" i="17" a="1"/>
  <c r="C30" i="17" s="1"/>
  <c r="C25" i="17" a="1"/>
  <c r="C25" i="17" s="1"/>
  <c r="C29" i="17" a="1"/>
  <c r="C29" i="17" s="1"/>
  <c r="C28" i="17" a="1"/>
  <c r="C28" i="17" s="1"/>
  <c r="C27" i="17" a="1"/>
  <c r="C27" i="17" s="1"/>
  <c r="C26" i="17" a="1"/>
  <c r="C26" i="17" s="1"/>
  <c r="C22" i="17" a="1"/>
  <c r="C22" i="17" s="1"/>
  <c r="C18" i="17" a="1"/>
  <c r="C18" i="17" s="1"/>
  <c r="C21" i="17" a="1"/>
  <c r="C21" i="17" s="1"/>
  <c r="C24" i="17" a="1"/>
  <c r="C24" i="17" s="1"/>
  <c r="C20" i="17" a="1"/>
  <c r="C20" i="17" s="1"/>
  <c r="C23" i="17" a="1"/>
  <c r="C23" i="17" s="1"/>
  <c r="C19" i="17" a="1"/>
  <c r="C19" i="17" s="1"/>
  <c r="C17" i="17" a="1"/>
  <c r="C17" i="17" s="1"/>
  <c r="C16" i="17" a="1"/>
  <c r="C16" i="17" s="1"/>
  <c r="C15" i="17" a="1"/>
  <c r="C15" i="17" s="1"/>
  <c r="C7" i="17" a="1"/>
  <c r="C7" i="17" s="1"/>
  <c r="C14" i="17" a="1"/>
  <c r="C14" i="17" s="1"/>
  <c r="C13" i="17" a="1"/>
  <c r="C13" i="17" s="1"/>
  <c r="C12" i="17" a="1"/>
  <c r="C12" i="17" s="1"/>
  <c r="C5" i="17" a="1"/>
  <c r="C5" i="17" s="1"/>
  <c r="C8" i="17" a="1"/>
  <c r="C8" i="17" s="1"/>
  <c r="C4" i="17" a="1"/>
  <c r="C4" i="17" s="1"/>
  <c r="C11" i="17" a="1"/>
  <c r="C11" i="17" s="1"/>
  <c r="C10" i="17" a="1"/>
  <c r="C10" i="17" s="1"/>
  <c r="C6" i="17" a="1"/>
  <c r="C6" i="17" s="1"/>
  <c r="C2" i="17" a="1"/>
  <c r="C2" i="17" s="1"/>
  <c r="C9" i="17" a="1"/>
  <c r="C9" i="17" s="1"/>
  <c r="C3" i="17" a="1"/>
  <c r="C3" i="17" s="1"/>
  <c r="I20" i="4"/>
  <c r="H23" i="4"/>
  <c r="H20" i="4"/>
  <c r="J20" i="4"/>
  <c r="I23" i="4"/>
  <c r="J22" i="4"/>
  <c r="I22" i="4"/>
  <c r="H21" i="4"/>
  <c r="H22" i="4"/>
  <c r="I21" i="4"/>
  <c r="J23" i="4"/>
  <c r="J21" i="4"/>
  <c r="M34" i="4"/>
  <c r="L34" i="4"/>
  <c r="K34" i="4"/>
  <c r="F41" i="1"/>
  <c r="J41" i="1"/>
  <c r="F42" i="1"/>
  <c r="J42" i="1"/>
  <c r="J55" i="1" s="1"/>
  <c r="F43" i="1"/>
  <c r="J43" i="1"/>
  <c r="F44" i="1"/>
  <c r="J44" i="1"/>
  <c r="F45" i="1"/>
  <c r="J45" i="1"/>
  <c r="F46" i="1"/>
  <c r="J46" i="1"/>
  <c r="F47" i="1"/>
  <c r="J47" i="1"/>
  <c r="F48" i="1"/>
  <c r="J48" i="1"/>
  <c r="F49" i="1"/>
  <c r="J49" i="1"/>
  <c r="F50" i="1"/>
  <c r="J50" i="1"/>
  <c r="F51" i="1"/>
  <c r="J51" i="1"/>
  <c r="F52" i="1"/>
  <c r="J52" i="1"/>
  <c r="F53" i="1"/>
  <c r="J53" i="1"/>
  <c r="F54" i="1"/>
  <c r="J54" i="1"/>
  <c r="H55" i="1"/>
  <c r="I55" i="1"/>
  <c r="K55" i="1"/>
  <c r="L55" i="1"/>
  <c r="M55" i="1"/>
  <c r="N55" i="1"/>
  <c r="O55" i="1"/>
  <c r="P55" i="1"/>
  <c r="J34" i="4" l="1"/>
  <c r="I34" i="4"/>
  <c r="H34"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<sst xmlns="http://schemas.openxmlformats.org/spreadsheetml/2006/main" count="5459" uniqueCount="1459">
  <si>
    <t>PROJECT NAME</t>
  </si>
  <si>
    <t>NUMBER OF TEAM MEMBERS</t>
  </si>
  <si>
    <t>RISKS</t>
  </si>
  <si>
    <t>HIGH</t>
  </si>
  <si>
    <t>MEDIUM</t>
  </si>
  <si>
    <t>LOW</t>
  </si>
  <si>
    <t>OPEN</t>
  </si>
  <si>
    <t>ISSUES</t>
  </si>
  <si>
    <t>REVISIONS</t>
  </si>
  <si>
    <t>PENDING ACTIONS</t>
  </si>
  <si>
    <t>TIMELINE</t>
  </si>
  <si>
    <t>BEGIN</t>
  </si>
  <si>
    <t>FINISH</t>
  </si>
  <si>
    <t># of DAYS</t>
  </si>
  <si>
    <t>BUDGET</t>
  </si>
  <si>
    <t>PROJECTED</t>
  </si>
  <si>
    <t>ACTUAL</t>
  </si>
  <si>
    <t>REMAINDER</t>
  </si>
  <si>
    <t>Project A</t>
  </si>
  <si>
    <t>Project B</t>
  </si>
  <si>
    <t>Project C</t>
  </si>
  <si>
    <t>Project D</t>
  </si>
  <si>
    <t>Project E</t>
  </si>
  <si>
    <t>Project F</t>
  </si>
  <si>
    <t>Project G</t>
  </si>
  <si>
    <t>Project H</t>
  </si>
  <si>
    <t>Project J</t>
  </si>
  <si>
    <t>Project K</t>
  </si>
  <si>
    <t>Project L</t>
  </si>
  <si>
    <t>Project M</t>
  </si>
  <si>
    <t>Project N</t>
  </si>
  <si>
    <t>Project P</t>
  </si>
  <si>
    <t>CALENDAR</t>
  </si>
  <si>
    <t>PROJECT FINANCIALS</t>
  </si>
  <si>
    <t>DELIVERY TIMELINE &amp; RESOURCES</t>
  </si>
  <si>
    <t>RISK ANALYSIS</t>
  </si>
  <si>
    <t>OPEN &amp; PENDING ACTIONS</t>
  </si>
  <si>
    <t>PROJECT REPORT</t>
  </si>
  <si>
    <t>SCHEDULE</t>
  </si>
  <si>
    <t>RESOURCES</t>
  </si>
  <si>
    <t>COMMENTS</t>
  </si>
  <si>
    <t>CLICK HERE TO CREATE IN SMARTSHEET</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</si>
  <si>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</si>
  <si>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DASHBOARD DATA</t>
  </si>
  <si>
    <t xml:space="preserve">**Delete unused rows to correctly populate charts and graphs, above.  </t>
  </si>
  <si>
    <t xml:space="preserve">**Enter data in the table beginning on Row 41 </t>
  </si>
  <si>
    <t>Multiple Project Dashboard Tracking Template Example</t>
  </si>
  <si>
    <t>FRIM</t>
  </si>
  <si>
    <t>&lt;---</t>
  </si>
  <si>
    <t>Total</t>
  </si>
  <si>
    <t>Pending/InProgress</t>
  </si>
  <si>
    <t>Completed/Closed</t>
  </si>
  <si>
    <t>No</t>
  </si>
  <si>
    <t>Ticket No</t>
  </si>
  <si>
    <t>Task Type</t>
  </si>
  <si>
    <t>Project</t>
  </si>
  <si>
    <t>Company</t>
  </si>
  <si>
    <t>Ticket Title</t>
  </si>
  <si>
    <t>Ticket Detail</t>
  </si>
  <si>
    <t>Ticket Category</t>
  </si>
  <si>
    <t>Priority</t>
  </si>
  <si>
    <t>Ticket Created Date</t>
  </si>
  <si>
    <t>Ticket Completed Date</t>
  </si>
  <si>
    <t>Ticket Closed Date</t>
  </si>
  <si>
    <t>Ticket Status</t>
  </si>
  <si>
    <t>SLA Dateline</t>
  </si>
  <si>
    <t>SLA Late</t>
  </si>
  <si>
    <t>Days</t>
  </si>
  <si>
    <t>Ageing</t>
  </si>
  <si>
    <t>T/2026/00056</t>
  </si>
  <si>
    <t>Maintenance</t>
  </si>
  <si>
    <t>MYINVENTORY</t>
  </si>
  <si>
    <t>Inventory</t>
  </si>
  <si>
    <t>No Aduan: W2483 Name: NORULHUDA BT. ABAS Date: 05/01/2026 Desc: SALAM , ERROR DI PENGELUARAN ITEM SELESAI. MOHON SEMAKAN SEGERA.</t>
  </si>
  <si>
    <t>Issue</t>
  </si>
  <si>
    <t>Medium</t>
  </si>
  <si>
    <t>Closed</t>
  </si>
  <si>
    <t>Pending</t>
  </si>
  <si>
    <t>T/2026/00057</t>
  </si>
  <si>
    <t>No Aduan: W2484 Name: NORULHUDA BT. ABAS Date: 05/01/2026 Desc: SALAM , MOHON SEMAK "CARI REKOD PENGELUARAN ITEM" SENARAI PERMOHONAN DI RUANG "KELULUSAN KETUA PROJEK DAN "KELULUSAN PEGAWAI UPA" TERMASUK TAHUN TAHUN YANG LAMA (2016 2018 DLL) MOHON KEMASKINI .TQ</t>
  </si>
  <si>
    <t>InProgress</t>
  </si>
  <si>
    <t>T/2026/00058</t>
  </si>
  <si>
    <t>QUERY</t>
  </si>
  <si>
    <t>Query</t>
  </si>
  <si>
    <t>No Aduan: W2485 Name: NAJWA NAFIAH BINTI FAUZI Date: 06/01/2026 Desc: BANTUAN SEMAKAN BAGI LO SH22051 DAN SH24017 KERANA BERBAKI DEFISIT.</t>
  </si>
  <si>
    <t>Completed</t>
  </si>
  <si>
    <t>T/2026/00059</t>
  </si>
  <si>
    <t>MYPROCUREMENT</t>
  </si>
  <si>
    <t>Procurement</t>
  </si>
  <si>
    <t>No Aduan: W2487 Name: NUR SYAQIRAH BINTI MOHAMED FOZI Date: 06/01/2026 Desc: PEMOHON TIDAK DAPAT MELIHAT STATUS PERMOHONAN BAGI TAHUN 2026 PADA MENU STATUS PERMOHONAN</t>
  </si>
  <si>
    <t>T/2026/00060</t>
  </si>
  <si>
    <t>No Aduan: W2488 Name: NUR SYAQIRAH BINTI MOHAMED FOZI Date: 07/01/2026 Desc: PADA DEFINISI TEMPOH TUTUP RO MOHON UNTUK TUTUP JUGA SISTEM BAGI PELULUS DAN PENYOKONG VOT SEPERTIMANA TEMPOH YANG DITETAPKAN.</t>
  </si>
  <si>
    <t>T/2026/00061</t>
  </si>
  <si>
    <t>No Aduan: W2489 Name: NUR SYAQIRAH BINTI MOHAMED FOZI Date: 13/01/2026 Desc: PEMBEKAL TIDAK BOLEH UPLOAD DOKUMEN PADA PORTAL PENDAFTARAN PEMBEKAL</t>
  </si>
  <si>
    <t>1-30 Days</t>
  </si>
  <si>
    <t>30-60 Days</t>
  </si>
  <si>
    <t>&gt; 60 Days</t>
  </si>
  <si>
    <t>T/2026/00062</t>
  </si>
  <si>
    <t>No Aduan: W2491 Name: NORULHUDA BT. ABAS Date: 14/01/2026 Desc: SALAM, MOHON SEMAK DI KAD PETAK SEMUA ITEM. KERANA UPA MENDAPATI : BAKI AKHIR 2025 (BAKI DIPINDAHKAN KE HADAPAN) TIDAK SAMA DENGAN BAKI AWAL 2026 (BAKI DIBAWA KE HADAPAN). CTH : AFA 010 BAKI AKHIR 2025 (200) BAKI AWAL 2026 (210) ***SEPATUTNYA (200) INI CONTOH 1 ITEM YANG DITEMUI, BELUM SEMAK SEPENUHNYA ITEM LAIN YANG KEMUNGKINAN ADA PENEMUAN YANG SAMA.</t>
  </si>
  <si>
    <t>T/2026/00063</t>
  </si>
  <si>
    <t>No Aduan: W2492 Name: NORULHUDA BT. ABAS Date: 15/01/2026 Desc: SALAM DIDAPATI BAKI AKHIR 2025 DI KEW PS 14 TIDAK SAMA DENGAN BAKI AKHIR DI KAD PETAK. MOHON SEMAKAN SEGERA TQ</t>
  </si>
  <si>
    <t>T/2026/00064</t>
  </si>
  <si>
    <t>No Aduan: W2494 Name: NOR ANIZA BT. SUHUD Date: 19/01/2026 Desc: MOHON NAMA SAYA DIBERI NOTIFIKASI EMEL BAGI PERMOHONAN PENDAFTARAN SYARIKAT.</t>
  </si>
  <si>
    <t>T/2026/00065</t>
  </si>
  <si>
    <t>MYFINANCIAL CLIENT</t>
  </si>
  <si>
    <t>Proses pindahan baki GL</t>
  </si>
  <si>
    <t>No Aduan: W2496 Name: FATIN NUR AFIQA BINTI MAHAYUDIN Date: 20/01/2026 Desc: PROSES PINDAHAN BAKI AWAL TIDAK BERJAYA PADA 19/01/2025 &amp; 20/01/2025.</t>
  </si>
  <si>
    <t>T/2026/00066</t>
  </si>
  <si>
    <t>No Aduan: W2497 Name: NORULHUDA BT. ABAS Date: 23/01/2026 Desc: SALAM , ITEM TERSEBUT DI BAWAH , MOHON MASUKKAN DALAM KEW PS 14 (DIDAPATI ITEM2 NI TIADA TERMASUK SALAM KEWPS14) ALA 752 ALA 753 ALA 754 ALA 755 ALA 756 ALA 757 ALA 758 ALA 616 ALA 617 ALA 618 ALA 619 ALA 620 ALA 621 ALA 622 TK</t>
  </si>
  <si>
    <t>T/2026/00067</t>
  </si>
  <si>
    <t>MYFINANCIAL WEB</t>
  </si>
  <si>
    <t>AR inbois</t>
  </si>
  <si>
    <t>No Aduan: W2498 Name: NOR AFIZAH BT. ARSHAD Date: 28/01/2026 Desc: BIL P25/000497 (TARIKH 9/9/2025) TIDAK KELUAR UNTUK DI BUAT RESIT.</t>
  </si>
  <si>
    <t>T/2026/00068</t>
  </si>
  <si>
    <t>AR resit</t>
  </si>
  <si>
    <t>No Aduan: W2499 Name: HASRINA HASNOR BT. KAMARUZAMAN Date: 28/01/2026 Desc: MODUL RESIT (TAMBAH) TIDAK BERJAYA. MOHON SEMAKAN SEGERA BAGI TUJUAN PENGELUARAN RESIT.</t>
  </si>
  <si>
    <t>T/2026/00069</t>
  </si>
  <si>
    <t>No Aduan: W2500 Name: NURFAIEZAH BT. MAZERI Date: 28/01/2026 Desc: CUBA NAK TARIK BIL NO. P26/000043 (KELAB SKM WP KUALA LUMPUR), RESIT TIDAK KELUAR. CUBA BUAT CREATE TAMBAH, TETAPI PAPARAN MENUNJUKKAN TAMBAH TIDAK BERJAYA. SELEPAS KELUAR DAN MASUK SEMULA SISTEM, REKOD BIL TERSEBUT HILANG, DAN RESIT MASIH TIDAK DAPAT DIJANA. MOHON SEMAKAN DAN BANTU SELESAIKAN ISU INI DENGAN SEGERA.</t>
  </si>
  <si>
    <t>T/2026/00070</t>
  </si>
  <si>
    <t>No Aduan: W2501 Name: HASRINA HASNOR BT. KAMARUZAMAN Date: 29/01/2026 Desc: MOHON SEMAKAN, SEMASA TAMBAHAN RESIT (PILIHAN BIL) N26/000005 TIDAK KELUAR UNTUK DIPILIH BAYAR TETAPI DI MODUL BIL, BIL NI WUJUD. MOHON SEMAKAN SEGERA.</t>
  </si>
  <si>
    <t>T/2026/00071</t>
  </si>
  <si>
    <t>Pesanan Belian</t>
  </si>
  <si>
    <t>No Aduan: W2503 Name: NURUL AIN BINTI MOHD HADZIR Date: 29/01/2026 Desc: PESANAN BELIAN TIDAK BOLEH PRINT MELALUI MYFINANCIAL.</t>
  </si>
  <si>
    <t>T/2026/00072</t>
  </si>
  <si>
    <t>Resit</t>
  </si>
  <si>
    <t>No Aduan: W2504 Name: NURFAIEZAH BT. MAZERI Date: 03/02/2026 Desc: CH7260272 ATAS NAMA LAW SHI YUN TELAH DIKELUARKAN PADA 28.1.26. NAMUN PADA 30.1.26, DIDAPATI NO RESIT YG SAMA JUGA DIKELUARKAN ATAS NAMA UPM. RESIT LAW SHI YUN TELAH DIPOS, NAMUN RESIT UPM TIDAK BERJAYA POS KERANA NO RESIT TELAH WUJUD DALAM SISTEM. MOHON BANTUAN</t>
  </si>
  <si>
    <t>T/2026/00073</t>
  </si>
  <si>
    <t>No Aduan: W2505 Name: NOR AFIZAH BT. ARSHAD Date: 04/02/2026 Desc: MOHON SEMAKAN NO BIL (N26/000005). APABILA DIPANGGIL UNTUK BUAT RESIT TIDAK KELUAR. MOHON BANTUAN SEGERA KERANA SYARIKAT MEMERLUKAN RESIT.</t>
  </si>
  <si>
    <t>T/2026/00074</t>
  </si>
  <si>
    <t>No Aduan: W2506 Name: NOR AFIZAH BT. ARSHAD Date: 04/02/2026 Desc: MOHON SEMAKAN NO RESIT 7260116 &amp; 7260117. NO RESIT INI TELAH POS TETAPI ADA DI DALAM KATEGORI BELUM POS. MOHON SEMAKAN KERANA JIKA TINDAKAN POS DILAKUKAN DIA KELUAR RALAT "7260116 DAN 7260117" TELAH WUJUD DI RESIT POS"</t>
  </si>
  <si>
    <t>T/2026/00075</t>
  </si>
  <si>
    <t>No Aduan: W2508 Name: AZMEI B. MARZUKI Date: 05/02/2026 Desc: ASSALAM, SAYA TELAH BERI ID &amp; PWORD KEPADA SYKT LECO INSTRUMENT (M) SDN BHD. SELEPAS LOGIN, BUTANG UPLOAD TIDAK ADA DALAM SCREEN MAKLUMAT DOKUMEN. SO PIHAK SYARIKAT TIDAK BOLEH UPLOAD SIJIL2 SYARIKAT. TQ</t>
  </si>
  <si>
    <t>T/2026/00076</t>
  </si>
  <si>
    <t>No Aduan: W2509 Name: HASRINA HASNOR BT. KAMARUZAMAN Date: 06/02/2026 Desc: CETAKAN RESIT &amp; LAPORAN 7260182 - SETTING LARI</t>
  </si>
  <si>
    <t>T/2026/00077</t>
  </si>
  <si>
    <t>MYLOAN WEB</t>
  </si>
  <si>
    <t>Loan</t>
  </si>
  <si>
    <t>No Aduan: W2510 Name: SYARIFAH SYAHIRAH BT. SYED NAZIR Date: 09/02/2026 Desc: MOHON BANTUAN SEMAKAN SISTEM MYLOAN BAGI PINJAMAN KOMPUTER KERANA BERMULA TAHUN 2025 KADAR FAEDAH YANG DIKENAKAN BERJUMLAH 2%. SISTEM MYLOAN BAGI PINJAMAN KOMPUTER KINI KIRAAN MASIH 4%.</t>
  </si>
  <si>
    <t>T/2026/00078</t>
  </si>
  <si>
    <t>Perolehan</t>
  </si>
  <si>
    <t>No Aduan: W2511 Name: NAJWA NAFIAH BINTI FAUZI Date: 12/02/2026 Desc: MOHON BANTUAN SEMAKAN BAGI PEROLEHAN SEPERTI BERIKUT KERANA BERBAKI DEFISIT : 1- AG23017 (TK ELEVATOR MALAYSIA SDN BHD) RM-11.00 2- SHB23002(4/4) (AIRCARBONIC SDN BHD) RM-188.00 3- SHB24004(3)(ALPHA GAS SOLUTION SDN. BHD.) RM- 924.00 4- SH22051 (ABROTECH ENTERPRISE) RM-8,789.40 5- SH24017 (SINAR MESRA SERVICES SDN. BHD.) RM- 30,132.00</t>
  </si>
  <si>
    <t>T/2026/00079</t>
  </si>
  <si>
    <t>No Aduan: W2391 Name: NORULHUDA BT. ABAS Date: 21/02/2025 Desc: SALAM, MOHON BANTUAN UNTUK BETULKAN BAKI AWAL 2025 KERANA TIDAK SAMA DENGAN BAKI AKHIR 2024. SENARAI AKAN SAYA EMEL .TERIMA KASIH</t>
  </si>
  <si>
    <t>T/2026/00080</t>
  </si>
  <si>
    <t>No Aduan: W2393 Name: AHMAD FAREEZ BIN ZAINUDDIN Date: 25/02/2025 Desc: MOHON SEMAKAN DAN KEMASKINI PADA PAPARAN PEMBIAYAAN PERUMAHAN DALAM SISTEM MYLOAN. PIC TELAH BERTUKAR DARIPADA NORUL HASNI BT ABDUL RAZAK KEPADA MAZLYNA BT MD. NOR - EXT:7035.</t>
  </si>
  <si>
    <t>T/2026/00081</t>
  </si>
  <si>
    <t>No Aduan: W2397 Name: ZAINORASRI B. YAHYA Date: 03/03/2025 Desc: MODUL KONFIGURASI CAPAIAN PENGGUNA TIDAK BERJAYA. PENDAFTARAN PENGGUNA PUAN EMYLIA (NOGAJI=2013) SEBAGAIMANA PUAN HASRINA TIDAK BERJAYA DIBUAT MELALUI MODUL TERSEBUT. MOHON PENYELESAIAN SEGERA BAGI MEMBOLEHKAN CAPAIAN DIBERI.</t>
  </si>
  <si>
    <t>T/2026/00082</t>
  </si>
  <si>
    <t>W2523</t>
  </si>
  <si>
    <t>NOR AFIZAH BT. ARSHAD (TARIKH ADUAN : 06/03/2026) MOHON BANTUAN UNTUK MELIHAT DAFTAR BIL INI KERANA APABILA PANGGIL UNTUK BUAT BAUCER TAK KELUAR. 2600684, 2600685, 2600686, 2600687. MOHON BANTUAN SEGERA</t>
  </si>
  <si>
    <t>T/2026/00083</t>
  </si>
  <si>
    <t>RESIT</t>
  </si>
  <si>
    <t>NO ADUAN: W2522 TARIKH : 04/03/2026 NAMA : NAJWA NAFIAH BINTI FAUZI MOHON SEMAKAN BAGI NO SLIP 017426012026079 KERANA TELAH TAMBAH TETAPI TERSILAP TULIS TAHUN DEKAT TARIKH. RESIT NOMBOR 7260217 DAN TAMBAH TIDAK BERJAYA. BILA NAK BUAT SEMULA KELUAR ALERT (NO RESIT TIDAK WUJUD ATAU TELAH DIBUAT BANK SLIP).</t>
  </si>
  <si>
    <t>T/2026/00084</t>
  </si>
  <si>
    <t>TRIAL BALANCE</t>
  </si>
  <si>
    <t>NO ADUAN : W2512 TARIKH : 16/02/2026 NAMA : FATIN NUR AFIQA BINTI MAHAYUDIN MOHON BANTUAN SEGERA. JUMLAH TRIAL BALANCE JANUARI 2026 TIDAK SEIMBANG (RUJUK LAMPIRAN).</t>
  </si>
  <si>
    <t>T/2026/00085</t>
  </si>
  <si>
    <t>PESANAN BELIAN</t>
  </si>
  <si>
    <t>NO ADUAN : W2513 TARIKH : 16/02/2026 NAMA : NOR AFIZAH BT. ARSHAD MOHON BANTUAN KERANA NO SH20054 (FMME SERVICES) TIDAK KELUAR KETIKA HENDAK MEMBUAT DAFTAR BIL (INVOICE). SH INI TERDAPAT LAGI BAKI SEBANYAK RM4,500 UNTUK DIBUAT BAUCER. MOHON TINDAKAN SEGERA.</t>
  </si>
  <si>
    <t>T/2026/00086</t>
  </si>
  <si>
    <t>DAFTAR BIL</t>
  </si>
  <si>
    <t>NO ADUAN : W2515 TARIKH : 20/02/2026 NAMA : NOR AFIZAH BT. ARSHAD NO BIL TIDAK TERTERA UNTUK DIBUAT RESIT MOHON BANTUAN UNTUK SEMAKAN KEATAS BIL N24/000462. INI KERANA BIL INI TIDAK KELUAR APABILA DIPANGGIL UNTUK DIBUAT RESIT.</t>
  </si>
  <si>
    <t>T/2026/00087</t>
  </si>
  <si>
    <t>VIRTUAL ACCOUNT</t>
  </si>
  <si>
    <t>NO ADUAN : W2516 TARIKH : 23/02/2026 NAMA : HASRINA HASNOR BT. KAMARUZAMAN UNTUK MAKLUMAN, FRIM AKAN MENGGUNAKAN VIRTUAL ACCOUNT (VA) DARIPADA CIMB BANK, DI MANA NOMBOR AKAUN ADALAH UNIK BAGI SETIAP BAHAGIAN/MAKMAL BAGI MEMUDAHKAN PENGECAMAN TERIMAAN. OLEH ITU, MOHON BANTUAN UNTUK KEMASKINI PILIHAN NOMBOR BANK DALAM INVOICE TERSEBUT.</t>
  </si>
  <si>
    <t>T/2026/00088</t>
  </si>
  <si>
    <t>PERMOHONAN PINJAMAN KENDERAAN</t>
  </si>
  <si>
    <t>NO ADUAN : W2517 TARIKH : 24/02/2026 NAMA : HASRINA HASNOR BT. KAMARUZAMAN MOHON SEMAKAN PINJAMAN KENDERAAN NOR MARZUINA KERANA PINJAMAN INI TELAH HABIS PADA FEB 2017 MELALUI POTONGAN GAJI. PERMOHONAN BARU TIDAK DAPAT DIBUAT KERANA STATUS TERDAPAT PINJAMAN KENDERAAN.</t>
  </si>
  <si>
    <t>T/2026/00089</t>
  </si>
  <si>
    <t>EMEL NOTIFIKASI</t>
  </si>
  <si>
    <t>W2518 24/02/2026 NORULHUDA BT. ABAS SALAM DIDAPATI PEMOHON YANG MEMBUAT PERMOHONAN STOR AKAN MENERIMA 2 KALI EMEL NOTIFIKASI KELULUSAN . DISERTAKAN LAMPIRAN UNTUK TINDAKAN.</t>
  </si>
  <si>
    <t>T/2026/00090</t>
  </si>
  <si>
    <t>W2519 24/02/2026 NURUL AIN BINTI MOHD HADZIR NOMBOR PESANAN BELIAN TIDAK BOLEH KEY IN DAN PRINT ERROR.</t>
  </si>
  <si>
    <t>T/2026/00091</t>
  </si>
  <si>
    <t>PERMOHONAN PINJAMAN</t>
  </si>
  <si>
    <t>W2520 26/02/2026 NOR AFIZAH BT. ARSHAD BAKI HUTANG MASIH TERTERA WALAUPUN TELAH HABIS BAYAR MOHON BANTUAN KERANA PEGAWAI INI (NO GAJI: 2367 - MOHAMAD IZWAN BIN JAIMI) TELAH HABIS BAYAR NAMUN BAKI MASIH TERTERA MENYEBABKAN KAKITANGAN INI TIDAK DAPAT MEMBUAT PERMOHONAN PINJAMAN.</t>
  </si>
  <si>
    <t>T/2026/00092</t>
  </si>
  <si>
    <t>PERTUKARAN EMEL</t>
  </si>
  <si>
    <t>W2521 27/02/2026 NUR SYAQIRAH BINTI MOHAMED FOZI MOHON UNTUK TUKAR ALAMAT EMEL DI BAWAH: TO: SYAQIRAH@FRIM.GOV.MY CC: NURAZANI@FRIM.GOV.MY NORANIZA@FRIM.GOV.MY</t>
  </si>
  <si>
    <t>T/2026/00093</t>
  </si>
  <si>
    <t>JUMLAH BAYARAN DALAM MYQUERY</t>
  </si>
  <si>
    <t>W2315 06/03/2024 NORFAZIRA BINTI MUHAMAD PAUZI LO RFQ19011 - DI SISTEM MYQUERY TERDAPAT LEBIHAN BAYARAN SEBANYAK (RM3,791.30) TETAPI DI SISTEM MYFINANCIAL DAN REKOD BAYARAN ADALAH TIDAK MELEBIHI BAYARAN.</t>
  </si>
  <si>
    <t>T/2026/00095</t>
  </si>
  <si>
    <t>URUSNIAGA PPS</t>
  </si>
  <si>
    <t>ITEM JENIS BUKU</t>
  </si>
  <si>
    <t>W2357 03/09/2024 NURFAIEZAH BT. MAZERI KEY IN PEMBELIAN ITEM JENIS BUKU TIDAK BOLEH DILAKUKAN DALAM SISTEM MYURUSNIAGA, SEMAKAN DALAM MYINVENTORY DIDAPATI ITEM MASIH AKTIF. MOHON BANTUAN BERKENAAN BARANGAN JENIS BUKU (KOD BUKU BERMULA BKBK)</t>
  </si>
  <si>
    <t>T/2026/00096</t>
  </si>
  <si>
    <t>DOUBLE PENGIRAAN</t>
  </si>
  <si>
    <t>W2365 17/10/2024 AHMAD FAREEZ BIN ZAINUDDIN SEMAKAN MENDAPATI NOMBOR VOT 24011501001 BULAN OGOS 2024 PADA LAPORAN PENYATA KEWANGAN MYQUERY. STATUS KOMITMEN MENUJUKKAN MASIH BELUM DIBAYAR,SEDANGKAN BAYARAN TELAH DIBUAT PADA BULAN OGOS 2024 DAN IANYA TELAH DIREKODKAN DIPERBELANJAAN. INI MENJADIKAN DOBULE COUNTING LO TERSEBUT PADA BULAN OGOS 2024 MENYEBABKAN BAKI AKHIR SELEPAS KOMITMEN TIDAK BETUL. MOHON KESELURUHAN SEMAKAN DIBUAT . CONTOH LO ADALAH SH24008 DALAM VOT TERSEBUT.</t>
  </si>
  <si>
    <t>T/2026/00097</t>
  </si>
  <si>
    <t>CETAKAN BAUCAR</t>
  </si>
  <si>
    <t>W2367 24/10/2024 SITI SANISAH BT. KAMSAH CETAKAN PADA BAUCER TIDAK DIDALAM RUANGAN YANG TERSEDIA (MULAI PERKATAAN RINGGIT, KOD AKAUN DAN JUMLAH)</t>
  </si>
  <si>
    <t>T/2026/00098</t>
  </si>
  <si>
    <t>CATATAN PERMOHONAN</t>
  </si>
  <si>
    <t>W2400 12/03/2025 NORULHUDA BT. ABAS MEMOHON UNTUK MEMASUKKAN RUANG CATATAN KETIKA PEGAWAI UPA MEMBATALKAN PERMOHONAN PEMOHON.</t>
  </si>
  <si>
    <t>T/2026/00099</t>
  </si>
  <si>
    <t>ITEM URUSNIAGA</t>
  </si>
  <si>
    <t>W2401 24/03/2025 NURFAIEZAH BT. MAZERI MOHON PENAMBAIKAN UNTUK ADD ITEM DI MYURUSNIAGA</t>
  </si>
  <si>
    <t>T/2026/00100</t>
  </si>
  <si>
    <t>MYASSET</t>
  </si>
  <si>
    <t>MAKLUMAT NOMBOR ASET</t>
  </si>
  <si>
    <t>W2411 26/05/2025 ZAINORASRI B. YAHYA MAKLUMAT NO. ASET DIDALAM EMAIL MAKLUMAN SERAHAN ASET TIDAK SAMA DENGAN ASET SEBENAR YANG DISERAHKAN. CONTOH SERAHAN ASET NO. 005053 TETAPI KELUAR NO 005705 DIDALAM EMAIL.</t>
  </si>
  <si>
    <t>T/2026/00101</t>
  </si>
  <si>
    <t>PELAPORAN</t>
  </si>
  <si>
    <t>W2444 19/10/2025 FATIN NUR AFIQA BINTI MAHAYUDIN MASALAH YANG DIHADAPI ADALAH IMBANGAN DUGA, PENYATA UNTUNG RUGI DAN KUNCI KIRA- KIRA YANG TIDAK DAPAT DIJANA. MOHON BANTUAN PIHAK TUAN UNTUK MENYEMAK DAN MEMBANTU MENYELESAIKAN PERKARA INI.</t>
  </si>
  <si>
    <t>T/2026/00102</t>
  </si>
  <si>
    <t>MODUL PERBELANJAAN IKUT PUSAT KOS</t>
  </si>
  <si>
    <t>W2449 28/10/2025 NAJWA NAFIAH BINTI FAUZI MOHON SEMAKAN MODUL PERBELANJAAN IKUT PUSAT KOS DI MYQUERY TIDAK BOLEH DIAKSES. LAPORAN PERUNTUKAN DAN PERBELANJAAN MENGIKUT PUSAT KOS TIDAK KELUAR. SEBELUM NI BOLEH AKSES UNTUK DAPAT KAN LAPORAN. MODUL INI PERLU UNTUK PENYEDIAAN PELAPORAN KEWANGAN PROJEK. CONTOH REPORT SEPERTI LAMPIRAN.</t>
  </si>
  <si>
    <t>T/2026/00103</t>
  </si>
  <si>
    <t>NOTA 01 - LAPORAN PENYATA PENYESUAIAN BANK</t>
  </si>
  <si>
    <t>W2453 04/11/2025 NAJWA NAFIAH BINTI FAUZI MOHON SEMAKAN BAGI MODUL PENGELUARAN TUNAI - PENYATA PENYESUAIAN BANK - STATUS TUNAI MASUK - SENARAI CEK BELUM DIKREDITKAN. SEMAKAN MENDAPATI SENARAI CEK BELUM DIKREDITKAN TIDAK SAMA DENGAN CEK-CEK BELUM DIKREDITKAN (NOTA 01) DI DALAM LAPORAN PENYATA PENYESUAIAN BANK.</t>
  </si>
  <si>
    <t>T/2026/00104</t>
  </si>
  <si>
    <t>MODUL KEMASKINI ASET</t>
  </si>
  <si>
    <t>W2457 10/11/2025 ZAINORASRI B. YAHYA MODUL KEMASKINI ASET BAGI MEMASUKKAN GAMBAR TIDAK BOLEH DIBUAT.</t>
  </si>
  <si>
    <t>T/2026/00105</t>
  </si>
  <si>
    <t>MELULUSKAN PENDAFTARAN PEMBEKAL</t>
  </si>
  <si>
    <t>W2460 13/11/2025 NUR SYAQIRAH BINTI MOHAMED FOZI MASALAH UNTUK MELULUSKAN PENDAFTARAN PEMBEKAL. 7/11/2025 PEMAKLUMAN KEPADA EN ILHAM BERKAITAN PERKARA BERIKUT. MOHON ISU INI DAPAT DISELESAIKAN SEGERA MEMANDANGKAN PEROLEHAN INI MELIBATKAN PROSES PEROLEHAN DAN PROSES TANGGUNGAN.</t>
  </si>
  <si>
    <t>T/2026/00106</t>
  </si>
  <si>
    <t>MODUL KONFIGURASI CAPAIAN PENGGUNA</t>
  </si>
  <si>
    <t>W2463 28/11/2025 EMYLIA BINTI AYOUB MODUL KONFIGURASI CAPAIAN PENGGUNA, ADMIN TELAH MEMBUAT PENDAFTARAN BARU UNTUK 3 ORANG PEGAWAI IAITU: 1. MUHAMMAD AMMAR BIN ZAMIR [3488] 2. WAN NORFAUZAINI BIN WAN ANOWAR [3722] 3. MUHAMMAD ZUL AIMAN BIN ATAN [3746] WALAUBAGAIMANA PUN, KONFIGURASI CAPAIAN UNTUK PEGAWAI BERKENAAN TIDAK BERJAYA DILAKUKAN. MOHON UNTUK DIBUAT SEMAKAN.</t>
  </si>
  <si>
    <t>T/2026/00107</t>
  </si>
  <si>
    <t>W2468 03/12/2025 NURFAIEZAH BT. MAZERI UNTUK MAKLUMAN, TERDAPAT NOMBOR RESIT CH7251519 TELAH DIKELUARKAN PADA 28.11.25 ATAS NAMA SOH MAY YEE. NAMUN PADA 2.12.25 NOMBOR RESIT SAMA CH7251519 ATAS NAMA JABATAN KESELAMATAN &amp; KESIHATAN PEKERJA (JKKP).</t>
  </si>
  <si>
    <t>T/2026/00108</t>
  </si>
  <si>
    <t>KOD BIDANG</t>
  </si>
  <si>
    <t>W2470 04/12/2025 AZMEI B. MARZUKI DARI LUAR SYARIKAT TAK BOLEH MASUKKAN KOD BIDANG. KELUAR ERROR. TAPI SAYA BUAT DI PC SAYA BOLEH KEYIN KOD BIDANG TIADA MASALAH.</t>
  </si>
  <si>
    <t>T/2026/00109</t>
  </si>
  <si>
    <t>PENAMBAHAN NAMA ADMIN</t>
  </si>
  <si>
    <t>W2473 16/12/2025 HASRINA HASNOR BT. KAMARUZAMAN MOHON TAMBAH NAMA NOR AFIZAH BINTI ARSHAD SEBAGAI ADMIN UNTUK SISTEM MYLOAN</t>
  </si>
  <si>
    <t>T/2026/00110</t>
  </si>
  <si>
    <t>SUB MODUL SEMAKAN PERMOHONAN</t>
  </si>
  <si>
    <t>W2474 16/12/2025 HASRINA HASNOR BT. KAMARUZAMAN MOHON SEMAKAN SUB MODUL SEMAKAN PERMOHONAN KERANA TIADA PAPARAN STATUS PERMOHONAN KAKITANGAN YANG DITUNJUKKAN.</t>
  </si>
  <si>
    <t>T/2026/00111</t>
  </si>
  <si>
    <t>MAKLUMAT PENJAMIN KEDUA</t>
  </si>
  <si>
    <t>W2476 17/12/2025 HASRINA HASNOR BT. KAMARUZAMAN MOHON SEMAKAN KENAPA MAKLUMAT PENJAMIN KEDUA TIDAK KELUAR DAN DIPAPARKAN DIDALAM BORANG PERMOHONAN.</t>
  </si>
  <si>
    <t>T/2026/00112</t>
  </si>
  <si>
    <t>TIADA BUTANG UPLOAD</t>
  </si>
  <si>
    <t>W2477 17/12/2025 AZMEI B. MARZUKI AZTEC SINAR SDN BHD MENGADU. MASALAH TIADA BUTANG UPLOAD SELEPAS KAMI BERI ID &amp; PWORD. SO SYARIKAT TIDAK DAPAT BUAT RENEWAL DI DALAM SISTEM. MOHON TINDAKAN SEGERA SEBAB PROSES PEMBELIAN SEBUTHARGA TERGENDALA.</t>
  </si>
  <si>
    <t>T/2026/00113</t>
  </si>
  <si>
    <t>MYFINANCIAL</t>
  </si>
  <si>
    <t>W2478 23/12/2025 FATIN NUR AFIQA BINTI MAHAYUDIN Mohon bantuan. Akaun belum bayar &gt; pesanan belian. data tidak dapat disimpan.</t>
  </si>
  <si>
    <t>T/2026/00114</t>
  </si>
  <si>
    <t>AKSES POSTING GAJI</t>
  </si>
  <si>
    <t>W2479 23/12/2025 FATIN NUR AFIQA BINTI MAHAYUDIN MOHON BANTUAN UNTUK MEMBERIKAN AKSES KEPADA FATIN NUR AFIQA UNTUK POSTING GAJI KE MYFINANCIAL.</t>
  </si>
  <si>
    <t>T/2026/00115</t>
  </si>
  <si>
    <t>ADUAN 2021 (CREATE SEMULA 2025)</t>
  </si>
  <si>
    <t>W2480 29/12/2025 NOR AFIZAH BT. ARSHAD file batch dijana hanya dalam bentuk text document sedangkan mengikut keperluan perlu ada gpg file bagi tujuan upload dalam sistem cimb-bizchannel. perkara ini berlaku pada 8.6.2021 (frimeft210604227) sehingga kini dan maklumbalas terkini oleh En. Helmi pada Mesyuarat Petugas SAGA pada 23.12.2025 akan diselesaikan segera.</t>
  </si>
  <si>
    <t>T/2026/00116</t>
  </si>
  <si>
    <t>AKESE MYLOAN</t>
  </si>
  <si>
    <t>W2481 30/12/2025 NOR AFIZAH BT. ARSHAD SISTEM MYLOAN TIDAK DAPAT DICAPAI (ACCESS)</t>
  </si>
  <si>
    <t>T/2026/00117</t>
  </si>
  <si>
    <t>NOTIFIKASI EMEL</t>
  </si>
  <si>
    <t>W2482 30/12/2025 NOR AFIZAH BT. ARSHAD SEMAKAN KE ATAS NOTIFIKASI EMAIL BERKAITAN PERMOHONAN</t>
  </si>
  <si>
    <t>T/2026/00118</t>
  </si>
  <si>
    <t>W2524 10/03/2026 SYARIFAH SYAHIRAH BT. SYED NAZIR MOHON BANTUAN KEMASKINI DI SISTEM MYLOAN KERANA TERDAPAT KAKITANGAN YANG INGIN MEMBUAT PERMOHONAN BARU PINJAMAN TIDAK BOLEH MEMOHON KERANA PERMOHONAN LAMA MASIH ADA DI SISTEM MYLOAN.</t>
  </si>
  <si>
    <t>T/2026/00122</t>
  </si>
  <si>
    <t>PERMOHONAN BARU PEROLEHAN</t>
  </si>
  <si>
    <t>W2525 12/03/2026 NURUL AIN BINTI MOHD HADZIR Sistem kebenaran perolehan bagi permohonan baru. Terdapat masalah sistem di Konfigurasi capaian.</t>
  </si>
  <si>
    <t>T/2026/00125</t>
  </si>
  <si>
    <t>JURNAL SAMA</t>
  </si>
  <si>
    <t>W2526 13/03/2026 FATIN NUR AFIQA BINTI MAHAYUDIN TERDAPAT DUA (2) JURNAL YANG SAMA, IAITU CH202507001 (BAHAGIAN BELUM POS DAN TELAH POS). MOHON UNTUK HAPUS JURNAL INI DI BAHAGIAN BELUM POS DAN KEKALKAN YANG BAHAGIAN TELAH POS.</t>
  </si>
  <si>
    <t>T/2026/00133</t>
  </si>
  <si>
    <t>PENGESAHAN PENJAMIN</t>
  </si>
  <si>
    <t>W2527 13/03/2026 HASRINA HASNOR BT. KAMARUZAMAN PENJAMIN MOHD SOFFIAN BIN MOHD ALI TIDAK BOLEH BUAT PENGESAHAM PINJAMAN NOORDIN</t>
  </si>
  <si>
    <t>T/2026/00136</t>
  </si>
  <si>
    <t>RESIT BERULANG</t>
  </si>
  <si>
    <t>W2528 17/03/2026 HASRINA HASNOR BT. KAMARUZAMAN MOHON SEMAKAN NO.RESIT BERULANG 7260384 BERTARIKH 27.02.2026</t>
  </si>
  <si>
    <t>T/2026/00137</t>
  </si>
  <si>
    <t>KOD 62510</t>
  </si>
  <si>
    <t>W2529 17 March 2026 AZROL BIN KAMARUDDIN BAKI AKHIR DISEMBER 2025 KOD PELARASAN GAJI 62510 TIDAK SAMA DENGAN BAKI AWAL JANUARI 2026</t>
  </si>
  <si>
    <t>T/2026/00139</t>
  </si>
  <si>
    <t>SERVER ERROR</t>
  </si>
  <si>
    <t>W2530 18 March 2026 FATIN NUR AFIQA BINTI MAHAYUDIN server error myquery kakitangan bernama mohd fahmi bin awalludin (dr.). sila rujuk lampiran</t>
  </si>
  <si>
    <t>T/2026/00240</t>
  </si>
  <si>
    <t>W2531</t>
  </si>
  <si>
    <t>mohon semakan kenapa azlina ahmad(2148) buat serahan aset kepada salasiah mohd zain(3493) tetapi serahan tersebut pergi kepada staf lain iaitu roszaini abdul kadir(1728). antara cth aset ialah 27101-02465 &amp; 16- 000802</t>
  </si>
  <si>
    <t>T/2026/00242</t>
  </si>
  <si>
    <t>Pendaftaran user Myasset</t>
  </si>
  <si>
    <t>W2532 6.4.2026 Sailesuze mohon semak kenapa pendaftaran staf baru iaitu: 1) nornadjuwa bt hamid(3863) telah daftar sebagai pengguna baru myasset tetapi beliau masih belum boleh access myasset. tq</t>
  </si>
  <si>
    <t>T/2026/00255</t>
  </si>
  <si>
    <t>pembekal tidak boleh kemaskini rekod</t>
  </si>
  <si>
    <t>W2534 8.4.2026 NUR SYAQIRAH BINTI MOHAMED FOZI masalah berkaitan sistem portal pembekal frim: - pembekal tidak boleh masukkan kod bidang (bagi semua syarikat yang ingin berdaftar) - pembekal tidak boleh kemaskini rekod walaupun butang kemaskini ditekan tidak dapat kepada perolehan untuk semakan dan button upload dokumen tidak disimpan. (syarikat: quantum maker sdn. bhd. ( 1151857-k ))</t>
  </si>
  <si>
    <t>T/2026/00256</t>
  </si>
  <si>
    <t>Daftar bil</t>
  </si>
  <si>
    <t>W2535 8.4.2026 NOR AFIZAH BT. ARSHAD mohon bantuan untuk melihat daftar bil 2600995. ini kerana apabila panggil untuk dibuat semakan tiada dan dalam senarai belum pos juga tiada.</t>
  </si>
  <si>
    <t>T/2026/00257</t>
  </si>
  <si>
    <t>PINDAHAN BAKI AWAL 2026</t>
  </si>
  <si>
    <t>W2536 08 April 2026 FATIN NUR AFIQA BINTI MAHAYUDIN mohon bantuan. baki awal 2026 dan baki akhir 2025 tidak sama selepas melaksanakan pindahan baki awal.</t>
  </si>
  <si>
    <t>T/2026/00264</t>
  </si>
  <si>
    <t>Permohonan Myloan</t>
  </si>
  <si>
    <t>W2537 13 April 2026 HASRINA HASNOR BT. KAMARUZAMAN mohon semakan pegawai mohamad shahril bin ahmad (no gaji 3583). ini kerana pegawai tidak boleh memohon permohonan pinjaman di dalam sistem myloan.</t>
  </si>
  <si>
    <t>T/2026/00268</t>
  </si>
  <si>
    <t>borang pembiayaan dan perjanjian</t>
  </si>
  <si>
    <t>W2538 14 April 2026 HASRINA HASNOR BT. KAMARUZAMAN mohon semakan terdapat error semasa cetakan borang pembiayaan dan perjanjian. nama mohamad izwan bin jaimi (no.gaji : 2367)</t>
  </si>
  <si>
    <t>T/2026/00271</t>
  </si>
  <si>
    <t>baucer no tnt260141</t>
  </si>
  <si>
    <t>W2539 14 April 2026 NOR AFIZAH BT. ARSHAD mohon bantuan untuk mewujudkan kembali baucer no tnt260141 yang telah dibuat pembayaran. kerana tidak dapat dikesan didalam sistem. tetapi ada sekiranya di lihat di bahagian pertanyaan bayaran namun tiada no cek dan tarikh pembayaran.</t>
  </si>
  <si>
    <t>T/2026/00285</t>
  </si>
  <si>
    <t>Baki 63104 tidak sama</t>
  </si>
  <si>
    <t>W2540 16 April 2026 NAJWA NAFIAH BINTI FAUZI mohon semakan baki awal 2026 penyata penghutang pendahuluan diri pelbagai 63104 tidak sama baki akhir tahun 2025.</t>
  </si>
  <si>
    <t>T/2026/00286</t>
  </si>
  <si>
    <t>semakan resit f26000015 &amp; f26000017</t>
  </si>
  <si>
    <t>W2541 16 April 2026 HASRINA HASNOR BT. KAMARUZAMAN mohon semakan resit f26000015 &amp; f26000017 kerana bil tidak keluar dipaparan utk "tick" dibayar.</t>
  </si>
  <si>
    <t>T/2026/00302</t>
  </si>
  <si>
    <t>63101 baki akhir 2025 tidak sama baki awal 2026</t>
  </si>
  <si>
    <t>W2542 20 April 2026 NAJWA NAFIAH BINTI FAUZI mohon semakan penyata penghutang pendahuluan diri kakitangan 63101 baki akhir 2025 tidak sama baki awal 2026. senarai nama kakitangan yang diwarnakan kuning.</t>
  </si>
  <si>
    <t>T/2026/00305</t>
  </si>
  <si>
    <t>W2543 22 April 2026 NOR AFIZAH BT. ARSHAD MOHON BANTUAN UNTUK SEMAKAN KE ATAS RESIT F26000394. INI KERANA BIL (UF26/000394) TIADA TERTERA DI SCREEN.</t>
  </si>
  <si>
    <t>T/2026/00306</t>
  </si>
  <si>
    <t>BATCH</t>
  </si>
  <si>
    <t>W2544 23 April 2026 NOR AFIZAH BT. ARSHAD MOHON BANTUAN. APABILA BUAT BATCH TIDAK BERJAYA. SERVER ERROR.</t>
  </si>
  <si>
    <t>T/2026/00311</t>
  </si>
  <si>
    <t>BAKI LEJAR 65101</t>
  </si>
  <si>
    <t>W2547 28 April 2026 NAJWA NAFIAH BINTI FAUZI mohon semakan dan tindakan baki lejar bank kod 65101. baki akhir bulan januari 2026 tak sama baki awal bulan februari 2026</t>
  </si>
  <si>
    <t>T/2026/00312</t>
  </si>
  <si>
    <t>Y2500018 telah pos mohon hapus di tab belum pos</t>
  </si>
  <si>
    <t>W2545 23 April 2026 NUR SYAQIRAH BINTI MOHAMED FOZI Y2500018 telah pos mohon hapus di tab belum pos</t>
  </si>
  <si>
    <t>T/2026/00313</t>
  </si>
  <si>
    <t>BAUCAR</t>
  </si>
  <si>
    <t>W2548 28 April 2026 NOR AFIZAH BT. ARSHAD mohon semakan bagi baucar per2600678. status baucar dah pos. tarikh cek dan no cek tak update dekat baucar dan baucar tersebut tiada dalam senarai lejar kod bank 65101.</t>
  </si>
  <si>
    <t>T/2026/00314</t>
  </si>
  <si>
    <t>Pengaktifan modul konfigurasi capaian pengguna MyAsset</t>
  </si>
  <si>
    <t>W2546 27 April 2026 EMYLIA BINTI AYOUB modul konfigurasi capaian pengguna, admin telah membuat pendaftaran baru untuk 2 orang pegawai iaitu: 1. dr mohd faridzuan bin majid [3874] 2. noor amira binti mohd kasim (3858). semakan mendapati paparan capaian modul sistem pegawai berkenaan berjaya dilakukan oleh admin tetapi apabila pegawai cuba untuk melayari portal myasset notifikasi "server error in'/myasset' application" terpapar. mohon untuk dibuat semakan.</t>
  </si>
  <si>
    <t>T/2026/00315</t>
  </si>
  <si>
    <t>PENYATA PENYESUAIAN BANK</t>
  </si>
  <si>
    <t>W2539 14 April 2026 NOR AFIZAH BT. ARSHAD Dalam modul penyata penyesuaian bank, baucar TNT260141 telah match dan tick. Tetapi semakan atas baucar itu sendiri, tiada tick di bahagian tunai. Mohon tindakan.</t>
  </si>
  <si>
    <t>T/2026/00316</t>
  </si>
  <si>
    <t>status permohonan pengeluaran item (26-04031) masuk ke email saya</t>
  </si>
  <si>
    <t>W2533 08 April 2026 NURFAIEZAH BT. MAZERI mohon bantuan untuk email seperti ini myinventory: status permohonan pengeluaran item (26-04031) masuk ke email saya. untuk makluman, saya juga menjawab email enquiry dan feedback yang mencapai lebih dari 100 email.</t>
  </si>
  <si>
    <t>T/2026/00327</t>
  </si>
  <si>
    <t>modul permohonan pelupusan aset</t>
  </si>
  <si>
    <t>W2549 28 April 2026 EMYLIA BINTI AYOUB modul permohonan pelupusan aset - paparan 'servor error in "/myasset" aplication' terpapar apabila klik butang kemaskini (aduan daripada siti zaleha bt. abd. goni).</t>
  </si>
  <si>
    <t>T/2026/00328</t>
  </si>
  <si>
    <t>label aset tidak boleh di print</t>
  </si>
  <si>
    <t>W2550 29 April 2026 SAILESUZE BT. MOHD SALIM mohon semak kenapa label aset tidak boleh di print. ada keluar paparan "access to the path 'c:\inetpub\wwwroot\myasset\laporan_myasset\2da2wn x35eig0k1ko0aqea4p.pdf' is denied sama juga dengan penyata laporan ikut kategori, ikut penempatan,ikut dana, ikut kakitangan dan senarai aset juga tidak boleh di print</t>
  </si>
  <si>
    <t>T/2026/00330</t>
  </si>
  <si>
    <t>TIADA BIL SEMASA MEMBUAT RESIT</t>
  </si>
  <si>
    <t>W2552 08 May 2026 FATIN NUR AFIQA BINTI MAHAYUDIN mohon bantuan. bil cn25/000541 tidak dipaparkan semasa membuat resit.</t>
  </si>
  <si>
    <t>T/2026/00336</t>
  </si>
  <si>
    <t>Pendaftaran Syarikat</t>
  </si>
  <si>
    <t>W2553 12 May 2026 NUR SYAQIRAH BINTI MOHAMED FOZI adunet w2534 adalah dirujuk syarikat: a&amp;e global wealth enterprise id: sa0258941d telah buat kemaskini di dalam sistem portal pembekal namun tidak dapat disemak oleh perolehan status: dalam proses mohon bantu kadar segera memandangkan ia berkait dengan proses perolehan</t>
  </si>
  <si>
    <t>T/2026/00353</t>
  </si>
  <si>
    <t>syarikat juga tidak dapat upload dokumen</t>
  </si>
  <si>
    <t>W2554 15 May 2026 NUR SYAQIRAH BINTI MOHAMED FOZI emel 15/5/2026 adalah dirujuk dan aduan w2534 (no tiket: t/2026/00255) syarikat sri comm travel services sdn bhd tidak dapat kemaskini maklumat. syarikat juga tidak dapat upload dokumen. mohon bantuan segera.</t>
  </si>
  <si>
    <t>T/2026/00362</t>
  </si>
  <si>
    <t>SEMAKAN PENDAFTARAN ONLINE</t>
  </si>
  <si>
    <t>W2555 18 May 2026 NUR SYAQIRAH BINTI MOHAMED FOZI kemaskini pendaftaran online tidak boleh semak dokumen pembekal tadom bamboo training sdn bhd id: 817212m</t>
  </si>
  <si>
    <t>T/2026/00363</t>
  </si>
  <si>
    <t>FORMAT LAPORAN DOCUMENT DETAILS FORMAT 2</t>
  </si>
  <si>
    <t>W2556 20 May 2026 FATIN NUR AFIQA BINTI MAHAYUDIN format laporan document details format 2 tidak selari. sila rujuk lampiran</t>
  </si>
  <si>
    <t>1-30 DAYS</t>
  </si>
  <si>
    <t>31-60 DAYS</t>
  </si>
  <si>
    <t>&gt; 60 DAYS</t>
  </si>
  <si>
    <t>TOTAL TICKETS</t>
  </si>
  <si>
    <t>PENDING</t>
  </si>
  <si>
    <t>INPROGRESS</t>
  </si>
  <si>
    <t>COMPLETED / CLOSED</t>
  </si>
  <si>
    <t>MPOB</t>
  </si>
  <si>
    <t>MTIB</t>
  </si>
  <si>
    <t>LKTN</t>
  </si>
  <si>
    <t>LAM</t>
  </si>
  <si>
    <t>ISN</t>
  </si>
  <si>
    <t>MSN</t>
  </si>
  <si>
    <t>CONTRACT PERIOD</t>
  </si>
  <si>
    <t>CONTRACT DATE</t>
  </si>
  <si>
    <t>T/2026/00001</t>
  </si>
  <si>
    <t>Tidak dapat membuat percetakan</t>
  </si>
  <si>
    <t>Cetakan permohonan dan cetakan perjanjian tidak boleh dijana. Keluar popup dalam sistem, dan janaan tidak dapat dibuat. Pengadu: Nor Atikah Ahmad Afami</t>
  </si>
  <si>
    <t>T/2026/00002</t>
  </si>
  <si>
    <t>MYCLAIM</t>
  </si>
  <si>
    <t>PENYELENGGARAAN MYCLAIM</t>
  </si>
  <si>
    <t>PENYELENGGARAAN MYCLAIM • Berdasarkan perbincangan bersama Seksyen Kewangan pada 16 Januari 2026 1. Perubahan pada filter elaun makan iaitu daripada Sarapan, Makan Tengahari, Makan Malam kepada Sarapan dan/ atau Minum Pagi, Makan Tengahari dan/ atau Minum Petang, Makan Malam dan/ atau Makan Lewat Malam. 2. Penambahan nilai elaun lojing kepada gred SSPA (seperti lampiran). 3. Perubahan elaun perjalanan kenderaan (seperti lampiran). 4. Penambahan item baharu pada filter Belanja Pelbagai (Tugas Rasmi) (seperti lampiran). 5. Perubahan pada filter Belanja Pelbagai (Kursus) (seperti lampiran). 6. Perubahan pada Ringkasan Tuntuan Elaun Perjalanan daripada Kapal Terbang/ Tambang Gantian kepada Kapal Terbang sahaja. 7. Perubahan pada Kelulusan Aktviti pada Sub Aktiviti (seperti lampiran). 8. Penambahan kategori untuk luar negara. 9. Hanya paparkan nilai yang dituntut pada Ringkasan Tuntutan Elaun Perjalanan. 10. Penambahan column dana pada Pendahuluan Diri untuk paparan sokong/ lulus. 11. Buang fungsi batal selepas penyokong telah sokong pada Kelulusan Tuntutan Perjalanan dan Kerja Lebih Masa (OT). *Nota: penyelenggaraan mula dilaksana pada yang berkaitan pada 26 Januari 2026 sehingga 30 Januari 2026.</t>
  </si>
  <si>
    <t>T/2026/00003</t>
  </si>
  <si>
    <t>Tidak dapat notifikasi emel</t>
  </si>
  <si>
    <t>Tidak dapat notifikasi melalui emel bagi MyFinancial dan MyClaim.</t>
  </si>
  <si>
    <t>T/2026/00007</t>
  </si>
  <si>
    <t>MYLOAN</t>
  </si>
  <si>
    <t>Laporan Jadual Pembayaran tidak boleh dijana</t>
  </si>
  <si>
    <t>Laporan jadual pembayaran pinjaman komputer Encik Azelan bin Ishak tidak boleh dijana disebabkan paparan nama tidak terpapar. Pengadu : Nor Atikah Ahmad Azmi</t>
  </si>
  <si>
    <t>T/2026/00008</t>
  </si>
  <si>
    <t>MYPAYROLL</t>
  </si>
  <si>
    <t>Ralat untuk forgot password</t>
  </si>
  <si>
    <t>Terdapat ralat untuk forgot password. Untuk makluman, akaun ini baru di-create bagi pengguna ini. Emel pengguna: nurhashikin.zulkifli@mtib.gov.my. Mohon semakan.</t>
  </si>
  <si>
    <t>T/2026/00012</t>
  </si>
  <si>
    <t>TIDAK BOLEH ISI KERJA LEBIH MASA (OT)</t>
  </si>
  <si>
    <t>- HILANG SECARA TIBA-TIBA APABILA INGIN MENGISI TARIKH DAN MASA UNTUK KERJA LEBIH MASA. - SETELAH ITU, APABILA INGIN MEMOHON PERMOHONAN BARU SEMULA TARIKH BERTINDIH PADA PERMOHONAN KELULUSAN AKTIVITI (BLM1). PENGADU: MOHD RAFFI BIN NOORDIN</t>
  </si>
  <si>
    <t>T/2026/00013</t>
  </si>
  <si>
    <t>AKSES MYFINANCIAL CLIENT</t>
  </si>
  <si>
    <t>Mohon pengemaskinian SEGERA bagi pengguna (MUHAMAD AZFAR FARUQI BIN MUSTAFA 970519-08-5029) mengakses MyFinancial Client.</t>
  </si>
  <si>
    <t>T/2026/00015</t>
  </si>
  <si>
    <t>Tidak boleh akses MyClaim</t>
  </si>
  <si>
    <t>Akaun pekerja baharu tidak boleh akses MyClaim. Keluar notifikasi 'Tidak Berjaya Log Masuk' apabila klik MyClaim. Akaun-akaun tidak berjaya: 1. MOHD SHAIFUL BIN MOHD ZALI 2. ⁠MUHAMMAD IQBAL BIN ADDY HUSSZAIRI 3. NUR E'ZZA BINTI ABD HALIM 4. ⁠CHE KU NURRAIHAN BINTI CHE KU ROSLAN 5. MUHAMAD KHAIRUL ANUAR BIN JUNOH 6. ⁠AHMAD FAHMI AIZUDDIN BIN ABDUL MAJID 7. ⁠MUHAMMAD RAHMAT BIN RUSLI 8. ⁠NUR FARAHANIM IDAYU MOHD HANIF 9. NUR RAIHANA BINTI MOHD ZUHAIDI 10. MUHAMMAD IZUAN HAIKAL BIN MOHD SALIM 11. NORAIN BINTI SUKARDI 12. HAZRUL SHAFIQ BIN HAMSIZA</t>
  </si>
  <si>
    <t>T/2026/00018</t>
  </si>
  <si>
    <t>Pembetulan amaun pada daftar bil - pada Koding AKB (</t>
  </si>
  <si>
    <t>SIMPLEX MARKETING (M) SDN BHD Jumlah bayaran sepatutnya RM106.05 Jumlah pada Koding AKB RM106.06 - terlebih RM0.01 Laporan AKB terlebih RM0.01</t>
  </si>
  <si>
    <t>T/2026/00020</t>
  </si>
  <si>
    <t>EMEL NOTIFIKASI MYFINANCIAL TIDAK BERFUNGSI</t>
  </si>
  <si>
    <t>Tidak dapat notifikasi emel bagi MyFinancial</t>
  </si>
  <si>
    <t>T/2026/00022</t>
  </si>
  <si>
    <t>SKRIN KELABU</t>
  </si>
  <si>
    <t>Skrin menjadi kelabu dan sukar untuk klik modul lain (seperti lampiran).</t>
  </si>
  <si>
    <t>T/2026/00053</t>
  </si>
  <si>
    <t>PERMOHONAN PERUBATAN</t>
  </si>
  <si>
    <t>Kod Akaun 10200100129101 dihapuskan dalam sistem.</t>
  </si>
  <si>
    <t>T/2026/00054</t>
  </si>
  <si>
    <t>PERMOHONAN AM/ PERUBATAN</t>
  </si>
  <si>
    <t>Block tarikh advance untuk tarikh resit. Permohonan perlu disekat.</t>
  </si>
  <si>
    <t>T/2026/00055</t>
  </si>
  <si>
    <t>LAPORAN JANUARI DAN FEBRUARI 2026</t>
  </si>
  <si>
    <t>Butiran di Laporan Audit Trail Bulanan tidak tepat (terdapat baucar daripada wilayah lain disebabkan permohonan dibuat sebelum pertukaran pegawai). Baucar perlu tally dengan pembayaran. Pengadu: Puan Saratul Afiqah Mohamed</t>
  </si>
  <si>
    <t>T/2026/00094</t>
  </si>
  <si>
    <t>LAPORAN KIRA-KIRA KENA BAYAR (TELAH POS)</t>
  </si>
  <si>
    <t>1. Jumlah tidak sama pada laporan KIRA-KIRA KENA BAYAR (TELAH POS) 2. Invois/ daftar bil menjadi double Pengadu: Siti Zahrah Senin</t>
  </si>
  <si>
    <t>T/2026/00135</t>
  </si>
  <si>
    <t>Akses sebagai admin</t>
  </si>
  <si>
    <t>Permohonan akses sebagai admin untuk Puan Dayang Rosmieyatie (Unit Perjawatan) bagi Laporan Gaji/ Elaun wargakerja MTIB</t>
  </si>
  <si>
    <t>T/2026/00220</t>
  </si>
  <si>
    <t>ID PENGGUNA DISEKAT</t>
  </si>
  <si>
    <t>ID Pengguna disekat untuk akses MyFinancial SAGA. ID Pengguna : 801228075114</t>
  </si>
  <si>
    <t>T/2026/00232</t>
  </si>
  <si>
    <t>Masalah Tidak Boleh Buat 'Lupa Kata Laluan'</t>
  </si>
  <si>
    <t>Pengguna Nur Raihana Hassan ic : 951228015086 dan e-mel raihana.hassan@mtib.gov.my tidak boleh akses sistem myfinancial SSO. Cuba buat forgot password tetapi tak berjaya. Lihat attachment.</t>
  </si>
  <si>
    <t>T/2026/00282</t>
  </si>
  <si>
    <t>Pemohon (864) tidak boleh klik untuk teruskan permohonan komputer. Pengadu: Nur Adila</t>
  </si>
  <si>
    <t>T/2026/00283</t>
  </si>
  <si>
    <t>Kesalahan pada No. RO</t>
  </si>
  <si>
    <t>1. No. permohonan RO dari Pejabat Ketua Pengarah menggunakan dana Mengurus (Penyelenggaraan - 12) tidak sama seperti tahun sebelumnya. 2. Tahun 2023: ROOKP ; Tahun 2026: ROFKP 3. Mohon penyelarasan no. RO kepada ROOKP Pengadu: Alisya Idrus</t>
  </si>
  <si>
    <t>T/2026/00291</t>
  </si>
  <si>
    <t>ADUAN MYLOAN</t>
  </si>
  <si>
    <t>Loan kereta - Saksi kedua tidak boleh taip dan tidak boleh pilih - No staff : 623</t>
  </si>
  <si>
    <t>T/2026/00298</t>
  </si>
  <si>
    <t>ISU NOMBOR AKAUN TIDAK KELUAR</t>
  </si>
  <si>
    <t>Masukkan nombor akaun Maybank:514404801787 di ruangan nombor akaun dalam Invoice. Pengadu: Marliani</t>
  </si>
  <si>
    <t>T/2026/00299</t>
  </si>
  <si>
    <t>Penambahbaikan kadar elaun perjalanan di dalam sistem Myclaim</t>
  </si>
  <si>
    <t>Berikutan surat MOF pada 20 April 2026, penambahbaikan EPK di bawah pekeliling WP1.4 telah dilaksanakan berkuatkuasa pada 1 Mei 2026. Sehubungan itu, mohon penambahbaikan kadar elaun perjalanan di dalam sistem Myclaim seperti lampiran.</t>
  </si>
  <si>
    <t>T/2026/00309</t>
  </si>
  <si>
    <t>Kelulusan dalam sistem MyFinancial online untuk proses baucar slow loading (sila rujuk kes sebelumnya yang telah selesai)</t>
  </si>
  <si>
    <t>Isu yang sama berulang. Sebelum ini telah diadukan pada tahun 2025 dan telah dibaiki.</t>
  </si>
  <si>
    <t>T/2026/00320</t>
  </si>
  <si>
    <t>Penambahan akses di MyFinancial Client</t>
  </si>
  <si>
    <t>Tambah akses kepada pegawai tersebut untuk MyFinancial Client: Name: SARAH NAJWA MOHD MASRI IC no: 980409085844 No staff: 1202 Untuk makluman tuan, Add New User telah dilaksana tetapi keluar error.</t>
  </si>
  <si>
    <t>T/2026/00324</t>
  </si>
  <si>
    <t>Tidak dapat reset password</t>
  </si>
  <si>
    <t>Tidak dapat reset password MyFinancial Client untuk pengguna. Keluar error seperti lampiran. Name: ASFAIRUL BIN ABDUL MAJID IC No: 860202-23-7381</t>
  </si>
  <si>
    <t>T/2026/00332</t>
  </si>
  <si>
    <t>MyPanjar</t>
  </si>
  <si>
    <t>TIDAK DAPAT BUAT PENGESAHAN</t>
  </si>
  <si>
    <t>Pegawai Pengesah HR (Patmah) tidak dapat membuat pengesahan perubatan dalam sistem MyPanjar. Pengadu: Suhani Hassan</t>
  </si>
  <si>
    <t>T/2026/00337</t>
  </si>
  <si>
    <t>CREATE ACCOUNT MYFINANCIAL CLIENT</t>
  </si>
  <si>
    <t>Mohon laksanakan MyFinancial Client Nama: SHARIFAH SUAIRAH BINTI SAYED KAMARUZAMAN No Kad Pengenalan: 950304-08-5330 No Pekerja: 1233</t>
  </si>
  <si>
    <t>T/2026/00354</t>
  </si>
  <si>
    <t>MYINVESTMENT</t>
  </si>
  <si>
    <t>ADUAN MYINVESTMENT</t>
  </si>
  <si>
    <t>1. Data di MYINVESTMENT tidak lengkap. 2. Pengguna pos data dua kali. Pengadu: Norhayati Muhamad</t>
  </si>
  <si>
    <t>T/2026/00355</t>
  </si>
  <si>
    <t>AKSES MYFINANCIAL</t>
  </si>
  <si>
    <t>Untuk makluman tuan, dua akaun ini perlu akses kepada MyFinancial Client Nama: Shah Badri Mohd Nor IC: 891214015729 Nama: Nur Adila Badrol Hisham IC: 960414085496 Untuk makluman, akses melalui MySecurity telah dibuat.</t>
  </si>
  <si>
    <t>T/2026/00356</t>
  </si>
  <si>
    <t>Aduan Myloan</t>
  </si>
  <si>
    <t>Pembetulan nilai pembiayaan Encik Syaiful Bakri Syah (no pekerja: 661) di dalam sistem MyLoan bagi pinjaman kenderaan iaitu dari nilai RM51,000 kepada RM49,400 Pengadu: Nurul Iman Norzan Shah</t>
  </si>
  <si>
    <t>T/2026/00358</t>
  </si>
  <si>
    <t>ADUAN MYFINANCIAL</t>
  </si>
  <si>
    <t>TIDAK DAPAT MEMBUAT PERUBAHAN/PENAMBAHAN PADA KETERANGAN PRODUK DALAM SISTEM MYFINANCIAL PENGADU: MARLIANA BINTI SABTU</t>
  </si>
  <si>
    <t>T/2026/00025</t>
  </si>
  <si>
    <t>MyFinancial</t>
  </si>
  <si>
    <t>Akaun Belum Bayar</t>
  </si>
  <si>
    <t>"BILFMDD/1124/01509 bil ni saya tak jumpa dalam system BILFMDD/0225/00091 - MERCOID Status INV - BELUM BAYAR Sepatutnya inv ni dah ada resit - RCPFMDD/0225/00705, tapi resit ni saya tak jumpa dalam system 1 lagi bila saya nak proses resit baru untuk inv ni, tak boleh nak proses BILFMDD/0125/00075 Status bil - BELUM BAYAR Tapi tak boleh proses resit, sebab tiada baki bil yang belum di bayar"</t>
  </si>
  <si>
    <t>T/2026/00026</t>
  </si>
  <si>
    <t>Akaun belum bayar</t>
  </si>
  <si>
    <t>"yg ni kan no rujukan tkde no rujukan no invois"</t>
  </si>
  <si>
    <t>T/2026/00027</t>
  </si>
  <si>
    <t>Project costing</t>
  </si>
  <si>
    <t>"Nk buat perakuan prinsip user nak buat ni kod projek P202005"</t>
  </si>
  <si>
    <t>T/2026/00028</t>
  </si>
  <si>
    <t>"nak tanya kenapa MYFAS MPOB tak boleh post inv dalam myfainancial? nak tarik voucher pun tak dpat ade masalah ke nak click pun tak boleh yg dah selsai lulus tak boleh tarik voucher"</t>
  </si>
  <si>
    <t>T/2026/00029</t>
  </si>
  <si>
    <t>MyProcurement</t>
  </si>
  <si>
    <t>Procument</t>
  </si>
  <si>
    <t>"ada 1 perolehan sebut harga yg dah pelawa sebelum ni dibatalkan dan perlu dipelawa semula dlm modul myprocurement, boleh en upkan balik perakuan prinsip dlm sistem utk sy pelawa semula Ni no perakuan prinsip yg perlu di upkn semula utk pelawaan sebut harga semula"</t>
  </si>
  <si>
    <t>T/2026/00030</t>
  </si>
  <si>
    <t>Tolong semak n edit item jadi 2x. Daftar bil invois : INPOB/0126/00462</t>
  </si>
  <si>
    <t>T/2026/00031</t>
  </si>
  <si>
    <t>"utk myprocurement hari ni bole access ke? Sbb ada pegawai tak dapat acces katanya ralat. Tp bila dia buka myasset, bole. Hanya myprocurement tak boleh pegawai saya dah dapaf access, dia nk buat pelawaan Kelulusan prinsip, dah diluluskan.. tp bila nk buaf pelawaan.. tak muncul utk permohonan dia tu No rujukan 008013"</t>
  </si>
  <si>
    <t>T/2026/00032</t>
  </si>
  <si>
    <t>Daftar bil invois, INPOB /0126/00462 yg problem minggu lepas tu dah edit ke betul</t>
  </si>
  <si>
    <t>T/2026/00033</t>
  </si>
  <si>
    <t>MyAsset</t>
  </si>
  <si>
    <t>Pendaftaran aset</t>
  </si>
  <si>
    <t>ni salah 1 contoh yg kite dftr 1 unit aset tapi ada duplicate pendaftaran saya rasa semua wip double"</t>
  </si>
  <si>
    <t>T/2026/00034</t>
  </si>
  <si>
    <t>"Di module myprocurement, nak ubah nama Nur Ain Nadiah kepada Rahayu Kamaruddin macam mana ye? MPOB (RT/ABBC) 11/2025"</t>
  </si>
  <si>
    <t>T/2026/00035</t>
  </si>
  <si>
    <t>boleh ke tukar nama pegawai pengesah untuk daftar bil diatas. Utk makluman, pegawai pengesah bagi daftar bil ni telah pencen last week. Bila saya semak dlam sistem, daftar bil belum disahkan oleh beliau...Jadi boleh ke tukar dari Dr. Zaida binti Zainal ke Ms Puvaneswari Meganathan.</t>
  </si>
  <si>
    <t>T/2026/00036</t>
  </si>
  <si>
    <t>Purchase order</t>
  </si>
  <si>
    <t>saya dalam proses buat PO (LPO/PDAS0301/0126/00010). Bila saya edit item no 2 dan simpan, saya semak semula ia berubah...no 1 jadi double...kenapa ye? Mohon bantuan...No Prinsip kelulusan perolehan: 008411</t>
  </si>
  <si>
    <t>T/2026/00037</t>
  </si>
  <si>
    <t>Name: Syuhadah Date: 29/01/2026 Desc: bila nak print PO dia kosong. LPO/ABBC0401/0126/00001</t>
  </si>
  <si>
    <t>T/2026/00038</t>
  </si>
  <si>
    <t>EFT</t>
  </si>
  <si>
    <t>Name: Nana Date: 03/02/2026 Desc: 1. EFT error. Vaucer ni pernah disekalikan dgn EFT lain, tp dia je tak muncul dlm EFT tu. Bila buat EFT vaucer ni alone, pun file TXT tak boleh upload.</t>
  </si>
  <si>
    <t>T/2026/00039</t>
  </si>
  <si>
    <t>Projek kod</t>
  </si>
  <si>
    <t>Name: Sofi Date: 03/02/2026 Desc: "pic untk projek pembangunan Boleh tak saya dptkan td untk kod projek P90EPP6 And lagi satu encik P90EPP8 BAJET PROJECT 31 JAN 2026 V2.xlsx ni laporan bulanan dari en helmi...cumanye saya dh mintak untuk revise ada projek projek yg tak tarik dalam report ni termasuk projek baru tahun ni boleh ke encik semakkan skali ni</t>
  </si>
  <si>
    <t>T/2026/00040</t>
  </si>
  <si>
    <t>Name: Nurul Asyikin Date: 03/02/2026 Desc: Mohon laporan penyata pemiutang 31/12/2024</t>
  </si>
  <si>
    <t>T/2026/00042</t>
  </si>
  <si>
    <t>Name: Nana Date: 03/02/2026 Desc: "utk perkara ni, papara harga inv tak sama dgn amaun sepatutnya. bila masuk, harga sbnar inv adalah RM59k paparan salah harga inv"</t>
  </si>
  <si>
    <t>T/2026/00044</t>
  </si>
  <si>
    <t>Name: Azman Date: 03/02/2026 Desc: mohon rejectkan INPOB/0126/01710 sebab nama pengesah salah</t>
  </si>
  <si>
    <t>T/2026/00045</t>
  </si>
  <si>
    <t>Name: Azman Date: 03/02/2026 Desc: "tapi ada beberapa lagi masalah lagi berkenaan my procument plak 1. LPO/ABBC0332/0126/00003 = nak mintak tukar pengesah ... saya tersalah key in pengesah ....ataupun batalkan semula untuk saya betulkan balik pengesah tu 2. kelulusan perolehan R260207 nak mintak tukar kod belanja kepada MABBC0332B0228607 handuser silap key in .. 3. kelulusan perolehan R260214 nak mintak tukar kod belanja kepada MABBC0332B0227708 ( RM 440 ) handuser silap key in .. 4. kelulusan perolehan R260218 nak mintak tukar kategori pembekal drpd MABBC0601kepada MABBC0332 dan juga kod belanja kepada MABBC0332B0227199 ( RM 1650 ) MABBC0332B0227299 ( RM 2325 ) handuser silap key in .. 5. kelulusan perolehan 003713 nak mintak tukar kategori pembekal drpd MABBC0601 kpd MABBC0332"</t>
  </si>
  <si>
    <t>T/2026/00046</t>
  </si>
  <si>
    <t>Name: Norlizah Date: 03/02/2026 Desc: mohon pembetulan dlm baucer...amaun nota debit RM0.00..tapi total betul RM38,380.00</t>
  </si>
  <si>
    <t>T/2026/00047</t>
  </si>
  <si>
    <t>Name: Nur Ain Date: 04/02/2026 Desc: "Pembekal x boleh nak download dokumen sebut harga Nama pembekal ornet sdn bhd"</t>
  </si>
  <si>
    <t>T/2026/00048</t>
  </si>
  <si>
    <t>Buku Tunai</t>
  </si>
  <si>
    <t>Name: 011-33951435 Date: 04/02/2026 Desc: kami cari resit no no, RCPFMDD/0724/01444 xde dlm sistem. mohon bantuan</t>
  </si>
  <si>
    <t>T/2026/00049</t>
  </si>
  <si>
    <t>Name: AsAlya Date: 04/02/2026 Desc: "boleh tukar nama pengesah baru : Ahmad Afandi Murdi kat Borang Penilaian Syarikat -untuk PO ni LPO/BSRD0301/0925/00031 LPO/BSRD0301/0925/00037 LPO/BSRD0301/0725/00018 LPO/BSRD0301/0925/00032 LPO/BSRD0301/0825/00024 LPO/BSRD0301/0825/00026"</t>
  </si>
  <si>
    <t>T/2026/00050</t>
  </si>
  <si>
    <t>Name: 60123314321 Date: 05/02/2026 Desc: minta semak baucar ni tk kluar nama bank penerima</t>
  </si>
  <si>
    <t>T/2026/00126</t>
  </si>
  <si>
    <t>Date: 30 Jan 2026 Desc: Senarai Petender, perlu diperbaiki supaya pemohon hanya boleh melihat permohonan atas nama sendiri sahaja</t>
  </si>
  <si>
    <t>T/2026/00127</t>
  </si>
  <si>
    <t>Date: 01/02/2026 Desc: Maklumbalas Tender ada isu load terlalu perlahan</t>
  </si>
  <si>
    <t>T/2026/00128</t>
  </si>
  <si>
    <t>Date: 02/02/2026 Desc: Menambah fungsi batal untuk iklan Tender</t>
  </si>
  <si>
    <t>T/2026/00129</t>
  </si>
  <si>
    <t>Date: 04/02/2026 Desc: Senarai permohonan prinsip ada isu load senarai tidak tersusun dan tidak mengikut tarikh.</t>
  </si>
  <si>
    <t>T/2026/00130</t>
  </si>
  <si>
    <t>Date: 11/02/2026 Desc: Masalah dropdown button dana tak updated selepas buat penambahan senarai.</t>
  </si>
  <si>
    <t>T/2026/00131</t>
  </si>
  <si>
    <t>Date: 12/02/2026 Desc: Isu di borang perakuan prinsip, nama staff tak papar di nama pemohon, pengguna tidak boleh memilih nama yang sepatutnya</t>
  </si>
  <si>
    <t>T/2026/00132</t>
  </si>
  <si>
    <t>Date: 03/03/2026 Desc: Maklumat prinsip Tab 3(semakan Peruntukan) ada masalah dengan button Kemaskini dan Simpan. Fungsi tidak berjaya.</t>
  </si>
  <si>
    <t>T/2026/00140</t>
  </si>
  <si>
    <t>BIL</t>
  </si>
  <si>
    <t>Nama User : Eriq Date : 19/1/2026 Isu : BILFMDD/1124/01509 bil ni saya tak jumpa dalam system BILFMDD/0225/00091 - MERCOID Status INV - BELUM BAYAR Sepatutnya inv ni dah ada resit - RCPFMDD/0225/00705, tapi resit ni saya tak jumpa dalam system 1 lagi bila saya nak proses resit baru untuk inv ni, tak boleh nak proses BILFMDD/0125/00075 Status bil - BELUM BAYAR Tapi tak boleh proses resit, sebab tiada baki bil yang belum di bayar</t>
  </si>
  <si>
    <t>T/2026/00141</t>
  </si>
  <si>
    <t>rujukan no invois</t>
  </si>
  <si>
    <t>Nama User : Fitrah Date : 19/1/2026 Isu : yg ni kan no rujukan tkde no rujukan no invois</t>
  </si>
  <si>
    <t>T/2026/00142</t>
  </si>
  <si>
    <t>senarai pendaftaran aset</t>
  </si>
  <si>
    <t>Nama User : Zulaikha Date : 19/1/2026 Isu :Ini berkaitan pendaftaran aset dalam modul MyAsset, PIC sebelum ni Puan Suhana tapi tak sure masih sama atau tidak 👆🏼ni senarai pendaftaran aset yang masih pending peringkat pengesahan dan kelulusan Nak mintak tolong SW semak dan luluskan secara backdoor dan provide kami nombor jurnal AM untuk kami approve Sama seperti tahun lepas, kami terpaksa mintak tolong SW untuk buat backdoor sebab dah terlalu lambat dan pertukaran pegawai aset.</t>
  </si>
  <si>
    <t>T/2026/00143</t>
  </si>
  <si>
    <t>Projek Kos</t>
  </si>
  <si>
    <t>perakuan</t>
  </si>
  <si>
    <t>Nama User : Sofkai Date : 20/1/2026 Isu : Nk buat perakuan prinsip user nak buat ni kod projek P202005</t>
  </si>
  <si>
    <t>T/2026/00144</t>
  </si>
  <si>
    <t>MyDeposit</t>
  </si>
  <si>
    <t>refund</t>
  </si>
  <si>
    <t>Nama User : Norfauzan Date : 20/1/2026 Isu : boleh tgkkn refund nie ...tk boleh Tarik Dekat baucar..dulu dekat baucar hjg tu ade button integrasi utk refund Tk, dulu dekat baucar...lepas sistem upgrde..trs hilang...sebab sy kena integrasi utk baucar msk ke mylesen</t>
  </si>
  <si>
    <t>T/2026/00145</t>
  </si>
  <si>
    <t>Nama User : Tyra Date : 20/1/2026 Isu : sy xleh nk cetak resit ini</t>
  </si>
  <si>
    <t>T/2026/00146</t>
  </si>
  <si>
    <t>amaun negatif</t>
  </si>
  <si>
    <t>Nama User : Khairun nisa Date : 20/1/2026 Isu : Ada amaun negatif.</t>
  </si>
  <si>
    <t>T/2026/00147</t>
  </si>
  <si>
    <t>Penyediaan Jurnal</t>
  </si>
  <si>
    <t>Nama User : Dalillah Date : 20/1/2026 Isu : Sistem error message</t>
  </si>
  <si>
    <t>T/2026/00148</t>
  </si>
  <si>
    <t>hapuskan pr</t>
  </si>
  <si>
    <t>Nama User : Nabila Date :21/1/2026 Isu : boleh ke nak mintak hapuskan pr ni, 008475? Sebab user salah letak nama utk penyokong dan penyemak.</t>
  </si>
  <si>
    <t>Inprogress</t>
  </si>
  <si>
    <t>T/2026/00149</t>
  </si>
  <si>
    <t>Invoice Voucher</t>
  </si>
  <si>
    <t>Nama User : Niesa Date : 21/1/2026 Isu : nak tanya kenapa MYFAS MPOB tak boleh post inv dalam myfainancial? nak tarik voucher pun tak dpat ade masalah ke nak click pun tak boleh yg dah selsai lulus tak boleh tarik voucher</t>
  </si>
  <si>
    <t>T/2026/00150</t>
  </si>
  <si>
    <t>Pengesahan</t>
  </si>
  <si>
    <t>Nama User : Norlizah Date : 21/1/2026 Isu : saya masih tak boleh sahkan ni👆 yg ni pun tak boleh nk sahkan</t>
  </si>
  <si>
    <t>T/2026/00151</t>
  </si>
  <si>
    <t>kod P60SOIL01B1435701</t>
  </si>
  <si>
    <t>Nama User : Hazirah Hasnudin Date : 22/1/2026 Isu : Sy nak tny berkenaan myprocurement. Sy buat perolehan menggunakan kod P60SOIL01B1435701, tp utk urusan pendaftaran aset dlm myaset kod ni tiada. Kod ni tiada dlm list diatas</t>
  </si>
  <si>
    <t>T/2026/00152</t>
  </si>
  <si>
    <t>Reset Password</t>
  </si>
  <si>
    <t>Nama User : Hanif Date : 22/1/2026 Isu : boleh minta tolong untuk sorang staff kami ni tak ingat password, dia cuba untuk set kata laluan baru tapi email tu tak dapat dapat..dari semalam dia kata..email dia : norasikin.ulkeply@mpob.gov.my</t>
  </si>
  <si>
    <t>T/2026/00153</t>
  </si>
  <si>
    <t>no perakuan prinsip</t>
  </si>
  <si>
    <t>Nama User : Nur Ain Date : 22/1/2026 Isu : ada 1 perolehan sebut harga yg dah pelawa sebelum ni dibatalkan dan perlu dipelawa semula dlm modul myprocurement, boleh en upkan balik perakuan prinsip dlm sistem utk sy pelawa semula Ni no perakuan prinsip yg perlu di upkn semula utk pelawaan sebut harga semula</t>
  </si>
  <si>
    <t>T/2026/00154</t>
  </si>
  <si>
    <t>Daftar bil invois</t>
  </si>
  <si>
    <t>Nama User : Rosmahani Date : 23/1/2026 Isu : Tolong semak n edit item jadi 2x. Daftar bil invois : INPOB/0126/00462</t>
  </si>
  <si>
    <t>T/2026/00155</t>
  </si>
  <si>
    <t>Access Procurement</t>
  </si>
  <si>
    <t>Nama User : Fira Date : 26/1/2026 Isu : utk myprocurement hari ni bole access ke? Sbb ada pegawai tak dapat acces katanya ralat. Tp bila dia buka myasset, bole. Hanya myprocurement tak boleh pegawai saya dah dapaf access, dia nk buat pelawaan Kelulusan prinsip, dah diluluskan.. tp bila nk buaf pelawaan.. tak muncul utk permohonan dia tu No rujukan 008013</t>
  </si>
  <si>
    <t>T/2026/00156</t>
  </si>
  <si>
    <t>Nama User : Rosmahani Date : 26/1/2026 Isu : Daftar bil invois, INPOB /0126/00462 yg problem minggu lepas tu dah edit ke betul</t>
  </si>
  <si>
    <t>T/2026/00157</t>
  </si>
  <si>
    <t>duplicate pendaftaran</t>
  </si>
  <si>
    <t>Nama User : Myra Date : 26/1/2026 Isu : ni salah 1 contoh yg kite dftr 1 unit aset tapi ada duplicate pendaftaran saya rasa semua wip double</t>
  </si>
  <si>
    <t>T/2026/00158</t>
  </si>
  <si>
    <t>pengesahan penerimaan</t>
  </si>
  <si>
    <t>Nama User : Siti Khodijah Date : 27/1/2026 Isu : nak tanya pasal pengesahan penerimaan dalam My Procurement. Jika dah lulus boleh delete atau hapus ke? ..Sebab user dah tersalah buat. Sepatutnya user kena edit kuantiti dahulu sebelum klik HANTAR..</t>
  </si>
  <si>
    <t>T/2026/00159</t>
  </si>
  <si>
    <t>Edit Nama</t>
  </si>
  <si>
    <t>Nama User : Shuhadah Date : 27/1/2026 Isu : Di module myprocurement, nak ubah nama Nur Ain Nadiah kepada Rahayu Kamaruddin macam mana ye? MPOB (RT/ABBC) 11/2025</t>
  </si>
  <si>
    <t>T/2026/00160</t>
  </si>
  <si>
    <t>Pendaftaran Aset</t>
  </si>
  <si>
    <t>Nama User : Myra Date : 27/1/2026 Isu : Terdapat 40 aset yg telah dihapuskan tetapi GL tak update (reverse) pada 2024. Mohon aktifkan semula aset.</t>
  </si>
  <si>
    <t>T/2026/00161</t>
  </si>
  <si>
    <t>Nama User : Fitrah Date : 27/01/2026 Isu : Baucar tidak dijumpai. No Baucar VOPOB/0126/02611 baucar tu dh wujud dekat baucar yg tlah dipos tpi dekat kelulusan baucar dye tk kluar en hasrol tk dpt nk lulus kn</t>
  </si>
  <si>
    <t>T/2026/00162</t>
  </si>
  <si>
    <t>Ro</t>
  </si>
  <si>
    <t>Nama User : AsAlya Date : 28/01/2026 Isu : sy salah terbatalkan Ro ni boleh reverse ke ye? No. Permohonan : R260202</t>
  </si>
  <si>
    <t>T/2026/00163</t>
  </si>
  <si>
    <t>PO</t>
  </si>
  <si>
    <t>Nama User : Siti Khodijah Date : 28/01/2026 Isu : ada beberapa user di PDAS nie bagitau tak dapat cari no PO semasa nak buat pengesahan penerimaan dalam My Procurement. No PO tak keluar. Bila buat penilaian prestasi pembekal, no PO keluar. LPO/PDAS0401/1125/00169 LPO/PDAS0401/1125/00181</t>
  </si>
  <si>
    <t>T/2026/00164</t>
  </si>
  <si>
    <t>pengesah untuk daftar bil</t>
  </si>
  <si>
    <t>Nama User : Siti Khodijah Date : 28/01/2026 Isu : boleh ke tukar nama pegawai pengesah untuk daftar bil diatas. Utk makluman, pegawai pengesah bagi daftar bil ni telah pencen last week. Bila saya semak dlam sistem, daftar bil belum disahkan oleh beliau...Jadi boleh ke tukar dari Dr. Zaida binti Zainal ke Ms Puvaneswari Meganathan.</t>
  </si>
  <si>
    <t>T/2026/00165</t>
  </si>
  <si>
    <t>Nama User : Siti Khodijah Date : 29/01/2026 Isu : saya dalam proses buat PO (LPO/PDAS0301/0126/00010). Bila saya edit item no 2 dan simpan, saya semak semula ia berubah...no 1 jadi double...kenapa ye? Mohon bantuan...No Prinsip kelulusan perolehan: 008411</t>
  </si>
  <si>
    <t>T/2026/00166</t>
  </si>
  <si>
    <t>Nama User : Shuhadah Date : 29/01/2026 Isu : bila nak print PO dia kosong. LPO/ABBC0401/0126/00001</t>
  </si>
  <si>
    <t>T/2026/00167</t>
  </si>
  <si>
    <t>Nama User : Myra Date : 29/01/2026 Isu : utk pendaftaran aset 2520211253 sepatutnya link kod A1432203..tapi bile kite print GL AM2601-0079 xappear kod merging aset nya..boleh tlg tgk kn x? klo kata xlink, boleh tlg link kn antara kod A2032203 ke A1432203</t>
  </si>
  <si>
    <t>T/2026/00168</t>
  </si>
  <si>
    <t>ABT</t>
  </si>
  <si>
    <t>Nama User : Liyana Date : 30/01/2026 Isu : NO BIL X APPEAR SEMASA BUAT CREDIT NOTE: BILFMDD/1224/01703, BILFMDD/1224/01707, BILFMDD/0624/00283, BILFMDD/0824/002787, BILFMDD/0624/00298, BILFMDD/1124/01470</t>
  </si>
  <si>
    <t>T/2026/00169</t>
  </si>
  <si>
    <t>Nama User : Liyana Date : 30/01/2026 Isu : kredit note ralat untuk disahkan CRNFMDD/0825/00014</t>
  </si>
  <si>
    <t>T/2026/00170</t>
  </si>
  <si>
    <t>Nama User : Nana Date : 3/2/2026 Isu : . EFT error. Vaucer ni pernah disekalikan dgn EFT lain, tp dia je tak muncul dlm EFT tu. Bila buat EFT vaucer ni alone, pun file TXT tak boleh upload.</t>
  </si>
  <si>
    <t>T/2026/00171</t>
  </si>
  <si>
    <t>BAJET PROJECT 31 JAN 2026</t>
  </si>
  <si>
    <t>Nama User : Sofi Date : 3/2/2026 Isu : pic untk projek pembangunan. Boleh tak saya dptkan td untk kod projek P90EPP6 And lagi satu encik P90EPP8 BAJET PROJECT 31 JAN 2026 V2.xlsx ni laporan bulanan dari en helmi...cumanye saya dh mintak untuk revise ada projek projek yg tak tarik dalam report ni termasuk projek baru tahun ni boleh ke encik semakkan skali ni</t>
  </si>
  <si>
    <t>T/2026/00172</t>
  </si>
  <si>
    <t>laporan penyata pemiutang</t>
  </si>
  <si>
    <t>Nama User : Nurul Asyikin Date : 3/2/2026 Isu : Mohon laporan penyata pemiutang 31/12/2024</t>
  </si>
  <si>
    <t>T/2026/00173</t>
  </si>
  <si>
    <t>paparan harga</t>
  </si>
  <si>
    <t>Nama User : Nana Date : 3/2/2026 Isu : utk perkara ni, papara harga inv tak sama dgn amaun sepatutnya. bila masuk, harga sbnar inv adalah RM59k paparan salah harga inv</t>
  </si>
  <si>
    <t>T/2026/00174</t>
  </si>
  <si>
    <t>INPOB/0126/01710</t>
  </si>
  <si>
    <t>Nama User : Azman Date : 3/2/2026 Isu : mohon rejectkan INPOB/0126/01710 sebab nama pengesah salah</t>
  </si>
  <si>
    <t>T/2026/00175</t>
  </si>
  <si>
    <t>LPO</t>
  </si>
  <si>
    <t>Nama User : Azman Date : 3/2/2026 Isu : tapi ada beberapa lagi masalah lagi berkenaan my procument plak 1. LPO/ABBC0332/0126/00003 = nak mintak tukar pengesah ... saya tersalah key in pengesah ....ataupun batalkan semula untuk saya betulkan balik pengesah tu 2. kelulusan perolehan R260207 nak mintak tukar kod belanja kepada MABBC0332B0228607 handuser silap key in .. 3. kelulusan perolehan R260214 nak mintak tukar kod belanja kepada MABBC0332B0227708 ( RM 440 ) handuser silap key in .. 4. kelulusan perolehan R260218 nak mintak tukar kategori pembekal drpd MABBC0601kepada MABBC0332 dan juga kod belanja kepada MABBC0332B0227199 ( RM 1650 ) MABBC0332B0227299 ( RM 2325 ) handuser silap key in .. 5. kelulusan perolehan 003713 nak mintak tukar kategori pembekal drpd MABBC0601 kpd MABBC0332</t>
  </si>
  <si>
    <t>T/2026/00176</t>
  </si>
  <si>
    <t>Nama User : Norlizah Date : 3/2/2026 Isu :mohon pembetulan dlm baucer...amaun nota debit RM0.00..tapi total betul RM38,380.00</t>
  </si>
  <si>
    <t>T/2026/00177</t>
  </si>
  <si>
    <t>Nama User : Norlizah Date : 4/2/2026 Isu : bila klik cetak..kenapa resit kosong👆</t>
  </si>
  <si>
    <t>T/2026/00178</t>
  </si>
  <si>
    <t>borang prestasi pembekal</t>
  </si>
  <si>
    <t>Nama User : AsAlya Date : 4/2/2026 Isu : user ni xboleh add kat borang prestasi pembekal untk Po ni LPO/BSRD0401/0725/00025 untuk invois yg bayaran berperingkat Mohd Hafiz Mohd Zuki</t>
  </si>
  <si>
    <t>T/2026/00179</t>
  </si>
  <si>
    <t>dokumen sebut harga</t>
  </si>
  <si>
    <t>Nama User : AsAlya &amp; Nur Ain Date : 4/2/2026 Isu : Pembekal x boleh nak download dokumen sebut harga Nama pembekal ornet sdn bhd</t>
  </si>
  <si>
    <t>T/2026/00180</t>
  </si>
  <si>
    <t>Nama User : 011-33951435 Date : 4/2/2026 Isu : kami cari resit no no, RCPFMDD/0724/01444 xde dlm sistem. mohon bantuan</t>
  </si>
  <si>
    <t>T/2026/00181</t>
  </si>
  <si>
    <t>nama pengesah baru</t>
  </si>
  <si>
    <t>Nama User : AsAlya Date : 4/2/2026 Isu : boleh tukar nama pengesah baru : Ahmad Afandi Murdi kat Borang Penilaian Syarikat -untuk PO ni LPO/BSRD0301/0925/00031 LPO/BSRD0301/0925/00037 LPO/BSRD0301/0725/00018 LPO/BSRD0301/0925/00032 LPO/BSRD0301/0825/00024 LPO/BSRD0301/0825/00026</t>
  </si>
  <si>
    <t>T/2026/00182</t>
  </si>
  <si>
    <t>baucar</t>
  </si>
  <si>
    <t>Nama User : 0123314321 Date : 5/2/2026 Isu : minta semak baucar ni tk kluar nama bank penerima</t>
  </si>
  <si>
    <t>T/2026/00183</t>
  </si>
  <si>
    <t>R260287 n R260288</t>
  </si>
  <si>
    <t>Nama User : Faiq 0193523155 Date : 5/2/2026 Isu : R260287 n R260288 utk tukar sokongan pada Dr Hefni atau patah balik user</t>
  </si>
  <si>
    <t>T/2026/00184</t>
  </si>
  <si>
    <t>inbois</t>
  </si>
  <si>
    <t>Nama User : 601164570613 Date : 5/2/2026 Isu : Saya nk mohon bantuan bg INPOB/0126/01927, saya nak buat baucar, tp bila nk klik dekat maklumat baucar, no inbois tersebut takde utk perkara ni, terjadi juga kepada inpob/0226/02705</t>
  </si>
  <si>
    <t>T/2026/00185</t>
  </si>
  <si>
    <t>ubah no. PIC</t>
  </si>
  <si>
    <t>Nama User : 60126929597 Date : 5/2/2026 Isu : nak minta bantuan pihak tuan untuk ubah no. PIC bagi sistem vendor ini kerana PIC telah berubah. Puan Aliahanis (03-87694643) Puan Norjanatun (03-87694698)</t>
  </si>
  <si>
    <t>T/2026/00186</t>
  </si>
  <si>
    <t>amaun in RM after converted</t>
  </si>
  <si>
    <t>Nama User : Irda 60182066610 Date : 5/2/2026 Isu : bukan sepatutnya amaun in RM after converted ke?</t>
  </si>
  <si>
    <t>T/2026/00187</t>
  </si>
  <si>
    <t>pesanan belian</t>
  </si>
  <si>
    <t>Nama User : Sabrina 0132241723 Date : 6/2/2026 Isu :Saya nk tanya sikit mengenai system myFas . Utk tab pesanan belian. Saya dh jana sebelum ni dan harini saya perasan butiran nya hilang. Jadi saya edit semula. Bila saya edit dan saya print ia masih ada. Kemudian bila saya tekan button simpan dan cari semula utk tekan POS saya view dia dah hilang 2/3 kali dah jadi LPO/FMDD0301/0126/00005</t>
  </si>
  <si>
    <t>T/2026/00188</t>
  </si>
  <si>
    <t>Batch inbois hilang</t>
  </si>
  <si>
    <t>Nama User : 60103640568 Date : 9/2/2026 Isu : Batch inbois hilang 0126/02570 0126/02617 0126/02548 Boleh dapatkan data ni semula ?</t>
  </si>
  <si>
    <t>T/2026/00189</t>
  </si>
  <si>
    <t>createkn semula eft</t>
  </si>
  <si>
    <t>Nama User : Nisa 0192519432 Date : 9/2/2026 Isu : Nk minta tlg utk createkn semula eft boleh? Sbb sy terbatal semua baucer Sbb sy dpat arahan utk batalkn 2baucer drpd eft tu Tp sy terbatal sume list baucer dlm eft tu E26025082906 E26025082907 2 ni je nk batal sbb payment return</t>
  </si>
  <si>
    <t>T/2026/00190</t>
  </si>
  <si>
    <t>Nama User : Shuhadah 01126316857 Date : 9/2/2026 Isu : no rujukan R260231tak boleh tarik nak buat LPO. Sebab masa tarik no LPO/ABBC0401/0226/00031 maklumat no rujukan R260231 masuk sekali Dah delete, lepas tu nak tarik semula no no rujukan R260231 dah tak boleh carian RO tiada untuk proses LPO. -R260231 dan -R260278</t>
  </si>
  <si>
    <t>T/2026/00191</t>
  </si>
  <si>
    <t>Total tak sama</t>
  </si>
  <si>
    <t>Nama User : 601111655980 Date : 10/2/2026 Isu : Bole semakkan Total tak sama Bole update kn total dia tak RM 21,403.48 rasa nye mcm ade double invois dlm tu yg tak appear kena hapuskan salah satu tnb tak terima sebab baucer tak match</t>
  </si>
  <si>
    <t>T/2026/00192</t>
  </si>
  <si>
    <t>ketua seksyen unit kewangan</t>
  </si>
  <si>
    <t>Nama User : Shera 0193408634 Date : 10/2/2026 Isu : RT boleh tak nk tukarkan untuk semakan ketua seksyen unit kewangan dan perolehan nama puan nur 'ain kepada nor rahayu kamaruddin yng tu kena tukar permanently sebab PIC dh berubah kami tak boleh nak select nma dekat modul ni ni dekat modul Myprocurement- Rundingan Terus</t>
  </si>
  <si>
    <t>T/2026/00193</t>
  </si>
  <si>
    <t>penyata penghutang ABT</t>
  </si>
  <si>
    <t>Nama User : 601110405664 Date : 10/2/2026 Isu : boleh semak kenapa penyata penghutang ABT baki salah</t>
  </si>
  <si>
    <t>T/2026/00194</t>
  </si>
  <si>
    <t>Nama User : Siti Khodijah Date : 10/2/2026 Isu : saya dlm proses buat baucar utk INPOB/0126/02600. bila nak klik maklumat inbois ada 2...yg mana satu saya nak klik bayar. No baucar: VOPOB/0226/05023.</t>
  </si>
  <si>
    <t>T/2026/00195</t>
  </si>
  <si>
    <t>resit</t>
  </si>
  <si>
    <t>Nama User : 601133951435 Date : 10/2/2026 Isu : nk sahkan resit no. 10355 tp hilang dalam radar..</t>
  </si>
  <si>
    <t>T/2026/00196</t>
  </si>
  <si>
    <t>Pertukaran penyemak</t>
  </si>
  <si>
    <t>Nama User : Rahayu 0173793759 Date : 10/2/2026 Isu : Pertukaran penyemak kpd nama sy di rundingan terus. Dh 2mgu x solve dan tadi terpaksa manual sebab user nak cepat.</t>
  </si>
  <si>
    <t>T/2026/00197</t>
  </si>
  <si>
    <t>kod B0299100</t>
  </si>
  <si>
    <t>Nama User : Anep 01125580689 Date : 11/2/2026 Isu : kod B0299100 sudah dijana tapi user tidak muncul..dimanakah hilang nya kod tersebut?~ mohon pencerahan Iya betul, tu paparan saya sbb dah jana la tak keluar disitu..tapi user beritahu yang paparan dia tak keluar... Kod smlm masih xde lg. Dekat my procurement</t>
  </si>
  <si>
    <t>T/2026/00198</t>
  </si>
  <si>
    <t>pelupusan</t>
  </si>
  <si>
    <t>Nama User : 60182583185 Date : 11/2/2026 Isu : boleh semakkan kenapa syor kaedah pelupusan dari ketua pengarah tak keluar bila nak cetak borang? bila view dari sistem status pemeriksaan ni dah diluluskan oleh ketua pengarah</t>
  </si>
  <si>
    <t>T/2026/00199</t>
  </si>
  <si>
    <t>dftr bil</t>
  </si>
  <si>
    <t>Nama User : Nisa 0192519432 Date : 11/2/2026 Isu : Ni rekod dftr bil 0126/01213 Tukar pengesah kepada shikin azanan 0226/02390 Yg ni pelulus kepada en Azhar rahim kukp Boleh carikan no baucer ni sbb xjumpa baucer ni 0126/00314</t>
  </si>
  <si>
    <t>T/2026/00200</t>
  </si>
  <si>
    <t>invois</t>
  </si>
  <si>
    <t>Nama User : Norlizah 0126968064 Date : 11/2/2026 Isu : saya nak batalkan invois ni sebab salah sikit pada nama sykt..tapi tiada dlm list utk batal..mohon bantuan..terimakasih ada error9... masa nak sahkan tu👆</t>
  </si>
  <si>
    <t>T/2026/00201</t>
  </si>
  <si>
    <t>Nama User : Harnitta 0198728775 Date : 11/2/2026 Isu : saya ada buat pesanan belian untuk sewa pejabat selama setahun (tapi sy pilih terma 30hari sahaja). adakah ini akan menggangu apabila sy buat bayaran secara partial setiap bulan? sebab apabila saya mahu buat bil dengan pesanan untuk bulan kedua, po tu sudah tidak dpt ditarik dalam penyediaan inbois saya sebab sudah guna pada bil bulan pertama Tuan boleh tlg semak juga sy hilang baucar dalam sistem VOPOB/0126/03771 untuk inbois INPOB/0126/01399</t>
  </si>
  <si>
    <t>T/2026/00202</t>
  </si>
  <si>
    <t>Nama User : Lena 0199933775 Date : 12/2/2026 Isu : PO ni (LPO/ENPD0501/0924/0005)ye coz x keluar masa nk allocate invoice</t>
  </si>
  <si>
    <t>T/2026/00203</t>
  </si>
  <si>
    <t>Nama User : Tyra 0145325546 Date : 12/2/2026 Isu :knp masih gagal nk cetak resit yang ini ye? dr bulan lepas ni xselesai lagi</t>
  </si>
  <si>
    <t>T/2026/00204</t>
  </si>
  <si>
    <t>Nama User : Harnitta 0198728775 Date : 12/2/2026 Isu : boleh tlg semak pesanan belian ni sy tidak jumpa dlm sistem LPO/SECD0251/0226/00007</t>
  </si>
  <si>
    <t>T/2026/00205</t>
  </si>
  <si>
    <t>Nama User : Mana 0193660214 Date : 12/2/2026 Isu : Boleh tolong semak status invois ni</t>
  </si>
  <si>
    <t>T/2026/00206</t>
  </si>
  <si>
    <t>No. bil</t>
  </si>
  <si>
    <t>Nama User : 60183827655 Date : 12/2/2026 Isu : No. bil ni tak keluar untuk buat resit - BILFMDD/0724/00744</t>
  </si>
  <si>
    <t>T/2026/00207</t>
  </si>
  <si>
    <t>baucer</t>
  </si>
  <si>
    <t>Nama User : 60127725243 Date : 13/2/2026 Isu :mohon admin betulkan baucer 👇 tak keluar maklumat inbois dalam baucer INPOB/0126/01300</t>
  </si>
  <si>
    <t>T/2026/00208</t>
  </si>
  <si>
    <t>pelulus</t>
  </si>
  <si>
    <t>Nama User : Norlizah 0126968064 Date : 13/2/2026 Isu : boleh tolong tambah pelulus...nama Aki@ Zaki..pengarah bhg</t>
  </si>
  <si>
    <t>T/2026/00209</t>
  </si>
  <si>
    <t>Nama User : Shuhadah 01126316857 Date : 13/2/2026 Isu : no LPO tersebut tiada dalam listing untuk pengesahan penerimaan</t>
  </si>
  <si>
    <t>T/2026/00210</t>
  </si>
  <si>
    <t>invoice</t>
  </si>
  <si>
    <t>Nama User : 60132214298 Date : 16/2/2026 Isu : tolong explain apa isu invoice ni?amount sepatutnya RM20,000 tapi mcm mana boleh appear RM19,980 sahaja? nampak mcm OK, tp invoice tak blh simpan sbb lack RM20 tu</t>
  </si>
  <si>
    <t>T/2026/00211</t>
  </si>
  <si>
    <t>Nama User : 60164870521 Date : 16/2/2026 Isu : Saya ada mslh dgn sistem xblh nk buat pembetulan resit atau padam resit di sistem ARSHAD OSMAN-750902075531 IZZAT ADELI-900525036051</t>
  </si>
  <si>
    <t>T/2026/00212</t>
  </si>
  <si>
    <t>daftar bil</t>
  </si>
  <si>
    <t>Nama User : 60129262844 Date : 19/2/2026 Isu : last week dimaklumkan dah kemaskini...bila saya nak continue buat masih ada 2 no daftar bil INPOB/0126/02600.. yang mana satu saya nak pilih...Mohon segerakan. TQ saya dah buat tapi maklumat daftar bil tu x appear pada baucar bayaran...mohon bantuan.</t>
  </si>
  <si>
    <t>T/2026/00213</t>
  </si>
  <si>
    <t>aset bernilai rendah</t>
  </si>
  <si>
    <t>Nama User : Dr Faridah 0198062987 Date : 19/2/2026 Isu : Sy Dr faridah Dr Mpob keratong..Sy nk tanye kenapa Sy nk daftar aset bernilai rendah x blh ye dlm myasset 830320035038</t>
  </si>
  <si>
    <t>T/2026/00214</t>
  </si>
  <si>
    <t>RO</t>
  </si>
  <si>
    <t>Nama User : 601126316857 Date : 19/2/2026 Isu : carian RO tiada untuk proses LPO. -R260231 dan -R260278 LPO/ABBC0201/0226/00002 dan LPO/ABBC0301/0226/00017 nak minta return ke penyedia</t>
  </si>
  <si>
    <t>T/2026/00215</t>
  </si>
  <si>
    <t>Nama User : 60122535807 Date : 19/2/2026 Isu : nak Tanya tarikh baucar bukan ke sepatutnya tarikh hari ni Sbb kenapa ada yg letak tarikh esok n lusa Boleh ke mcm tu Sbb staf yg key sendiri atau ikut tarikh kat pc Sbb biasanya auto dia akan ikut tarikh bila kita key in data</t>
  </si>
  <si>
    <t>T/2026/00216</t>
  </si>
  <si>
    <t>no baucar</t>
  </si>
  <si>
    <t>Nama User : 60123314321 Date : 20/2/2026 Isu : boleh tolong tgk kan no baucar VOPOB/0226/05492? sbb nama bank penerima tk keluar</t>
  </si>
  <si>
    <t>T/2026/00217</t>
  </si>
  <si>
    <t>Nama User : Zulaikha Date : 23/2/2026 Isu : boleh tolong tgk kan no baucar VOPOB/0226/05492? sbb nama bank penerima tk keluar</t>
  </si>
  <si>
    <t>T/2026/00218</t>
  </si>
  <si>
    <t>Nama User : 60122535807 Date : 23/2/2026 Isu : nak mintak tolong check LPO/AOTD0401/1025/00101</t>
  </si>
  <si>
    <t>T/2026/00219</t>
  </si>
  <si>
    <t>Baucer</t>
  </si>
  <si>
    <t>Nama User : Nisa 0192519432 Date : 23/2/2026 Isu : Baucer ni de 2list inv dlm ya yg sama Amaun sebenar hnya rm1650.00 shj Boleh tlg editkn dlm baucer 0226/04976</t>
  </si>
  <si>
    <t>T/2026/00221</t>
  </si>
  <si>
    <t>Pertukaran Nama PIC Untuk Pengesahan Perolehan</t>
  </si>
  <si>
    <t>Mohon pertukaran segera nama Pn. Nur Ain Nadiah kepada Pn. NOr Rahayu Kamaruddin untuk pengesahan perolehan. Urgent. Isu sudah lama di maklumkan kepada SW untuk tindakan.</t>
  </si>
  <si>
    <t>T/2026/00222</t>
  </si>
  <si>
    <t>Nama Pemohon dan Pelulus Salah</t>
  </si>
  <si>
    <t>Terdapat kesalahan pada nama pemohon dan pelulus bagi No. Permohonan R260503 : Barangan Keperluan Makmal Sila tukar i) nama pemohon kepada : Dr. Radhika A/p Loganathan ii)nama pelulus kepada : Dr. Mohd Hefni Bin Rusli</t>
  </si>
  <si>
    <t>T/2026/00223</t>
  </si>
  <si>
    <t>voucher tak boleh pos dalam pengesahan</t>
  </si>
  <si>
    <t>vocher : 09319 tak boleh post dalam modul kelulusan VOUCHER.</t>
  </si>
  <si>
    <t>T/2026/00224</t>
  </si>
  <si>
    <t>Isu berkaitan pembelian terus</t>
  </si>
  <si>
    <t>pembekal tidak menerima sebarang notifikasi menyatakan permohonan berjaya dia hantar atau tidak di bahagian pembelian terus</t>
  </si>
  <si>
    <t>T/2026/00225</t>
  </si>
  <si>
    <t>Tukarkan Ke Nama Pn. Rahayu Kamaruddin</t>
  </si>
  <si>
    <t>Rundinagan Terus - MPOB (RT/ABBC) 5/2026, MPOB (RT/ABBC) 4/2026 Dan MPOB (RT/ABBC) 1/2026</t>
  </si>
  <si>
    <t>T/2026/00226</t>
  </si>
  <si>
    <t>Button Papar Tidak Appear Pada Sub Modul Laporan</t>
  </si>
  <si>
    <t>Tidak ada button papar pada sub modul laporan.</t>
  </si>
  <si>
    <t>T/2026/00227</t>
  </si>
  <si>
    <t>penyata penghutang tak appear</t>
  </si>
  <si>
    <t>01-SMT032 - TETANGGA AKRAB PALM OIL MILL SDN.BHD.</t>
  </si>
  <si>
    <t>T/2026/00228</t>
  </si>
  <si>
    <t>BIL TAK APPEAR SEMASA BUAT NOTA KREDIT</t>
  </si>
  <si>
    <t>BILFMDD/0324/01890 TAK BOLEH BUAT NOTA KREDIT</t>
  </si>
  <si>
    <t>T/2026/00229</t>
  </si>
  <si>
    <t>NO. BIL TAK KELUAR UNTUK BUAT RESIT</t>
  </si>
  <si>
    <t>NAMA: LIYANA NO.TEL: 01110405664 NO BIL: BILSES/0624/02899 UNTUK ID (01-SMA002) TIDAK KELUAR SENARAI UNTUK BUAT RESIT</t>
  </si>
  <si>
    <t>T/2026/00230</t>
  </si>
  <si>
    <t>NAMA SYARIKAT BERBEZA DENGAN NAMA SYARIKAT DI PO</t>
  </si>
  <si>
    <t>Pengesahan terimaan - Nama syarikat berbeza dengan nama syarikat di PO sepatutnya nama syarikat VIRTUES N VALUES SDN. BHD. tapi yang keluar AAZ TRANSPORTATION</t>
  </si>
  <si>
    <t>T/2026/00231</t>
  </si>
  <si>
    <t>TIDAK BOLEH JANA BAGI PEMILIHAN PEMBEKALAN</t>
  </si>
  <si>
    <t>NO R260620 - TAK BOLEH PRINT, STATUS TELAH DILULUSKAN TETAPI BERADA DI COLUMM BELUM DILULUSKAN</t>
  </si>
  <si>
    <t>T/2026/00233</t>
  </si>
  <si>
    <t>PEMILIHAN SYARIKAT DI MODUL PEMBELIAN TERUS</t>
  </si>
  <si>
    <t>NO. RUJUKAN : 008925 MOHON UNTUK PINDAHKAN NO. RUJUKAN TERSEBUT KE BAHAGIAN 'TELAH DILULUSKAN'</t>
  </si>
  <si>
    <t>T/2026/00234</t>
  </si>
  <si>
    <t>KOD AKAUN TIDAK DAPAT DI EDIT</t>
  </si>
  <si>
    <t>KOD AKAUN TAK BOLEH EDIT UNTUK PEMBETULAN RESIT NO. RCPFMDD/0225/10613 NAMA: LIYANA NO.TEL: 01110405664</t>
  </si>
  <si>
    <t>T/2026/00235</t>
  </si>
  <si>
    <t>PENGESAHAN RESIT MAKLUMAT BIL DAN AMAUN TIDAK APPEAR</t>
  </si>
  <si>
    <t>SEMASA PENGESAHAN RESIT - MAKLUMAT BIL DAN AMAUN BAYARAN TIDAK APPEAR - RUJUK RESIT NO RCPFMDD/0225/10615</t>
  </si>
  <si>
    <t>T/2026/00236</t>
  </si>
  <si>
    <t>LEJAR AM-JURNAL-POS</t>
  </si>
  <si>
    <t>Modul lembap.</t>
  </si>
  <si>
    <t>T/2026/00239</t>
  </si>
  <si>
    <t>MyLoan</t>
  </si>
  <si>
    <t>PENYATA PINJAMAN INDIVIDU 31/12/2025 TIDAK DIKEMASKINI OLEH SISTEM</t>
  </si>
  <si>
    <t>BAGI TUJUAN PENUTUPAN AKAUN 31/12/2025, PENYATA PINJAMAN INDIVIDU PERLU DIKEMASKINI DENGAN MENGAMBILKIRA BAKI AWAL, POTONGAN GAJI 2025, DAN MEMAPARKAN BAKI AKHIR YANG TEPAT. DOKUMEN INI WAJIB ADA BAGI TUJUAN SEMAKAN AUDIT. TOLONG PROSES SEGERA PENYATA BAGI 46 PEMINJAM KENDERAAN &amp; 10 PEMINJAM KOMPUTER. TQ</t>
  </si>
  <si>
    <t>T/2026/00243</t>
  </si>
  <si>
    <t>SEMAKAN BAGI NO BIL : BILFMDD/0524/00015</t>
  </si>
  <si>
    <t>no bil BILFMDD/0524/00015 mempunyai ID dan nama berbeza.. pada paparan penyata penghutang dan pertanyaan bil, pohon semakan lanjut pihak myfas NAMA: LIYANA No.TEL: 01110405664</t>
  </si>
  <si>
    <t>T/2026/00244</t>
  </si>
  <si>
    <t>AUTO JURNAL PADA MODUL LEJAR UNTUK APA?</t>
  </si>
  <si>
    <t>Pohon panduan terhadap salah satu no auto jurnal AR00000139 telah diubah kod akaun dan telah ditetapkan nama bagi penyemak dan pelulus dan disimpan.. apakah tindakan seterusnya yang perlu saya lakukan dan mohon penjelesasn apakah fungsi jurnal tersebut?</t>
  </si>
  <si>
    <t>T/2026/00246</t>
  </si>
  <si>
    <t>Maklumat Syarikat Bayaran Pendaftaran Tidak Boleh Di Update</t>
  </si>
  <si>
    <t>Syarikat Anif - ID pembekal S00012031 - tidak boleh update bayaran pendaftaran.</t>
  </si>
  <si>
    <t>T/2026/00247</t>
  </si>
  <si>
    <t>SISTEM LAMBAT (STUCK)</t>
  </si>
  <si>
    <t>MODUL AKAUN BELUM BAYAR- INBOIS CARIAN INBOIS DAN PAPARAN TIDAK DAPAT DIBUKA</t>
  </si>
  <si>
    <t>T/2026/00248</t>
  </si>
  <si>
    <t>REFUND</t>
  </si>
  <si>
    <t>Maklumat bayaran tidak keluar di baucar setelah di pos dekat mydeposit</t>
  </si>
  <si>
    <t>T/2026/00249</t>
  </si>
  <si>
    <t>No. Resit tidak boleh tarik untuk proses di mydeposit</t>
  </si>
  <si>
    <t>T/2026/00250</t>
  </si>
  <si>
    <t>DATA SALAH &amp; TIDAK APPEAR DI NEXT STEP</t>
  </si>
  <si>
    <t>NAMA PEMILIK AKAUN SSEW TECHNOLOGY SDN BHD. AMOUNT PERLU DIBAYAR RM1,800.00. NAMUN BILA DIPAPAR,TERDAPAT DOUBLE CODDING DAN AMOUNT YANG BERCANGGAH. STATUS TELAH DIPOS PADA MODUL MYDEPOSIT. NAMUN TIDAK DAPAT TRACE PADA MODUL MYFINANCIAL. MOHON PEMBETULAN PADA AMOUNT DAN JADIKAN KOD SATU SAHAJA PADA MODUL MYDEPOSIT &amp; APPEARKAN PADA MYFINANCIAL</t>
  </si>
  <si>
    <t>T/2026/00251</t>
  </si>
  <si>
    <t>CRNFMDD/1025/00140 - CURRENCY USD PADA LEJAR</t>
  </si>
  <si>
    <t>credit note tidak convert currency daripada usd ke myr dalam lejar dan penyata penghutang CRNFMDD/1025/00140</t>
  </si>
  <si>
    <t>T/2026/00252</t>
  </si>
  <si>
    <t>NO PRINSIP TIDAK KELUAR - 008698</t>
  </si>
  <si>
    <t>Nak buat pelawaan tapi no kelulusan prinsip tak keluar - 008698</t>
  </si>
  <si>
    <t>T/2026/00253</t>
  </si>
  <si>
    <t>PERTUKARAN NAMA SEMAKAN BAJET</t>
  </si>
  <si>
    <t>POHON TUKAR NAMA SEMAKAN BAJET DARI NUR ZUHAILI HARRIS ABIDIN BINTI ZAINAL ABIDIN KE NORLIZAH BINTI HAMZAH - No Rujukan: 010098 (KELULUSAN PRINSIP) Nama: Nur Zuhaili Harris Abidin No Contact: 0133007412 No Rujukan: 010098 Desc: Tersalah pilih nama sendiri pada semakan bajet dan tiada ruang untuk pembatalan.</t>
  </si>
  <si>
    <t>T/2026/00254</t>
  </si>
  <si>
    <t>FIGURE TAK SAMA PADA PESANAN BELIAN</t>
  </si>
  <si>
    <t>FIGURE TAK SAMA PADA PESANAN BELIAN. LAPORAN YG DI PRINT TAK SAMA DENGAN PAPAR MELULUS.</t>
  </si>
  <si>
    <t>T/2026/00258</t>
  </si>
  <si>
    <t>CARIAN PO TIDAK DAPAT DIBUAT SEMASA KEY IN INBOIS</t>
  </si>
  <si>
    <t>CARIAN PO TIDAK DAPAT DIBUAT SEMASA KEY IN INBOIS AS-012-5985540</t>
  </si>
  <si>
    <t>T/2026/00259</t>
  </si>
  <si>
    <t>NO. PO TIDAK TERTERA DI DAFTAR BIL</t>
  </si>
  <si>
    <t>NO. DAFTAR BIL INPOB/0426/05840 - NO. PO TIDAK TERTERA DI DAFTAR BIL</t>
  </si>
  <si>
    <t>T/2026/00261</t>
  </si>
  <si>
    <t>Kategori Pembekal &amp; Nama Pembekal hilang di daftar bil INPOB/0326/04437 yang telah diluluskan</t>
  </si>
  <si>
    <t>User: Norasma No. Tel: 012-5985540</t>
  </si>
  <si>
    <t>T/2026/00262</t>
  </si>
  <si>
    <t>Modul- Inbois- Tarikh Pesanan tidak tertera di daftar bil</t>
  </si>
  <si>
    <t>No. Daftar Bil : INPOB/0426/05922 No. Daftar Bil : INPOB/0426/05913 No. Daftar Bil : INPOB/0426/05915 No. Daftar Bil : INPOB/0426/05963 No. Daftar Bil : INPOB/0426/05960 User: Norasma No. Tel : 012-5985540</t>
  </si>
  <si>
    <t>T/2026/00263</t>
  </si>
  <si>
    <t>GL KOD TIADA DALAM PAPARAN (DR. )</t>
  </si>
  <si>
    <t>AM2603-0073 AM2603-0072 AM2603-0071 GL KOD DI BAHAGIAN DEBIT (DR.) TIDAK DI PAPARKAN DALAM KOD AKAUN</t>
  </si>
  <si>
    <t>T/2026/00265</t>
  </si>
  <si>
    <t>NO PRINSIP TIDAK KELUAR - NO 007420</t>
  </si>
  <si>
    <t>NAK PELAWA BALIK TETAPI KELULUSAN PRINSIP TAK ADA. - NO KELULUSAN PRINSIP 007420 Nama: suhadah No Contact: 01126316857 Desc: upkan semula no prinsip Sebab sebelum ni dah buat sebutharga, tapi kena batal. Nak kena pelawa semula. No 007420</t>
  </si>
  <si>
    <t>T/2026/00266</t>
  </si>
  <si>
    <t>NAK BUAT PO TETAPI NO KELULUSAN TAK KELUAR - NO. R260594</t>
  </si>
  <si>
    <t>NAK BUAT PO TETAPI NO KELULUSAN TAK KELUAR - NO. R260594 Nama: khairunnisa hashim No Contact:013744246 Desc:perolehan ni dah di luluskan tp tak masuk dlam diluluskan oleh itu tak boleh buat LO...</t>
  </si>
  <si>
    <t>T/2026/00269</t>
  </si>
  <si>
    <t>JANAAN KOD TIDAK KELUAR</t>
  </si>
  <si>
    <t>Nama: NOR LIJA HASHIM No Contact: 4347 Desc: Kod yang sudah dijana tiada pada user, tidak dapat dikeluarkan semasa membuat inbois</t>
  </si>
  <si>
    <t>T/2026/00274</t>
  </si>
  <si>
    <t>KESILAPAN KIRAAN PADA JUMLAH BAUCAR</t>
  </si>
  <si>
    <t>Jumlah baucar yang sepatutnya dibayar adalah RM1,551.50 tetapi jumlah kiraan oleh sistem adalah RM1,293.50. Oleh itu, menyebabkan perbezaan bayaran sebanyak RM258.00.</t>
  </si>
  <si>
    <t>T/2026/00276</t>
  </si>
  <si>
    <t>PERAKUAN PRINSIP/PERMOHONAN/BELUM LULUS - saya tidak boleh nampak permohonan oleh Bhg. LNE</t>
  </si>
  <si>
    <t>T/2026/00277</t>
  </si>
  <si>
    <t>PEMILIHAN PEMBEKAL - KESILAPAN PADA PENYOKONG</t>
  </si>
  <si>
    <t>POHON RETURN PADA PENYEDIA KERANA KESILAPAN NAMA PADA PENYOKONG. Mohon untuk sertakan maklumat seperti berikut di bahagian detail beserta lampiran (skrin shot error dsb): Nama: shuhadah No Contact: 01126316857 Desc: return kan semula ke penyedia. Module myprocurement - pemilihan syarikat. Bernombor R260846, R260847, R260849</t>
  </si>
  <si>
    <t>T/2026/00278</t>
  </si>
  <si>
    <t>No. Po tiada di paparan daftar bil INPOB/0426/06108</t>
  </si>
  <si>
    <t>No. Po tiada di daftar bil INPOB/0426/06108 User: Norasma no. Hp : 012-5985540</t>
  </si>
  <si>
    <t>T/2026/00281</t>
  </si>
  <si>
    <t>CRNFMDD/1225/00055 RALAT</t>
  </si>
  <si>
    <t>CRNFMDD/1225/00055 ralat semasa pengesahan nota kredit NAMA : liyana No Tel: 01110405664</t>
  </si>
  <si>
    <t>T/2026/00284</t>
  </si>
  <si>
    <t>RCPFMDD/0226/01621</t>
  </si>
  <si>
    <t>RCPFMDD/0226/01621 maklumat pada resit tidak dapat diubah menjadikan kod akaun dan jumlah tidak tepat AMAUN SEPATUTNYA RM81,039.98 NAMA : liyana No tel : 01110405664</t>
  </si>
  <si>
    <t>T/2026/00287</t>
  </si>
  <si>
    <t>No. Daftar Bil INPOB/0326/04437 tidak dijumpai semasa proses penyediaan baucer bayaran</t>
  </si>
  <si>
    <t>User: Norasma No. Hp: 0125985540</t>
  </si>
  <si>
    <t>T/2026/00288</t>
  </si>
  <si>
    <t>Carian DO tidak boleh dipilih semasa proses Daftar Bil ( ada keluar error)- DataTables warning: table id=findLOforInvoiceTable - Requested unknown parameter '3' for row 7. For more information about this error, please see http://datatables.net/tn/4</t>
  </si>
  <si>
    <t>Keluar Error ni : DataTables warning: table id=findLOforInvoiceTable - Requested unknown parameter '3' for row 7. For more information about this error, please see http://datatables.net/tn/4 User: Norasma No. Hp: 012-5985540</t>
  </si>
  <si>
    <t>T/2026/00289</t>
  </si>
  <si>
    <t>Bantuan MuatNaik Dokumen Invois bagi Daftar Bil INPOB/0426/06442</t>
  </si>
  <si>
    <t>Bantuan MuatNaik Dokumen Invois bagi Daftar Bil INPOB/0426/06442 User: Norasma No. Hp: 0125985540</t>
  </si>
  <si>
    <t>T/2026/00290</t>
  </si>
  <si>
    <t>Bantuan MuatNaik Dokumen Invois bagi Daftar Bil INPOB/0426/06442 Dokumen yang telah di muatnaik hilang setelah lebih 5x cubaan Pohon bantuan muatnaik dokumen tersebut seperti dilampiran User: Norasma No. Hp: 0125985540</t>
  </si>
  <si>
    <t>T/2026/00294</t>
  </si>
  <si>
    <t>SISTEM MY VENDOR</t>
  </si>
  <si>
    <t>Pembekal tidak boleh buka bahagian tawaran harga Nama: Jana No Contact: 0126045704 Desc: Pembekal tak boleh buka tawaran harga.</t>
  </si>
  <si>
    <t>T/2026/00295</t>
  </si>
  <si>
    <t>Up Semula PO bagi Bayaran Berperingkat -LPO/BSRD0501/0825/00081</t>
  </si>
  <si>
    <t>Pohon SW Up Semula PO LPO/BSRD0501/0825/00081 bagi Bayaran Berperingkat Terdapat 6 invois yang perlu di key in di Modul ABB-Invois User: Norasma H/P: 012-5985540</t>
  </si>
  <si>
    <t>T/2026/00296</t>
  </si>
  <si>
    <t>PERTUKARAN KAEDAH PEROLEHAN DARIPADA RUNDINGAN TERUS KEPADA PEMBELIAN TERUS</t>
  </si>
  <si>
    <t>Ticket No. 1 (URGENT) : Pertukaran Kaedah Perolehan daripada Rundingan Terus kepada Pembelian Terus - No. Rujukan Kelulusan Prinsip (008019). Nama pemohon : Rozana binti Khairul Anuar, ext : 4222, e-mel : rzana@mpob.gov.my</t>
  </si>
  <si>
    <t>T/2026/00297</t>
  </si>
  <si>
    <t>SENARAI RUNDINGAN TERUS DIDAPATI HILANG DALAM BOX STATUS 'TELAH DILULUSKAN'</t>
  </si>
  <si>
    <t>Ticket No. 2 (URGENT) : (2) Senarai Rundingan Terus Didapati Hilang Dalam Box Status 'Telah Diluluskan' - No. Rujukan : MPOB (RT/PDAS) 3/2026 dan MPOB (RT/PDAS) 6/2026. Nama pemohon : Rozana binti Khairul Anuar, ext : 4222, e-mel : rzana@mpob.gov.my</t>
  </si>
  <si>
    <t>T/2026/00301</t>
  </si>
  <si>
    <t>PENUKARAN NAMA PENYEMAK BAJET KELULUSAN PRINSIP</t>
  </si>
  <si>
    <t>Ticket No. 3 (URGENT) : Penukaran nama Penyemak Bajet Kelulusan Prinsip Perolehan daripada Rozana Abu Bakar kepada Rozana Khairul Anuar - No. Rujukan : 010322. Nama Pemohon : Rozana binti Khairul Anuar, Ext : 4222, e-mel : rzana@mpob.gov.my</t>
  </si>
  <si>
    <t>T/2026/00303</t>
  </si>
  <si>
    <t>MAKLUMAT DAFTAR PEMBEKAL</t>
  </si>
  <si>
    <t>Pohon semakan pada maklumat daftar pembekal. Syarikat telah buat bayaran tapi tidak boleh tick telah di bayar Nama Syarikat : Pembekal Lagenda Cemerlang (M) Sdn Bhd Nama Syarikat : NALANG ENTERPRISE</t>
  </si>
  <si>
    <t>T/2026/00308</t>
  </si>
  <si>
    <t>MODUL PELUPUSAN ASET</t>
  </si>
  <si>
    <t>1. Permohonan yang telah dilakukan hilang semasa carian. 2. Pegawai pengesah dan pelulus tidak dapat paparan 3. No.ID pemeriksa tidak keluar untuk memilih pemeriksa bagi pelupusan 4. Tidak dapat upload memo disebabkan carian</t>
  </si>
  <si>
    <t>T/2026/00310</t>
  </si>
  <si>
    <t>TIADA NO PRINSIP (009589) SEMASA PEMILIHAN PELAWAAN</t>
  </si>
  <si>
    <t>TELAH DILULUSKAN PADA 31/03/2026 (SEPERTI DILAMPIRAN). TETAPI SEMASA MEMASUKKAN NO RUJUKAN DI PERMOHONAN SEBUT HARGA, NO RUJUKAN TIDAK DI PAPARKAN (SEPERTI DILAMPIRAN). KEMUDIAN SEMAKAN DIBUAT DI PINDAAN PRINSIP (PERAKUAN PRINSIP) DIDAPATI STATUS PEMBETULAN PRINSIP (SEPERTI DILAMPIRAN)</t>
  </si>
  <si>
    <t>T/2026/00318</t>
  </si>
  <si>
    <t>TIADA NO PRINSIP (009618) UNTUK PELAWAAN SEBUT HARGA</t>
  </si>
  <si>
    <t>Tiada No Prinsip 009618 bagi pelawaan sebut harga. Untuk maklum sebelum ini dah buat pelawaan sebut harga tetapi ada kesilapan kat kod bidang. Jadi kami telah hapus kan sebut harga itu. bila nk buat baru tak keluar no prinsip ini</t>
  </si>
  <si>
    <t>T/2026/00319</t>
  </si>
  <si>
    <t>No. Daftar Bil- INPOB/0426/05960 hilang dari sistem pohon tindakan segera</t>
  </si>
  <si>
    <t>Akaun Belum Bayar-Inbois No. Daftar Bil- INPOB/0426/05960 hilang dari sistem User: Norasma h/p: 012-5985540</t>
  </si>
  <si>
    <t>T/2026/00322</t>
  </si>
  <si>
    <t>SUPPLIER TAK BOLEH UPLOAD DOKUMEN SEBUT HARGA DI MY VENDOR</t>
  </si>
  <si>
    <t>SUPPLIER TAK BOLEH UPLOAD DOKUMEN SEBUT HARGA DI MY VENDOR. TIADA BUTTOM UPLOAD Jana - 012-6045704</t>
  </si>
  <si>
    <t>T/2026/00326</t>
  </si>
  <si>
    <t>HILANG PELULUS DALAM DAFTAR BIL</t>
  </si>
  <si>
    <t>pohon masukan jawatan pelulus dalm bil ini : INPOB/0426/06985, bil tidak sampai pada tracking pelulus.</t>
  </si>
  <si>
    <t>T/2026/00333</t>
  </si>
  <si>
    <t>Baucer Bayaran Gagal Disimpan</t>
  </si>
  <si>
    <t>My Financial-Akaun Belum Bayar-Baucer Baucer bayaran gagal disimpan</t>
  </si>
  <si>
    <t>T/2026/00338</t>
  </si>
  <si>
    <t>SALAH KOD AKAUN DI BAUCAR</t>
  </si>
  <si>
    <t>kod akaun bagi VOPOB/0526/13400 tak sama seperti inbois INPOB/0426/07132. Kod akaun sebenar adalah seperti di inbois iaitu MEIDD0301B0221103</t>
  </si>
  <si>
    <t>T/2026/00339</t>
  </si>
  <si>
    <t>Baucer No VOPOB/0326/09760</t>
  </si>
  <si>
    <t>Baucer No VOPOB/0326/09760 tiada di skrin pengesahan baucer tetapi ada dalam rekod pertanyaan baucer.</t>
  </si>
  <si>
    <t>T/2026/00341</t>
  </si>
  <si>
    <t>INPOB/326/05312</t>
  </si>
  <si>
    <t>INPOB/326/05312 perlu dibatalkan tetapi tidak wujud dalam sistem</t>
  </si>
  <si>
    <t>T/2026/00342</t>
  </si>
  <si>
    <t>INPOB/0226/02914</t>
  </si>
  <si>
    <t>INPOB/0226/02914 perlu dibatalkan tetapi tidak wujud dalam sistem</t>
  </si>
  <si>
    <t>T/2026/00343</t>
  </si>
  <si>
    <t>VOPOB/0426/11754</t>
  </si>
  <si>
    <t>VOPOB/0426/11754 perlu dibatalkan tetapi tiada dalam sistem</t>
  </si>
  <si>
    <t>T/2026/00344</t>
  </si>
  <si>
    <t>BAUCER PERLU BATAL</t>
  </si>
  <si>
    <t>Baucer perlu batal tetapi tiada dalam sistem : 1)VOPOB/0426/11759 2)VOPOB/0426/11074 3)VOPOB/0326/09761 4)VOPOB/0326/09874</t>
  </si>
  <si>
    <t>T/2026/00345</t>
  </si>
  <si>
    <t>No. Daftar Bil tiada dalam maklumat carian semasa proses penyediaan baucer bayaran</t>
  </si>
  <si>
    <t>T/2026/00346</t>
  </si>
  <si>
    <t>BAUCER PERLU DIBATAL</t>
  </si>
  <si>
    <t>VOPOB/0426/11063 perlu dibatalkan tetapi tiada dalam sistem</t>
  </si>
  <si>
    <t>T/2026/00348</t>
  </si>
  <si>
    <t>DAFTAR BIL PERLU BATAL</t>
  </si>
  <si>
    <t>INPOB/0326/05255 PERLU DIBATALKAN TAPI TIDAK DIJUMPAI DIDALAM SYSTEM</t>
  </si>
  <si>
    <t>T/2026/00349</t>
  </si>
  <si>
    <t>TIADA NO PRINSIP ( 009221) UNTUK PELAWAAN.</t>
  </si>
  <si>
    <t>tiada no prinsip ( 009221) untuk pelawaan syarikat bagi pembelian terus</t>
  </si>
  <si>
    <t>T/2026/00350</t>
  </si>
  <si>
    <t>URGENT : BATAL PADA PEMILIHAN PEMBEKAL - 009780</t>
  </si>
  <si>
    <t>Sy nak batalkan kelulusan perolehan ni , sbb kesilapan maklumat item dan jumlah, maklumat item jdi triple. Tp x berjaya, dah byk kali try batal tp status masih telah diluluskan. User x pakai barang tu urgent. Selagi x batal, user x bole buat pemilihan pembekal semula</t>
  </si>
  <si>
    <t>T/2026/00352</t>
  </si>
  <si>
    <t>MASALAH PADA PO</t>
  </si>
  <si>
    <t>ADA 2 NAMA, PENOLONG AKAUNTAN DAN PENOLONG PEGAWAI TADBIR</t>
  </si>
  <si>
    <t>T/2026/00357</t>
  </si>
  <si>
    <t>MyStor</t>
  </si>
  <si>
    <t>modul pengeluaran stok antara stor</t>
  </si>
  <si>
    <t>1. item butiran hilang bila disimpan 2. pengesan dan pegawai lulus tidak terima 3. mintak semak semuala flow modul pengeluaran stok antara stor</t>
  </si>
  <si>
    <t>T/2026/00359</t>
  </si>
  <si>
    <t>BAYARAN &amp; PO</t>
  </si>
  <si>
    <t>PO NO. LPO/FMDD301/0725/00072 TIDAK DAPAT DI CAPTURE SEMASA PROSES INVOICE ( DAFTAR BIL)</t>
  </si>
  <si>
    <t>T/2026/00360</t>
  </si>
  <si>
    <t>PENGESAHAN PENERIMAAN</t>
  </si>
  <si>
    <t>LPO/FMDD0522/0426/00033 - TOONG STAR SDN BHD. NO. PO INI TAK ADA DALAM PENGESAHAN PENERIMAN .</t>
  </si>
  <si>
    <t>T/2026/00361</t>
  </si>
  <si>
    <t>DAFTAR BIL PERLU BATAL TETAPI TIDAK WUJUD DALAM SISTEM</t>
  </si>
  <si>
    <t>INPOB/0526/08446 PERLU BATAL TAPI TIDAK WUJUD DALM SISTEM</t>
  </si>
  <si>
    <t>T/2026/00364</t>
  </si>
  <si>
    <t>URGENT - MAKLUMAT PADA PO TIDAK KELUAR.</t>
  </si>
  <si>
    <t>TERDAPAT 2 PO TIDAK KELUAR MAKLUMAT. SEBELUM POST ADA. TAPI BILA DAH POS DAN NAK PRINT MAKLUMAT ITU TAK ADA. kami ada masalah utk print PO. 1)LPO/AOTD0401/0526/00040 - ITEM no.1, kuantiti 0.5. kesilapan jadi 1 selepas kelulusan LPO. 2)LPO/ITCS0501/0526/00011 - Maklumat item, No.LPO &amp; kod bajet hilang selepas kelulusan.</t>
  </si>
  <si>
    <t>T/2026/00365</t>
  </si>
  <si>
    <t>TAK DAPAT ACCESS UNTUK DAFTAR ASSET</t>
  </si>
  <si>
    <t>tak boleh nak daftar aset, TERIMAAN ASSET</t>
  </si>
  <si>
    <t>SLA EXCEED BY CLIENTS</t>
  </si>
  <si>
    <t>T/2026/00041</t>
  </si>
  <si>
    <t>ISU 1: TIDAK BOLEH TUKAR SAKSI KEDUA</t>
  </si>
  <si>
    <t>TERDAPAT PERTUKARAN PEGAWAI PADA 1 JANUARI 2026. PEGAWAI YANG DILANTIK SEBAGAI SAKSI KEDUA TELAH BERTUKAR BAHAGIAN LAIN. ADMINISTRATOR TELAH MENUKARKAN PEGAWAI LAIN UNTUK SAKSI KEDUA PADA 8 FEBRUARI 2026. SEHINGGA HARI INI (2 MAC 2026), MASALAH INI BELUM SELESAI</t>
  </si>
  <si>
    <t>T/2026/00043</t>
  </si>
  <si>
    <t>ISU 2: TIDAK DAPAT SIMPAN PERMOHONAN DALAM MYLOAN</t>
  </si>
  <si>
    <t>SELEPAS MEMASUKKAN SAKSI PERTAMA, SISTEM TIDAK PROCEED KE PERINGKAT SETERUSNYA</t>
  </si>
  <si>
    <t>T/2026/00121</t>
  </si>
  <si>
    <t>MAKLUMAT KAKITANGAN TIDAK TEPAT</t>
  </si>
  <si>
    <t>Tarikh lantikan menggunakan tarikh semasa (hari ini).</t>
  </si>
  <si>
    <t>T/2026/00272</t>
  </si>
  <si>
    <t>MAKLUMAT PEGAWAI TIDAK TEPAT</t>
  </si>
  <si>
    <t>tarikh lantikan menggunakan tarikh semasa (hari ini).</t>
  </si>
  <si>
    <t>T/2026/00273</t>
  </si>
  <si>
    <t>tempoh bayaran balik tidak dapat dipilih</t>
  </si>
  <si>
    <t>tidak dapat pilih atau taip</t>
  </si>
  <si>
    <t>T/2026/00293</t>
  </si>
  <si>
    <t>TIDAK DAPAT MEMBUAT PENGESAHAN PENERIMAAN</t>
  </si>
  <si>
    <t>PEMOHON TIDAK DAPAT MEMBUAT PENGESAHAN PENERIMAAN. RUJUKAN : NO. LO : LO1225/01161 NO. PENERIMAAN : PR005922</t>
  </si>
  <si>
    <t>T/2026/00300</t>
  </si>
  <si>
    <t>TIDAK DAPAT LOGIN KE MYERP</t>
  </si>
  <si>
    <t>MINTA SEMAK KAKITANGAN BERIKUT TIDAK DAPAT LOGIN KE MYERP : NO GAJI :0804 NO KP :910310035915</t>
  </si>
  <si>
    <t>T/2026/00304</t>
  </si>
  <si>
    <t>TIDAK DAPAT MEMBUAT PEMBATAL JURNAL</t>
  </si>
  <si>
    <t>JURNAL NO RUJUKAN : JE25/00143 TELAH BERSTATUS POS TIDAK DAPAT DIBATALKAN KERANA KELUAR ERROR SEPERTI DI LAMPIRAN.</t>
  </si>
  <si>
    <t>T/2026/00335</t>
  </si>
  <si>
    <t>MYSTOR</t>
  </si>
  <si>
    <t>Pembaikian Nama Pegawai Stor Kepada Pegawai Pelulus</t>
  </si>
  <si>
    <t>Tukarkan jawatan pegawai stor kepada pegawai pelulus di modul permohonan sebagaimana di lampiran.</t>
  </si>
  <si>
    <t>T/2026/00340</t>
  </si>
  <si>
    <t>PERUBAHAN KADAR LOJING DAN KILOMETER DALAM SISTEM MYCLAIM</t>
  </si>
  <si>
    <t>Minta pihak tuan mengemaskini kadar baru sebagaimana Pekeliling Perbendaharaan WP1.4 :KEMUDAHAN BERTUGAS RASMI DAN BERKURSUS BAGI PEGAWAI PERKHIDMATAN AWAM PERSEKUTUAN yang di lampirkan.</t>
  </si>
  <si>
    <t>T/2026/00419</t>
  </si>
  <si>
    <t>PERBEZAAN AMAUN TUNAI DI LEJAR DAN KUNCI KIRA-KIRA</t>
  </si>
  <si>
    <t>TERDAPAT PERBEZAAN AMAUN TUNAI (A11101) PADA LEJAR AM DAN KUNCI KIRA-KIRA SEPERTI BERIKUT : PERBEZAAN AMAUN TUNAI (A11101) DI LEJAR AM DAN KUNCI KIRA-KIRA ADALAH SEBANYAK RM46,279.84. MINTA SEMAK DAN PERBETULKAN AMAUN YANG SEBENAR.</t>
  </si>
  <si>
    <t>T/2026/00425</t>
  </si>
  <si>
    <t>Data Pemohon Sistem Myloan Tidak Keluar</t>
  </si>
  <si>
    <t>Pemohon telah membuka sistem myloan dan membuat permohonan, data pemohon tidak keluar.bila klik pada tarikh tidak boleh. Dilampirkan screen shot daripada komputer pemohon.</t>
  </si>
  <si>
    <t>T/2026/00437</t>
  </si>
  <si>
    <t>PEMOHON TIDAK DAPAT MEMBUAT PENGESAHAN PENERIMAAN</t>
  </si>
  <si>
    <t>PEMOHON BAGI LO BERNOMBOR LO0626/00319 TIDAK DAPAT MEMBUAT PENGESAHAN PENERIMAAN KERANA DIDAPATI BIL. ITEM YANG DIJANA DALAM PENGESAHAN PENERIMAAN TIDAK MENCUKUPI. BIL ITEM YANG ADA HANYA BIL 1 HINGGA BIL 7 SAHAJA.</t>
  </si>
  <si>
    <t>T/2025/00181</t>
  </si>
  <si>
    <t>Nama bank tidak tertera pada LPO</t>
  </si>
  <si>
    <t>1. LOOPK1125/00629 : nama bank tidak tertera sepenuhnya bagi syarikat Azor Industries Sdn Bhd apabila LPO di etak. 2. Nama bank sebenar : RHB Bank Pengadu: Alisya Idrus</t>
  </si>
  <si>
    <t>T/2025/00182</t>
  </si>
  <si>
    <t>Tidak terima notifikasi melalui emel</t>
  </si>
  <si>
    <t>1. Notifikasi - notis pembayaran melalui EFT tidak diterima oleh pihak pembekal, pegawai projek 2. Notis untuk tuntutan/pendahuluan juga tidak diterima oleh pagawai MTIB Pengadu: Siti Zahrah Senin</t>
  </si>
  <si>
    <t>T/2025/00183</t>
  </si>
  <si>
    <t>Tidak boleh print baucar BCOWS0725/00181</t>
  </si>
  <si>
    <t>Tidak boleh print baucar bayaran BCOWS0725/00181 Pengadu: Mohamad Azrul Azlan</t>
  </si>
  <si>
    <t>T/2025/00185</t>
  </si>
  <si>
    <t>Kelulusan baucar bayaran perlahan</t>
  </si>
  <si>
    <t>Sistem MyFinancial bagi peringkat kelulusan baucar bayaran perlahan dan bahagian untuk muat naik perlahan dan bahagian untuk muat naik penyata EFT juga mempunyai masalah yang sama. Pengadu: Mohamad Azrul Azlan</t>
  </si>
  <si>
    <t>T/2025/00188</t>
  </si>
  <si>
    <t>Dua baucar bayaran terdapat dalam sistem MyFinancial</t>
  </si>
  <si>
    <t>Baucar bayaran BCOPK1125/04118 terdapat dua dalam sistem MyFinancial/ SAGA. Satu telah selesai dan satu masih di peringkat kelulusan. Pengadu: Mohamad Azrul Azlan</t>
  </si>
  <si>
    <t>T/2025/00193</t>
  </si>
  <si>
    <t>Tidak dapat 'simpan' untuk kedua-dua MyFinancial web dan client (lampiran)</t>
  </si>
  <si>
    <t>Tidak dapat 'simpan' untuk kedua-dua MyFinancial web dan client (lampiran) Pengadu: Nor Hafizah Yusoff</t>
  </si>
  <si>
    <t>T/2025/00195</t>
  </si>
  <si>
    <t>Penambahbaikan laporan</t>
  </si>
  <si>
    <t>Mohon penambahbaikan laporan pada sistem MYINVESTMENT seperti lampiran. Pengadu: Norhayati Muhamad</t>
  </si>
  <si>
    <t>Change Request</t>
  </si>
  <si>
    <t>T/2025/00197</t>
  </si>
  <si>
    <t>Masalah Pentadbir Tidak Boleh Buat Cetakan Perjanjian dan Cetakan Permohonan</t>
  </si>
  <si>
    <t>Pentadbir klik pada button cetakan perjanjian atau cetakan permohon tetapi paparan no. akaun sahaja. Untuk semua pemohon seperti di lampiran.</t>
  </si>
  <si>
    <t>T/2025/00198</t>
  </si>
  <si>
    <t>Pentadbir Nor Atikah Tidak boleh hapus permohonan</t>
  </si>
  <si>
    <t>Tiada fungsi hapus atau roles dibenarkan kepada Nor Atikah (PSM) untuk hapus permohonan/rekod Nurul Iman seperti di lampiran kerana pemohon tak jadi mohon pinjaman.</t>
  </si>
  <si>
    <t>T/2025/00199</t>
  </si>
  <si>
    <t>Format Tarikh diseragamkan kepada "DD/MM/YYYY" untuk Tarikh Awal dan Tarikh Akhir beserta Paparan Masa</t>
  </si>
  <si>
    <t>Pentadbir boleh keliru apabila tarikh tidak ikut format memandangkan terdapat rekod yang mempunyai masa dan untuk keperluan semakan. Cth rekod Noruzanna Binti Mazlan dan Faizrullah spt di lampiran.</t>
  </si>
  <si>
    <t>T/2025/00200</t>
  </si>
  <si>
    <t>Permohonan komputer tak perlu penjamin. Hanya ada saksi sahaja.</t>
  </si>
  <si>
    <t>Permohonan komputer tak perlu penjamin.Sekadar ada saksi sahaja . Tapi dalam status En.Azelan Ishak ada paparan status penjamin kedua. Mohon selaras dan pastikan tiada ralat.</t>
  </si>
  <si>
    <t>T/2025/00201</t>
  </si>
  <si>
    <t>SSPA</t>
  </si>
  <si>
    <t>Pelaksanaan dan Pengaktifan SSPA Fasa 2</t>
  </si>
  <si>
    <t>Rujuk perbincangan bersama En.Asri, En.Fadhil dan Pn.NurHayati pada 9/12/2024 dan terakhir 18/12/2025. Penolakan kredit penyelenggaraan sebanyak 49 jam adalah keputusan yg diputuskan semasa mesyuarat tersebut. Walaubagaimanapun, terdapat keperluan baharu yg difahamkan oleh En.Asri perlu semakan semula pasukan MyPayroll SW.</t>
  </si>
  <si>
    <t>T/2025/00202</t>
  </si>
  <si>
    <t>TIDAK BOLEH MEMBUAT PERCETAKAN</t>
  </si>
  <si>
    <t>Tidak dapat membuat cetakan terus dari sistem MyFinancial tetapi boleh melalui 'text view'. Namun butiran baucar akan terputus ke baucar seterusnya. Untuk itu setiap baucar perlu diperbetul margin sebelum membuat cetakan. Pengadu: Suhani Hassan</t>
  </si>
  <si>
    <t>T/2026/00367</t>
  </si>
  <si>
    <t>Aduan MyFinancial</t>
  </si>
  <si>
    <t>1. Masalah teknikal 'Server Error' di sistem MyFinancial ketika pengesahan LPO mengakibatkan ianya tidak berjaya disahkan. 2. LPO terlibat ialah: LOOPK0526/00237 LOOPK0526/00238 LOOPK0526/00239 LOOPK0526/00240 LOOPK0526/00241 LOOPK0526/00242 LOOPK0526/00243 LOOPK0526/00244 LOOPK0526/00245</t>
  </si>
  <si>
    <t>T/2026/00372</t>
  </si>
  <si>
    <t>Pengguna tidak boleh keyin untuk laksanakan RO. Apabila peruntukan dana pembangunan dipilih, di Bahagian/ Unit tiada pilihan untuk VOT 70 (RMK 12). Hanya keluar nama bahagian sahaja. Mohon diperbetul SEGERA. Pengadu: Puan Norazita (Bahagian Pembangunan Perdagangan)</t>
  </si>
  <si>
    <t>T/2026/00430</t>
  </si>
  <si>
    <t>Isu MyFinancial</t>
  </si>
  <si>
    <t>1. Terdapat masalah teknikal 'Server Error' di sistem MyFinancial ketika pengesahan LPO dan tidak berjaya disahkan (seperti lampiran). 2. No LPO: LOOPK0626/00278 Mohon tindakan segera.</t>
  </si>
  <si>
    <t>Issue by Clients</t>
  </si>
  <si>
    <t>KUIPS</t>
  </si>
  <si>
    <t>KHTP (KTPC)</t>
  </si>
  <si>
    <t>KUIPS (Warranty)</t>
  </si>
  <si>
    <t>T/2025/00150</t>
  </si>
  <si>
    <t>PENAMBAHAN COLUMN 'TARIKH PERMOHONAN' DI MENU</t>
  </si>
  <si>
    <t>PENAMBAHAN COLUMN TARIKH PERMOHONAN DI MENU "PERMOHONAN BAGI STAF YANG TERLIBAT"</t>
  </si>
  <si>
    <t>T/2026/00014</t>
  </si>
  <si>
    <t>MYPANJAR</t>
  </si>
  <si>
    <t>TUKAR NAMA STATUS DI MYPANJAR</t>
  </si>
  <si>
    <t>MOHON TUKAR STATUS DI PERINGKAT KELULUSAN AKHIR DARIPADA BAHAGIAN KEWANGAN KEPADA 'KELULUSAN SETIAUSAHA EKSEKUTIF' DI PANJAR PERUBATAN</t>
  </si>
  <si>
    <t>T/2026/00237</t>
  </si>
  <si>
    <t>RESIT DAN BIL TIDAK BOLEH DI CETAK</t>
  </si>
  <si>
    <t>Salam. Bahagian Akaun Belum Terima untuk BIL dan RESIT yang telah disahkan tidak boleh di cetak. Apabila klik butang CETAK tiada paparan. Terima kasih.</t>
  </si>
  <si>
    <t>T/2026/00241</t>
  </si>
  <si>
    <t>BUTANG 'CETAK' TIADA PAPARAN (LAPORAN KEWANGAN)</t>
  </si>
  <si>
    <t>Salam. Mohon bantuan. Bahagian Laporan Kewangan tidak boleh di cetak. Apabila butang "CETAK" ditekan tiada paparan yang keluar, rujuk lampiran. Lejer Am, Timbang duga, Penyata Pendapatan dan Kunci kira-kira. Terima kasih.</t>
  </si>
  <si>
    <t>T/2026/00245</t>
  </si>
  <si>
    <t>KELUAR ERROR BILA KLIK BUTANG SIMPAN (PANJAR AM)</t>
  </si>
  <si>
    <t>KELUAR ERROR BILA KLIK BUTANG SIMPAN (PANJAR AM) - SEPERTI DI LAMPIRAN</t>
  </si>
  <si>
    <t>T/2026/00267</t>
  </si>
  <si>
    <t>KELUAR ERROR APABILA BUAT PEMBATALAN</t>
  </si>
  <si>
    <t>KELUAR 'INTERNAL SERVER ERROR' APABILA BUAT PEMBATALAN TUNTUTAN DI MYPANJAR</t>
  </si>
  <si>
    <t>T/2026/00270</t>
  </si>
  <si>
    <t>TUKAR NAMA 'PENERIMA' DI BAUCAR MYFINANCIAL SEMASA INTEGRASI DARI MYPANJAR</t>
  </si>
  <si>
    <t>TUKAR NAMA 'PENERIMA' DI BAUCAR MYFINANCIAL SEMASA INTEGRASI DARI MYPANJAR, DARI NAMA AZURA BINTI GHAZALI KE FARAH IZWAH BINTI ALI</t>
  </si>
  <si>
    <t>T/2026/00275</t>
  </si>
  <si>
    <t>Kod Elaun Perjalanan di MyPayroll ada 2 kod akaun digunakan</t>
  </si>
  <si>
    <t>Elaun Perjalanan (Tetap) berjumlah RM380 telah diasingkan kod di MyPayroll. B12122 - Elaun Perjalanan (Jan 2025 - Mei 2025) B21104 - Elaun Perjalanan (Perbatuan), Bayaran Tambang Bas dan Teksi Dalam Negeri Kakitangan Awam (Jun 2025 - Disember 2025) Sepatutnya setiap bulan akan menggunakan kod yang sama B12122 di modul MyPayroll. Bagaimana boleh terasing Jun - Dis 2025 ke kod akaun B21104? Didapati kod juga telah bertukar ke B21104, sedangkan tahun 2024 LAM menggunakan kod B12122 seperti tahun-tahun sebelum ini. Mohon penjelasan dan betulkan kod B21104 ke kod B12122. Jurnal-jurnal gaji yang berkaitan juga perlu dibetulkan kod.</t>
  </si>
  <si>
    <t>T/2026/00279</t>
  </si>
  <si>
    <t>Sistem keluar ERROR</t>
  </si>
  <si>
    <t>Sedang gunakan sistem untuk kerja-kerja harian, tiba-tiba bila nak cetak utk view keluar error (seperti dilampiran)</t>
  </si>
  <si>
    <t>T/2026/00280</t>
  </si>
  <si>
    <t>15/4/2026 - Sistem sangat slow dari seawal pagi digunakan</t>
  </si>
  <si>
    <t>15/4/2026 - Sistem sangat slow dari seawal pagi digunakan, loading lebih dari 5 minit dan terus keluar error</t>
  </si>
  <si>
    <t>T/2026/00292</t>
  </si>
  <si>
    <t>Jumlah di Lejar Am --&gt; Jurnal tidak sama selepas di ubah</t>
  </si>
  <si>
    <t>Jumlah di Lejar Am --&gt; Jurnal tidak sama selepas di ubah dan tidak boleh disimpan. Sila rujuk lampiran.</t>
  </si>
  <si>
    <t>T/2026/00307</t>
  </si>
  <si>
    <t>Resit bagi matawang USD</t>
  </si>
  <si>
    <t>Salam. Mohon bantuan. Terdapat masalah pada 3 resit matawang USD yang ditarik dari BIL. 1. RELAM0725/02846 (BILAM0724/00023)- saya buat pembetulan, nak ubah untuk tambah keterangan namun 'maklumat bil' bhgn amaun berubah tidak sama dgn yang sy keyin 6,000usd. 2. RELAM1125/03745 (BILAM0925/00038) - saya buat pembetulan, nak ubah untuk tambah keterangan namun 'maklumat bil' bhgn amaun berubah tidak sama dgn yang sy keyin 11,000usd. 3. RELAM0326/00437 (BILAM0425/00019) - amaun resit jadi RM, sepatutnya dalam USD. 11,000usd. Mohon semak juga lejer penghutang. Jika saya pos amaun di lejer dalam USD, sepatutnya convert ke RM. Terima kasih.</t>
  </si>
  <si>
    <t>T/2026/00317</t>
  </si>
  <si>
    <t>'BATAL' DI PENGESAHAN JURNAL</t>
  </si>
  <si>
    <t>Mohon penjelasan, jika bahagian jurnal telah di 'POS' kemudian akan ke 'PENGESAHAN JURNAL'. 'PENGESAHAN' belum dibuat kerana ada pertukaran amaun pada jurnal, saya telah menekan butang 'BATAL'. Tetapi no jurnal tersebut tidak kembali semula ke bahagian Jurnal untuk di ubah, sebaliknya no jurnal tersebut telah tiada dan status jurnal 'HAPUS'. Contoh LAM/JNL26/00004. Bolehkah no jurnal ini dikembalikan semula?</t>
  </si>
  <si>
    <t>T/2026/00329</t>
  </si>
  <si>
    <t>SENARAI KATEGORI PENGHUTANG</t>
  </si>
  <si>
    <t>'Ralat' apabila nak tambah Kategori Penghutang. Akaun A18201 ACCRUED RENEWALS, A18202 ACCRUED REINSTATEMENT DAN A18203 ACCRUED REGISTRATION FEE</t>
  </si>
  <si>
    <t>T/2026/00331</t>
  </si>
  <si>
    <t>Penebusan IVR00101 dan IVR00102</t>
  </si>
  <si>
    <t>Mohon bantuan. Tersalah pilih 'Cara-cara penebusan' untuk 2 No Rujukan iaitu IVR00101 dan IVR00102. Bukan "Pengeluaran dan Pembaharuan" tetapi "Pengeluaran".</t>
  </si>
  <si>
    <t>T/2026/00334</t>
  </si>
  <si>
    <t>Senarai aset tidak keluar</t>
  </si>
  <si>
    <t>Di bahagian pelupusan selepas buat permohonan, carian aset tidak mengeluarkan keseluruhan senarai aset. Yang keluar hanya senarai aset 2024 sahaja.</t>
  </si>
  <si>
    <t>T/2026/00375</t>
  </si>
  <si>
    <t>Jurnal baru tidak boleh diboleh SIMPAN, akan keluar 'Ralat, no.jurnal sudah wujud'</t>
  </si>
  <si>
    <t>Key in jurnal baru tapi bila tekan simpan akan keluar 'Ralat, no.jurnal sudah wujud'</t>
  </si>
  <si>
    <t>T/2026/00420</t>
  </si>
  <si>
    <t>Tambahan bagi caruman Skim Lindung 24 Jam / Skim Kemalangan Bukan Bencana Kerja (SKBBK)</t>
  </si>
  <si>
    <t>PERKESO baru melancarkan Skim Lindung 24 Jam / Skim Kemalangan Bukan Bencana Kerja (SKBBK), mohon untuk masukkan template potongan caruman di dalam modul MyPayroll. Semua staf LAM akan menggunapakai caruman 'Jenis Pertama'</t>
  </si>
  <si>
    <t>T/2026/00431</t>
  </si>
  <si>
    <t>Tiada paparan bila tekan CETAK</t>
  </si>
  <si>
    <t>Modul Laporan MyAsset --&gt; Laporan Kewangan --&gt; Tiada paparan</t>
  </si>
  <si>
    <t>T/2026/00004</t>
  </si>
  <si>
    <t>Buku Tunai Nov 2025</t>
  </si>
  <si>
    <t>Mohon semakkan senarai resit dan baucer berikut tak masuk dalam 'buku tunai masuk bulan Nov 2025': 0000000041 hingga 00000000424 dan S1125/01141. tq</t>
  </si>
  <si>
    <t>T/2026/00006</t>
  </si>
  <si>
    <t>Laporan Pesanan Belian Tertunggak</t>
  </si>
  <si>
    <t>Mohon semak LO1025/00491 masih wujud dalam Laporan Pesanan Belian Tertunggak walaupun pembayaran penuh telah dibuat. Tq</t>
  </si>
  <si>
    <t>T/2026/00009</t>
  </si>
  <si>
    <t>KEMASKINI TARIKH LO0126/00022</t>
  </si>
  <si>
    <t>Mohon kemaskini tarikh LO0126/00022 seperti yang dilampirkan. Tq</t>
  </si>
  <si>
    <t>T/2026/00010</t>
  </si>
  <si>
    <t>KEMASKINI NO. JURNAL</t>
  </si>
  <si>
    <t>Mohon kemaskini no. jurnal: Tukar MYP/PAY26/00026 kepada MYP/PAY26/00001 Tukar MYP/PAY26/00027 kepada MYP/PAY26/00002 dan mohon setkan semula nombor sambungan seterusnya adalah MYP/PAY26/00003. Terima kasih.</t>
  </si>
  <si>
    <t>T/2026/00011</t>
  </si>
  <si>
    <t>Mohon kemaskini baucer MYP/PAY25/00223</t>
  </si>
  <si>
    <t>Assalam, mohon kemaskini kod akaun baucer MYP/PAY25/00223: 71-01-01-B29330 RM1,500.00 tukar kepada 71-01-01-B29310 80-06-06-B29330 RM2,463.00 tukar kepada 80-06-06-B29310 Terima kasih</t>
  </si>
  <si>
    <t>T/2026/00016</t>
  </si>
  <si>
    <t>Error pada permohonan pengeluaran stok - Stor Suplemen</t>
  </si>
  <si>
    <t>Bila klik button tambah (+) keluar error. En. Kamaruddin telah menghubungi En. Nik</t>
  </si>
  <si>
    <t>T/2026/00017</t>
  </si>
  <si>
    <t>Keluarkan penama Norsakinah binti Othman di dalam Sistem Mysupport</t>
  </si>
  <si>
    <t>email address: norsakinah.o@isn.gov.my</t>
  </si>
  <si>
    <t>T/2026/00019</t>
  </si>
  <si>
    <t>Tambahan Button Filter Status Aset pada Laporan Senarai Aset</t>
  </si>
  <si>
    <t>mohon masukkan button filter untuk status aset pada carian di Laporan Senarai Aset</t>
  </si>
  <si>
    <t>T/2026/00021</t>
  </si>
  <si>
    <t>Nama Penerima / Syarikat tak appear dalam Laporan Butiran Lejar Am</t>
  </si>
  <si>
    <t>T/2026/00024</t>
  </si>
  <si>
    <t>KEMASKINI BAUCER PS0126/00210</t>
  </si>
  <si>
    <t>Mohon kemaskini akaun bank bagi baucer PS0126/00210, tukar kepada 800101A11201. Tq</t>
  </si>
  <si>
    <t>T/2026/00138</t>
  </si>
  <si>
    <t>LAPORAN PESANAN BELIAN TERTUNGGAK</t>
  </si>
  <si>
    <t>Mohon semak LO1223/00562 di Laporan Pesanan Belian Tertunggak, pembayaran bagi LO tersebut telah selesai sepenuhnya tapi di Laporan Pesanan Belian Tertunggak masih ada baki. Terima kasih.</t>
  </si>
  <si>
    <t>T/2026/00260</t>
  </si>
  <si>
    <t>MOHON SEMAKAN LAPORAN PENGELUARAN STOK STOR FARMASI (OKTOBER-DISEMBER 2025)</t>
  </si>
  <si>
    <t>Jumlah nilai laporan pengeluaran stok stor farmasi (oktober-disember 2025) tidak selaras dengan Laporan Kedudukan Stok Suku Tahun Keempat 2025 (pada column Pengeluaran Suku Tahun Keempat 2025)</t>
  </si>
  <si>
    <t>T/2026/00325</t>
  </si>
  <si>
    <t>Tambah row bagi keterangan dalam cetakan baucar</t>
  </si>
  <si>
    <t>Mohon tambah row bagi keterangan dalam cetakan baucar. tq</t>
  </si>
  <si>
    <t>T/2026/00347</t>
  </si>
  <si>
    <t>Mohon tukarkan kod item PB24A menjadi PB24D</t>
  </si>
  <si>
    <t>STOR FARMASI - Kod item PB24A sekarang iaitu CAP CELECOXIB (CELEBREX) 200MG-PB ingin ditukarkan kepada kod item PB24D tanpa mengubah transaksi stok dari Tahun 2025.</t>
  </si>
  <si>
    <t>T/2026/00351</t>
  </si>
  <si>
    <t>KEMASKINI BAKI HUJUNG TAHUN KEW.PS3</t>
  </si>
  <si>
    <t>STOR PERUBATAN SUKAN- SILA KEMASKINI BAKI TAHUN 2025 UNTUK DIBAWA KE TAHUN 2026 UNTUK KEW.PS3 SEMUA ITEM</t>
  </si>
  <si>
    <t>T/2026/00370</t>
  </si>
  <si>
    <t>STOR FARMASI- MOHON KEMASKINI CHECK &amp; FOUND DI KEWPS.3</t>
  </si>
  <si>
    <t>MOHON KEMASKINI CHECK &amp; FOUND (PEN MERAH) DI KEWPS.3 SISTEM MYSTORE DALAM STOR FARMASI UNTUK BULAN JUN 2026.</t>
  </si>
  <si>
    <t>T/2026/00373</t>
  </si>
  <si>
    <t>Modul terimaan stok (STOR ALAT TULIS)</t>
  </si>
  <si>
    <t>T00456 - loading agak lama dan tak boleh pos terimaan</t>
  </si>
  <si>
    <t>T/2026/00382</t>
  </si>
  <si>
    <t>STOR PERUBATAN SUKAN- ERROR PADA 8 ITEM KOD P543,P544,P545,P546,P547,P548 &amp; 478,479</t>
  </si>
  <si>
    <t>8 ITEM INI IAITU KOD P543,P544,P545,P546,P547,P548 &amp; 478,479 TIDAK BOLEH DIPAPARKAN (ERROR) PADA SENARAI INVENTORI DALAM STOR PERUBATAN SUKAN. ITEM-ITEM INI TELAH DICIPTA NAMUN TIDAK DAPAT DIPAPARKAN UNTUK TUJUAN SEMAKAN STOK. ITEM-ITEM INI MASIH AKTIF. SILA KEMASKINI SEMULA ITEM-ITEM INI SEPERTI YANG DIBINCANGKAN DALAM WHATSAPP ANTARA EN NIK DAN EN MUHAIMIN PADA HARI INI 5/6/2026. ITEM KOD 474 TELAH DIKEMASKINI, MOHON LAKUKAN YANG SAMA UNTUK 8 LAGI ITEM SEPERTI DI ATAS.</t>
  </si>
  <si>
    <t>T/2026/00424</t>
  </si>
  <si>
    <t>STOR PERUBATAN SUKAN- KEMASKINI BAKI AWAL DI INVENTORI STOR</t>
  </si>
  <si>
    <t>SAYA INGIN MEMINTA UNTUK KEMASKINI BAKI AWAL DI INVENTORI STOR BAGI KOD P426 KERANA INI MERUPAKAN ITEM BARU DAN TIADA KUANTITI UNTUK BAKI AWAL. DI BAKI AWAL TERSEBUT IA TERTERA 480 UNIT DAN TERIMAAN ITEM JUGA 480 UNIT INI MENYEBABKAN TOTAL MENJADI 840 UNIT MANAKALA DI KEW-PS 3 IA HANYA SEBANYAK 480 UNIT SAHAJA . JADI SEPERTI YANG DIBINCANGKAN ANTARA EN. MUHAIMIN DAN EN. NIK UNTUK KEMASKINI BAKI AWAL TERSEBUT KEPADA 0 UNIT. TERIMA KASIH</t>
  </si>
  <si>
    <t>T/2026/00428</t>
  </si>
  <si>
    <t>KEW PA 11_PEMERIKSAAN ASET</t>
  </si>
  <si>
    <t>1) Selepas daftar pemeriksaan aset, pada sub modul_Cetak Pemeriksaan Aset, tiada maklumat dan tidak dapat pos data. 2) Bila cetak dokumen yang dah siap, pada Bahagian, maklumat tidak keluar/tidak lengkap.</t>
  </si>
  <si>
    <t>T/2026/00432</t>
  </si>
  <si>
    <t>STOR PERUBATAN SUKAN- KEMASKINI BAKI KEW-PS 3 BAGI TAHUN 2026</t>
  </si>
  <si>
    <t>KEMASKINI BAKI KEW-PS 3 BAGI TAHUN 2026 UNTUK 155 ITEM YANG TERLIBAT SEPERTI DIBINCANGKAN ANTARA EN. MUHAIMIN DAN EN.NIK TERIMA KASIH. -MUHAIMIN (ISN)</t>
  </si>
  <si>
    <t>T/2025/00118</t>
  </si>
  <si>
    <t>system stor.</t>
  </si>
  <si>
    <t>ada masalah salah key in data perlu dikemaskini sera merta , harap boleh datang ke msn untuk tolong , cadangan pada 3 july 2025 waktu 9:00am</t>
  </si>
  <si>
    <t>T/2025/00121</t>
  </si>
  <si>
    <t>Laporan JKPAK</t>
  </si>
  <si>
    <t>tambah filter laporan untuk mengabungkan stor utama dan stor kafe.</t>
  </si>
  <si>
    <t>T/2025/00124</t>
  </si>
  <si>
    <t>RALAT UNTUK PAPAR MAKLUMAT ASET TAK KETARA (HARTA INTELEK)</t>
  </si>
  <si>
    <t>- Butiran untuk harta intelek tidak dipaparkan setelah di klik.</t>
  </si>
  <si>
    <t>T/2025/00126</t>
  </si>
  <si>
    <t>perbincangan tentang sistem stor</t>
  </si>
  <si>
    <t>bincangkan tentang mewujudkan sistem stor unit bahagian dan lain lain -Hari Khamis 10 pagi</t>
  </si>
  <si>
    <t>T/2025/00149</t>
  </si>
  <si>
    <t>Penambahbaikan Sistem Stor</t>
  </si>
  <si>
    <t>Mohon untuk membuat beberapa perubahan di dalam sistem stor. A) Borang Permohonan Stok:- 1. Untuk mengemaskini senarai nama kakitangan Majlis dan Bahagian termasuk list venue-venue sukan MSN 2. Untuk buat drop down list sahaja bagi semua ruang kerana Majlis selalu membuat pertukaran tempat bertugas dan terdapat kenaikan pangkat. 3. Tambah ruang catatan dalam permohonan keluaran stok seperti di dalam Borang Kew p.s 8. Pastikan semasa kew p.s8 dijana, keterangan dalam ruang Catatan turut dicetak. 4. Tambah ruang unit dalam butiran permohonan keluaran stok.</t>
  </si>
  <si>
    <t>T/2025/00189</t>
  </si>
  <si>
    <t>Discussion</t>
  </si>
  <si>
    <t>Mohon hadir ke MSN pada 4 Disember 2025 (Khamis) , jam 3.00 ptg</t>
  </si>
  <si>
    <t>T/2025/00194</t>
  </si>
  <si>
    <t>PENAMBAHAN</t>
  </si>
  <si>
    <t>1. Status Aktif / Aktif - access pegawai stor sahaja. 2. Perubahan unit ukuran boleh diubah sehingga 31.12.2025. 3. Tambah kolum JUMLAH di setiap terimaan stok. 4. Laporan JKPAK - Selepas stok diserahkan ke Stor Unit, ianya tidak akan diambil kira dalam laporan JKPAK. 5. Laporan JKPAK - boleh dipaparkan mengikut stor dan mengikut tahun dengan menggabungkan Stor Utama, Stor Kafe dan Stor Peralatan Sukan.</t>
  </si>
  <si>
    <t>T/2026/00005</t>
  </si>
  <si>
    <t>Kemaskini Senarai Nama Kakitangan MSN yang terkini di dalam kedua-dua sistem</t>
  </si>
  <si>
    <t>Mohon kemaskini senarai nama pemohon di sistem My Store dan My Asset. Boleh masukkan nama kakitangan tetap dan kontrak.</t>
  </si>
  <si>
    <t>T/2026/00238</t>
  </si>
  <si>
    <t>ATK</t>
  </si>
  <si>
    <t>Isu yang telah dikenalpasti di dalam Rekod Pengeluaran My Store</t>
  </si>
  <si>
    <t>1. Urus setia telah memeriksa rekod pengeluaran sehingga rekod awal. Terdapat stok yang tiada penerimaan (pertambahan baki) tapi pengeluaran melebihi baki menyebabkan rekod stok menjadi negatif. 2. Pengeluaran dibuat, tiada penolakan baki tetapi ada rekod pengeluaran. 3. Rekod pengeluaran tidak dibuat mengikut pekeliling iaitu 'Masuk Dahulu, Keluar Dahulu' kerana urus setia dapati terdapat 2 rekod bagi suatu 1 item dengan harga yang berlainan dan setiap harga mempunyai baki. Contoh : Sampul surat saiz 6x9 09/05/2023 = 20 kotak x rm 158.80 16/07/2025 = 2 kotak x rm 78.00</t>
  </si>
  <si>
    <t>T/2026/00051</t>
  </si>
  <si>
    <t>MyKPI Phase 2 / ePMS</t>
  </si>
  <si>
    <t>KTPC</t>
  </si>
  <si>
    <t>user dashboard - epms</t>
  </si>
  <si>
    <t>status di Dashboard tak tally dengan status di Current (Progress) cth total kpi: 2 current progress : 1 in progress &amp; 1 completed paparan dashboard : 2 in progress --&gt; completed tak dikira?</t>
  </si>
  <si>
    <t>T/2026/00052</t>
  </si>
  <si>
    <t>PMS Setting - Part B &amp; C (missing value, weightage=null)</t>
  </si>
  <si>
    <t>PMS Setting - Part Organizational &amp; Part Behaviour - insert item melalui btn ( + ) Add New -&gt; weightage dlm db = null, so tiada value weightage di Menu Planning - kalau insert item melalui btn Duplicate -&gt; baru ada value weightage di Menu Planning</t>
  </si>
  <si>
    <t>T/2026/00119</t>
  </si>
  <si>
    <t>Corrective Action</t>
  </si>
  <si>
    <t>KPI Late - staff perlu isi corrective action Isu : Bila staff close kpi (completed), details corrective action tidak lagi dipaparkan. HOD / JPP xdapat nk view justification late waktu pemberian rating.</t>
  </si>
  <si>
    <t>T/2026/00120</t>
  </si>
  <si>
    <t>Decimal Point - Scoring Part</t>
  </si>
  <si>
    <t>semua page yg ada paparan scoring (Part A, Part B, Part C, Part D, Total Score) perlu standardize kepada format 2 decimal point. page : Dashboard, Current, Report</t>
  </si>
  <si>
    <t>T/2026/00123</t>
  </si>
  <si>
    <t>System Error</t>
  </si>
  <si>
    <t>Edits in KPI Planning cannot be saved after implementing hidden/commented shared KPI. Pls remote in tmr to resolve this buq. Urgent TQ</t>
  </si>
  <si>
    <t>T/2026/00124</t>
  </si>
  <si>
    <t>Admin- Enforce Rating</t>
  </si>
  <si>
    <t>Fungsi yang masih belum diwujudkan drpd UAT epmsv2 sehingga ke hari ini. Mohon diselesaikan.</t>
  </si>
  <si>
    <t>T/2026/00134</t>
  </si>
  <si>
    <t>Scoring - 2 decimal point</t>
  </si>
  <si>
    <t>Standard kan penggunaan 2 decimal point pada semua page yg ada paparan skor (dashboard, current, report) &amp; di semua peringkat role juga (staff, appraiser, report)</t>
  </si>
  <si>
    <t>T/2026/00321</t>
  </si>
  <si>
    <t>Searching KPI-Ibrahim 2026 - tiada rekod</t>
  </si>
  <si>
    <t>Searching KPI-Ibrahim tahun 2026 Status Approved, tiada dalam list di Menu Planning Review</t>
  </si>
  <si>
    <t>T/2026/00323</t>
  </si>
  <si>
    <t>My Performance Score 2026 di Menu Dashboard tak selari dengan pencapaian skor kpi di Menu Current</t>
  </si>
  <si>
    <t>My Performance Score 2026 di Menu Dashboard tak selari dengan pencapaian skor kpi di Menu Current - Menu Dashboard : papar pencapaian kpi yg diberikan oleh staff - Menu Current : papar pencapaian kpi yg diberikan di peringkat atasan (latest input)</t>
  </si>
  <si>
    <t>T/2026/00384</t>
  </si>
  <si>
    <t>PERMOHONAN PEMBELIAN</t>
  </si>
  <si>
    <t>SUSUNAN DIBAHAGIAN ITEM/KETERANGAN TIDAK SELARAS MENGIKUT TURUTAN JIKA BERLAKU ITEM/KETERANGAN YANG MELEBIHI 15 DAN KEATAS</t>
  </si>
  <si>
    <t>T/2026/00387</t>
  </si>
  <si>
    <t>CETAKAN PURCHASE ORDER DI BAHAGIAN LOGO MASIH BELUM TUKAR KEPADA UNISIRAJ / DAN DIBAHAGIAN BAWAH NAMA PELULUS DAN PENYEDIA MASIH PAKAI KOLEJ UNIVERSITI</t>
  </si>
  <si>
    <t>T/2026/00388</t>
  </si>
  <si>
    <t>KETERANGAN DALAM CETAKAN PESANAN BELIAN UNTUK TAMBAH ROW</t>
  </si>
  <si>
    <t>T/2026/00390</t>
  </si>
  <si>
    <t>KEW8</t>
  </si>
  <si>
    <t>KEW8 TIDAK REFLECT KE MYPAYROLL ( ADA CERTAIN AMOUNT JE TAK REFLECT) Farisya - bulan 2 2026. Bagi staf yang temporary inactive.</t>
  </si>
  <si>
    <t>T/2026/00391</t>
  </si>
  <si>
    <t>INTEGRASI</t>
  </si>
  <si>
    <t>- POTONGAN TAKAFUL TIDAK REFLECT KE MYFINANCIAL. MISSING (TIDAK BERLAKU PADA SETIAP BULAN) dan klinik panel bulan feb 2026.</t>
  </si>
  <si>
    <t>T/2026/00392</t>
  </si>
  <si>
    <t>BELANJAWAN</t>
  </si>
  <si>
    <t>PERUNTUKAN - TAMBAH / KURANG : CETAKAN PENYEDIA DAN PELULUS VIREMENT MASIH SALAH.</t>
  </si>
  <si>
    <t>T/2026/00395</t>
  </si>
  <si>
    <t>PERUNTUKAN - VIREMENT : CETAKAN PENYEDIA DAN PELULUS VIREMENT MASIH SALAH.</t>
  </si>
  <si>
    <t>T/2026/00396</t>
  </si>
  <si>
    <t>TATACARA PENGURUSAN ASET</t>
  </si>
  <si>
    <t>KEW-PA1, KEW-PA7, KEW-PA8: Masih menggunakan logo yang lama</t>
  </si>
  <si>
    <t>T/2026/00397</t>
  </si>
  <si>
    <t>MODULE LAPORAN MYASET</t>
  </si>
  <si>
    <t>SEMAK SEMULA SEMUA LAPORAN BOLEH DI JANA ATAU TIDAK</t>
  </si>
  <si>
    <t>T/2026/00398</t>
  </si>
  <si>
    <t>LAPORAN MYINVESTMENT</t>
  </si>
  <si>
    <t>T/2026/00399</t>
  </si>
  <si>
    <t>LAPORAN BELANJAWAN : REQUEST REPORT SEHINGGA LEVEL 4</t>
  </si>
  <si>
    <t>T/2026/00400</t>
  </si>
  <si>
    <t>GENERAL</t>
  </si>
  <si>
    <t>MOHON LETAKKAN NAMA, JAWATAN, TARIKH DAN MASA BAGI SETIAP CETAKAN NAMA. (BAUCAR, PO, LAPORAN DLL)</t>
  </si>
  <si>
    <t>T/2026/00401</t>
  </si>
  <si>
    <t>LOGO DAN NAMA KUIPS MASIH ADA YANG BELUM DIKEMASKINI</t>
  </si>
  <si>
    <t>T/2026/00402</t>
  </si>
  <si>
    <t>PRINT LIMIT</t>
  </si>
  <si>
    <t>T/2026/00403</t>
  </si>
  <si>
    <t>AKAUN BELUM TERIMA</t>
  </si>
  <si>
    <t>CODE PENGHUTANG : ADA 2 CODE BAGI PENGHUTANG/STUDENT YG SAMA</t>
  </si>
  <si>
    <t>T/2026/00404</t>
  </si>
  <si>
    <t>T/2026/00405</t>
  </si>
  <si>
    <t>LAPORAN PENGUMURAN PENGHUTANG - JUMLAH TAK TALLY</t>
  </si>
  <si>
    <t>T/2026/00406</t>
  </si>
  <si>
    <t>PENGESAHAN BIL - SENARAI BIL DISAHKAN : - PAPARAN BAGI BIL TELAH DISAHKAN MENGIKUT TAHUN (ERROR) - PENGESAHAN BIL ERROR</t>
  </si>
  <si>
    <t>T/2026/00407</t>
  </si>
  <si>
    <t>BILLPLZ - i STUDENT - MY FINANCIAL (INTEGRASI)</t>
  </si>
  <si>
    <t>LEJAR MAHASISWA &amp; RESIT BIL - BAYARAN MELALUI BILLPLZ TIDAK REFLECT AUTO KE MY FINANCIAL - TRANSAKSI TERKINI CERTAIN BAYARAN MELALUI BILLPLZ TIDAK APPEAR RESIT DI iSTUDENT - TERIMAAN BAYARAN (KEY IN) MELALUI MY FINANCIAL TIDAK INTEGRASI KE iSTUDENT. PAPARAN DI ISTUDENT MASIH APPEAR OUTSTANDING - TERIMAAN MAIPS BAGI SESI FEB 24/25 DI MY FINANCIAL BELUM REFLECT KE iSTUDENT - TERIMAAN MAIPS BAGI SESI SEP 25/26 BELUM PICKUP DI MY FINANCIAL &amp; iSTUDENT</t>
  </si>
  <si>
    <t>T/2026/00408</t>
  </si>
  <si>
    <t>AKAUN BELUM BAYAR</t>
  </si>
  <si>
    <t>BAUCER : CETAKAN BAUCER KERAP NAIK BANYAK NAMA PADA BAHAGIAN SEDIA, SEMAK DAN LULUS</t>
  </si>
  <si>
    <t>T/2026/00409</t>
  </si>
  <si>
    <t>LAPORAN - SENARAI BAKI PEMIUTANG &amp; PENYATA PEMIUTANG : BAKI AMAUN TAK SYNC</t>
  </si>
  <si>
    <t>T/2026/00410</t>
  </si>
  <si>
    <t>LAPORAN - SENARAI BAKI PEMIUTANG &amp; PENYATA PEMIUTANG : LAPORAN PENGUMURAN TIADA</t>
  </si>
  <si>
    <t>T/2026/00411</t>
  </si>
  <si>
    <t>PENGURUSAN TUNAI</t>
  </si>
  <si>
    <t>PENYATA PENYESUAIAN BANK : - MASIH BELUM BERFUNGSI MODUL RECONCILIATION 1. REQUEST TO ADD BUTTON ""PRINT"" BEFORE START RECONCILE AND AFTER RECONCILE. 2. PROBLEM OCCUR WHEN UPLOAD BANK STATEMENT, FIGURE APPEAR NOT TALLY WITH BANK STATEMENT AND TXT FILE."</t>
  </si>
  <si>
    <t>T/2026/00412</t>
  </si>
  <si>
    <t>PENYATA PENYESUAIAN BANK : TIADA ITEM DI STATUS TUNAI MASUK DAN STATUS TUNAI KELUAR</t>
  </si>
  <si>
    <t>T/2026/00413</t>
  </si>
  <si>
    <t>BAYARAN MANUAL : ADA BAUCER YANG TELAH DIPOS TETAPI PATAH BALIK</t>
  </si>
  <si>
    <t>T/2026/00414</t>
  </si>
  <si>
    <t>BANK IN SLIP : ISSUE BANK IN SLIP - AUTO KEY IN DARI RESIT</t>
  </si>
  <si>
    <t>T/2026/00415</t>
  </si>
  <si>
    <t>PROSES BAYARAN</t>
  </si>
  <si>
    <t>- JANAAN NO EFT TIDAK MENGIKUT TURUTAN (NO EFT YANG TIADA - E260200037, E260200038, E260200041, E260200043)</t>
  </si>
  <si>
    <t>T/2026/00416</t>
  </si>
  <si>
    <t>JURNAL GAJI</t>
  </si>
  <si>
    <t>SEBAHAGIAN INTEGRASI DARI MYPAYROLL TIDAK MASUK KE MODULE GAJI. CONTOH POTONGAN TAKAFUL DAN MEDICAL</t>
  </si>
  <si>
    <t>T/2026/00417</t>
  </si>
  <si>
    <t>LAPORAN</t>
  </si>
  <si>
    <t>PENYATA KEWANGAN, KUNCI KIRA-KIRA DAN TRIAL BALANCE - FORMAT PENYATA KEWANGAN AS PER AUDITED REPORT</t>
  </si>
  <si>
    <t>T/2026/00418</t>
  </si>
  <si>
    <t>AKB</t>
  </si>
  <si>
    <t>DATA2 PEMBAYARAN BG AKB, PIHAK VENDOR MINTA LISTKAN BAUCAR PEMBAYARAN UTK DIMASUKKAN KE MODULE AKB. MODULE AKB MASIH BLM ADA DI DLM SISTEM MYFINANCIAL</t>
  </si>
  <si>
    <t>T/2026/00440</t>
  </si>
  <si>
    <t>Modul Laporan Lajer</t>
  </si>
  <si>
    <t>Sistem sangat slow. Dan ada certain module tidak dapat masuk langsung</t>
  </si>
  <si>
    <t>T/2026/00441</t>
  </si>
  <si>
    <t>Modul Akaun Belum Terima</t>
  </si>
  <si>
    <t>Tidak boleh mengesahkan bil. dan keluar paparan error</t>
  </si>
  <si>
    <t>FAILED SLA</t>
  </si>
  <si>
    <t>Holiday</t>
  </si>
  <si>
    <t>T/2026/00369</t>
  </si>
  <si>
    <t>BIL TIDAK DIPAPARKAN</t>
  </si>
  <si>
    <t>W2557 20 May 2026 HASRINA HASNOR BT. KAMARUZAMAN mohon semakan bil no. n26/000164 kerana tidak terpapar pada syarikat medika natura sdn bhd</t>
  </si>
  <si>
    <t>T/2026/00374</t>
  </si>
  <si>
    <t>RESIT F26000494</t>
  </si>
  <si>
    <t>W2559 26 May 2026 NOR AFIZAH BT. ARSHAD mohon bantuan untuk semakan ke atas resit f26000494. ini kerana bil tiada tertera di screen. (rujuk lampiran)</t>
  </si>
  <si>
    <t>T/2026/00378</t>
  </si>
  <si>
    <t>maritime waterfront suites sdn bhd id: 201001015855 kemaskini gagal di peringkat perolehan</t>
  </si>
  <si>
    <t>W2558 26 May 2026 NUR SYAQIRAH BINTI MOHAMED FOZI syarikat: maritime waterfront suites sdn bhd id: 201001015855 kemaskini gagal di peringkat perolehan kerana status menyatakan terdapat duplicate bank. semakan mendapati no akaun bank berbeza. mohon bantuan sekiranya tidak boleh key in nama bank yang sama, mohon sekat di peringkat awal. terima kasih.</t>
  </si>
  <si>
    <t>T/2026/00379</t>
  </si>
  <si>
    <t>berkaitan info bayaran</t>
  </si>
  <si>
    <t>W2560 04 June 2026 NOR AFIZAH BT. ARSHAD berkaitan info bayaran. mohon bantuan: 1) mengeluarkan nama cik suhaila dalam bahagian nota (pegawai untuk dihubungi) dan email penerima makluman pembayaran. 2) menambah nama pn. siti sanisah (03-62797044) dan en. mohamad arni shah (03-62797048) di bahagian nota (pegawai untuk dihubungi) dan penerima email makluman pembayaran. (rujuk lampiran)</t>
  </si>
  <si>
    <t>T/2026/00380</t>
  </si>
  <si>
    <t>pemohon mohd erwan bin mohd (no. gaji 2127)</t>
  </si>
  <si>
    <t>W2561 05 June 2026 HASRINA HASNOR BT. KAMARUZAMAN pemohon mohd erwan bin mohd (no. gaji 2127) telah membuat permohonan pinjaman kenderaan. pemohon mendapati, nama penjamin 1 dan 2 tidak disenaraikan untuk tujuan pemilihan. mohon tindakan segera. terima kasih</t>
  </si>
  <si>
    <t>T/2026/00383</t>
  </si>
  <si>
    <t>SEMAK DAFTAR BIL</t>
  </si>
  <si>
    <t>W2562 08 June 2026 NOR AFIZAH BT. ARSHAD MOHON BANTUAN UNTUK MELIHAT DAFTAR BIL 2601591. INI KERANA APABILA PANGGIL UNTUK DIBUAT SEMAKAN TIADA DAN DALAM SENARAI BELUM POS JUGA TIADA.</t>
  </si>
  <si>
    <t>T/2026/00435</t>
  </si>
  <si>
    <t>semakan bil uf26/000551 &amp; uf26/000555</t>
  </si>
  <si>
    <t>W2563 11 June 2026 NOR AFIZAH BT. ARSHAD mohon bantuan untuk semakan bil uf26/000551 &amp; uf26/000555. ini kerana bil tiada tertera di screen untuk dibuat resit</t>
  </si>
  <si>
    <t>T/2026/00436</t>
  </si>
  <si>
    <t>semakan n25/000541 dan cn25/000541</t>
  </si>
  <si>
    <t>W2564 12 June 2026 HASRINA HASNOR BT. KAMARUZAMAN mohon semakan n25/000541 dan cn25/000541. ini kerana semasa untuk keluarkan resit bil dan credit note ini tidak keluar didalam sistem.</t>
  </si>
  <si>
    <t>T/2026/00446</t>
  </si>
  <si>
    <t>SERAHAN ASET</t>
  </si>
  <si>
    <t>W2411 26/05/2025 ZAINORASRI B. YAHYA MAKLUMAT NO. ASET DIDALAM EMAIL MAKLUMAN SERAHAN ASET TIDAK SAMA DENGAN ASET SEBENAR YANG DISERAHKAN. CONTOH SERAHAN ASET NO. 005053 TETAPI KELUAR NO 005705 DIDALAM EMAIL. ADUAN LAMA T/2026/00100 SW TIDAK MAHU BUKA SEMULA, DAN ADUAN BARU DIBUAT.</t>
  </si>
  <si>
    <t>T/2026/00457</t>
  </si>
  <si>
    <t>INVENTORY</t>
  </si>
  <si>
    <t>No Aduan: W2397 Name: ZAINORASRI B. YAHYA Date: 03/03/2025 Desc: MODUL KONFIGURASI CAPAIAN PENGGUNA TIDAK BERJAYA. PENDAFTARAN PENGGUNA PUAN EMYLIA (NOGAJI=2013) SEBAGAIMANA PUAN HASRINA TIDAK BERJAYA DIBUAT MELALUI MODUL TERSEBUT. MOHON PENYELESAIAN SEGERA BAGI MEMBOLEHKAN CAPAIAN DIBERI. ADUAN BARU DIBUAT ATAS PERMINTAAN SOFTWARE WIZARDS. ADUAN LAMA T/2026/00081</t>
  </si>
  <si>
    <t>T/2026/00443</t>
  </si>
  <si>
    <t>ISU MYLOAN</t>
  </si>
  <si>
    <t>Sistem MyLoan masih tidak 'clear' nama peminjam Mohd Fakaruddien (No Staff 846) bagi pinjaman kenderaan yang telah tamat bayaran pada Mei 2023.Beliau tidak dapat membuat permohonan pinjaman kenderaan baru disebabkan isu ini. Mohon tindakan segera</t>
  </si>
  <si>
    <t>T/2026/00445</t>
  </si>
  <si>
    <t>Dah banyak kali key-in dan tak boleh nak SIMPAN. Bila click SIMPAN, keluar error "Tambah tidak berjaya". Untuk makluman, bajet mencukupi.</t>
  </si>
  <si>
    <t>T/2026/00448</t>
  </si>
  <si>
    <t>Isu MyPayroll</t>
  </si>
  <si>
    <t>Kemaskini jadual caruman baharu untuk skim kemalangan Bukan Bencana Kerja (potongan SOCSO)</t>
  </si>
  <si>
    <t>T/2026/00451</t>
  </si>
  <si>
    <t>ISU MYFINANCIAL</t>
  </si>
  <si>
    <t>Untuk makluman tuan, dua akaun telah di-create namun terdapat error seperti lampiran. Senarai nama pengguna juga tidak terpapar pada Security Manager for MyFinancial. Akses juga telah diberi melalui MySecurity. Nama: En. Zulhelmi bin Mohd Ali (Wilayah Tengah) Pn. Mimi Adrina binti Nor Hazazi (Wilayah Tengah)</t>
  </si>
  <si>
    <t>Maintenance Client Issue Dashboard Tracking 30/06/2026</t>
  </si>
  <si>
    <t>T/2026/00366</t>
  </si>
  <si>
    <t>PO &amp; BAYARAN</t>
  </si>
  <si>
    <t>T/2026/00368</t>
  </si>
  <si>
    <t>JURNAL TIDAK 'APPEAR' DI 'SEMAKAN JURNAL'</t>
  </si>
  <si>
    <t>Jurnal yang sudah dipos tidak appear pada penyemak di page 'semakan jurnal'. Jurnal yang terlibat: 1) POB/JNL25/08347 2) POB/JNL25/08353</t>
  </si>
  <si>
    <t>T/2026/00371</t>
  </si>
  <si>
    <t>Daftar Bil INPOB/0526/07953 hilang tiada dalam sistem semasa penyediaan baucer bayaran</t>
  </si>
  <si>
    <t>Modul My Financial-Akaun Belum Bayar-Penyediaan Baucer Bayaran</t>
  </si>
  <si>
    <t>T/2026/00376</t>
  </si>
  <si>
    <t>URGENT : PEMIUTANG TIDAK BOLEH DIJANA</t>
  </si>
  <si>
    <t>PEMIUTANG NO : S00012168 DAN S00012167 TIDAK BOLEH DIJANA DIDALAM SISTEM UTK KOD MFMDD0101L012199</t>
  </si>
  <si>
    <t>T/2026/00377</t>
  </si>
  <si>
    <t>LPO HILANG LEPAS SAVE</t>
  </si>
  <si>
    <t>Untuk makluman, LPO/AOTD0301/0526/00024 Telah hilang lepas save. Bila nak buat yang baru. tak boleh guna kelulusan Perolehan : R261686</t>
  </si>
  <si>
    <t>T/2026/00381</t>
  </si>
  <si>
    <t>Maklumat tak keluar pada tab pemilihan pembekal di myprocurement selepas disimpan.</t>
  </si>
  <si>
    <t>Maklumat tak keluar pada tab pemilihan pembekal di myprocurement selepas disimpan. Maklumat permohonan, maklumat item, maklumat peruntukan, muatnaik dokumen semua telah isi dan disimpan. Apabila papar semula utk dihantar, semua maklumat tak keluar jadi blank / kosong je.</t>
  </si>
  <si>
    <t>T/2026/00421</t>
  </si>
  <si>
    <t>URGENT - TUKAR PELULUS NO PRINSIP 007460</t>
  </si>
  <si>
    <t>POHON TUKAR PELULUS DARI DR. AHMAD PARVEEZ BIN HJ GHULAM KADIR KE IRDARINA BINTI ABD MANAN. NAK MINTA TOLONG SEGERA KAN SEBAB NAK BUAT PELAWAAN SEBUT HARGA PADA 11 JUN 2026 DAN SESI TAKLIMAT DIJALANKAN PADA 15 JUN 2026</t>
  </si>
  <si>
    <t>T/2026/00422</t>
  </si>
  <si>
    <t>NO. PRINSIP 005442</t>
  </si>
  <si>
    <t>Pelulus memaklumkan tiada kelulusan di buat di dalam sistem tetapi pemohon ini telah diluluskan tanpa pengetahuan beliau.</t>
  </si>
  <si>
    <t>T/2026/00423</t>
  </si>
  <si>
    <t>ID PEMBEKAL TAK ADA - S00008241 - LIAN LEY HARDWARE TRADING SDN BHD</t>
  </si>
  <si>
    <t>NK BUAT PO. TAPI ID PEMBEKAL INI TAK ADA. KELULUSAN PEROLEHAN ATAS ID INI S00008241 - LIAN LEY HARDWARE TRADING SDN BHD</t>
  </si>
  <si>
    <t>T/2026/00426</t>
  </si>
  <si>
    <t>Penukaran Status Aset</t>
  </si>
  <si>
    <t>Status Aset perlu ditukarkan daripada Penghapusan, sedang digunakan dan dalam cadangan pelupusan kepada telah dilupuskan. Dimaklumkan status ini telah ditukar oleh pihak SW tetapi setelah semakan dilakukan pertukaran tersebut adalah salah dilakukan. Perkara ini perlu dilakukan segera.</t>
  </si>
  <si>
    <t>T/2026/00427</t>
  </si>
  <si>
    <t>BAUCER TIDAK APPEAR DI SKRIN PENGESAHAN</t>
  </si>
  <si>
    <t>BAUCER TIDAK APPEAR DI SKRIN PENGESAHAN ( USER : ZALIFAH ALIAS) No. Baucer : 1)VOPOB /0526/15912 2)VOPOB/0526/15923 3)VOPOB/0626/16749 4)VOPOB/0626/17070 5)VOPOB/0626/17287 6)VOPOB/0626/17259 7)VOPOB/0626/16808</t>
  </si>
  <si>
    <t>T/2026/00429</t>
  </si>
  <si>
    <t>URGENT: BAUCAR TIDAK APPEAR DI BUTTON KELULUSAN BAUCAR</t>
  </si>
  <si>
    <t>URGENT: UNTUK MAKLUMAN, DI SISTEM MYFAS SAYA (NUR AIMI SYAIRAH BINTI SAAD) SEMUA BAUCAR YANG TELAH DISAHKAN SERTA BERSTATUS DALAM PROSES KELULUSAN TIDAK APPEAR DIA BUTTON KELULUSAN BAUCAR. JADI, IA MELAMBATKAN PROSES KELULUSAN UNTUK DILAKUKAN. MOHON BANTUAN DENGAN KADAR SEGERA. TERIMA KASIH BOLEH RUJUK LAMPIRAN TERSEBUT UTK BEBERAPA CONTOH:</t>
  </si>
  <si>
    <t>T/2026/00433</t>
  </si>
  <si>
    <t>ID PEMBEKAL TAK ADA - S00008358 - PRO SERVICES SDN BHD</t>
  </si>
  <si>
    <t>NK BUAT PO. TAPI ID PEMBEKAL INI TAK ADA. KELULUSAN PEROLEHAN ATAS ID INI S00008358 - PRO SERVICES SDN BHD KOD PEMBEKAL DLM KELULUSAN PEROLEHAN : S00008358 KOD PEMBEKAL DLM SISTEM MYFINANCIAL : S00006176 KATEGORI PEMIUTANG : MBSRD0352L0112199 - BEKALAN DAN PERKHIDMATAN LAIN</t>
  </si>
  <si>
    <t>T/2026/00434</t>
  </si>
  <si>
    <t>ID PEMBEKAL TAK ADA - S00007768 - GERHARDT MALAYSIA SDN BHD</t>
  </si>
  <si>
    <t>NK BUAT PO. TAPI ID PEMBEKAL INI TAK ADA. KELULUSAN PEROLEHAN ATAS ID INI S00007768 - GERHARDT MALAYSIA SDN BHD GERHARDT MALAYSIA SDN BHD KOD PEMBEKAL DLM KELULUSAN PEROLEHAN : S00007768 KOD PEMBEKAL DLM SISTEM MYFINANCIAL : S00006883 KATEGORI PEMIUTANG : MBSRD0352L0112199 - BEKALAN DAN PERKHIDMATAN LAIN</t>
  </si>
  <si>
    <t>T/2026/00442</t>
  </si>
  <si>
    <t>SISTEM SALAH PILIH NAMA PENGESAH UNTUK PO</t>
  </si>
  <si>
    <t>LPO/FMDD0532/0626/00027 NAMA DIPILIH UNTUK PENGESAH : PN. NAEIMMATUL-NAEIDDAH SISTEM PILIH NAMA : EN. NURULIZWAN MOHON UNTUK RETURNKAN BALIK PO KE PENYEDIA SUPAYA NAMA PENGESAH BOLEH DIUBAH SEMULA</t>
  </si>
  <si>
    <t>T/2026/00444</t>
  </si>
  <si>
    <t>LPO/AOTD0401/0626/00046 - TUKAR NAMA PENGESAHAN</t>
  </si>
  <si>
    <t>LPO/AOTD0401/0626/00046 pohon tukarkan nama pengesahan ini ke nama nuru fara ain rusdi user tersilap pilih nama.</t>
  </si>
  <si>
    <t>T/2026/00447</t>
  </si>
  <si>
    <t>status staff tidak aktif, sistem tidak dapat dibuka</t>
  </si>
  <si>
    <t>Nama: NORAFIDAH A RAHIM No Contact: 4931 Desc: status staff tidak aktif, sistem tidak dapat dibuka</t>
  </si>
  <si>
    <t>T/2026/00449</t>
  </si>
  <si>
    <t>KATEGORI KOD PEMIUTANG PADA PEMILIHAN PEMBEKAL</t>
  </si>
  <si>
    <t>TAK BOLEH GUNA KOD MITCS0201L0112199 PADA KATEGORI PEMIUTANG</t>
  </si>
  <si>
    <t>T/2026/00458</t>
  </si>
  <si>
    <t>TIDAK BOLEH SAHKAN PADA PENDAFTARAN PEMBEKAL YANG BARU</t>
  </si>
  <si>
    <t>TIDAK BOLEH SAHKAN BAGI PENDAFTARAN PEMBEKAL YANG BARU.</t>
  </si>
  <si>
    <t>T/2026/00438</t>
  </si>
  <si>
    <t>PEKELILING MAJIKAN BIL 2 TAHUN 2026- AKTA KESELAMATAN SOSIAL PEKERJA 1969: PERLUASAN PERLINDUNGAN SKIM LINDUNG 24 JAM</t>
  </si>
  <si>
    <t>DIMINTA PIHAK TUAN UNTUK MENGEMASKINI KADAR CARUMAN PERKESO SELARI DENGAN PEKELILING MAJIKAN BIL 2 TAHUN 2026- AKTA KESELAMATAN SOSIAL PEKERJA 1969: PERLUASAN PERLINDUNGAN SKIM LINDUNG 24 JAM SEBAGAIMANA DI LAMPIRAN.</t>
  </si>
  <si>
    <t>T/2026/00455</t>
  </si>
  <si>
    <t>Pemohon tidak boleh memohon bagi pengeluaran stok di Stor Alat Tulis dan Memberikan akses sebagai Pegawai Stor di Stor Alat Ganti BKK</t>
  </si>
  <si>
    <t>Staf Yang Tidak Dapat Membuat Permohonan Dalam Mystore 1. Muhamad Najib Bin Daud 2. Hafizi Bin Hashim 3. Muhamad Rozaidi Bin Shafie 4. Muhamad Zaini Bin Abdul Ghani 5. Ahmad Syahmi Bin Ismail Nasharuddin Berikan Akses sebagai Pegawai Stor 1. Mohd Khairi Bin Yusoff</t>
  </si>
  <si>
    <t>T/2026/00452</t>
  </si>
  <si>
    <t>Tiada amaun keluar di Penyata Aliran Tunai (Laporan MPSAS) bagi tahun 2025</t>
  </si>
  <si>
    <t>Tiada amaun keluar di Penyata Aliran Tunai bagi tahun 2025 Laporan MPSAS --&gt; Laporan Aliran Tunai --&gt; 2025</t>
  </si>
  <si>
    <t>T/2026/00456</t>
  </si>
  <si>
    <t>Masalah bila unpost dan post inbois atau baucar (Myfinancial).</t>
  </si>
  <si>
    <t>Bila nak buat pembetulan pada inbois atau baucar, perlu unpost dan pos semula inbois/baucar. Bila sudah buat pembetulan dan nak pos semula baucar/inbois tersebut, akan jadi error seperti dilampiran. Selalu sangat jadi macam ni. Kadang-kadang kena buat lebih dari 5 kali untuk betulkan bagi berjaya disimpan. Kadang-kadang tak boleh langsung dan kena minta tolong vendor betulkan.</t>
  </si>
  <si>
    <t>T/2026/00450</t>
  </si>
  <si>
    <t>STOR FARMASI- MOHON KEMASKINI BAKI ITEM KOD 13B</t>
  </si>
  <si>
    <t>STOR FARMASI- MOHON KEMASKINI BAKI ITEM KOD 13B SEPERTI DIBINCANG DI DALAM WHATSAPP DI ANTARA PN HANANI DAN EN NIK PADA 22-24 JUN 2026.</t>
  </si>
  <si>
    <t>T/2026/00453</t>
  </si>
  <si>
    <t>KEW PA 11-PEMERIKSAAN ASET (PENAMBAHBAIKAN STATUS KAD KEW PA 3 &amp; 4)</t>
  </si>
  <si>
    <t>1) Pada kad Kew Pa 3 dan 4, Bahagian Pemeriksaan dimohon penambahbaikan seperti berikut:: 1.1) Nama lokasi sama seperi nama pada Bahagian penempatan contoh B-036-Bilik Lily, Psikologi Sukan. 1.2) Status aset dipilih mengikut pekelililing contohnya. sedang digunakan, tidak digunakan, perlu pembaikan dan lain-lain.</t>
  </si>
  <si>
    <t>T/2026/00454</t>
  </si>
  <si>
    <t>KEW PA 11_PEMERIKSAAN ASET (MOHON TAMBAH FILTER NAMA PEGAWAI SEMASA)</t>
  </si>
  <si>
    <t>1) Melalui MyAsset, Submodel: Kemaskini Rekod Pemeriksaan Aset, mohon tambah: 1.1) Filter Nama Pegawai Semasa untuk diklik 1.2) Pada Butiran Aset, mohon tambah column untuk paparan Nama Pegawai Semasa</t>
  </si>
  <si>
    <t>T/2026/00459</t>
  </si>
  <si>
    <t>STOR FARMASI- TRANSAKSI NO.BPSI K07147 PADA KEWPS 8 TIDAK DAPAT DIPAPARKAN</t>
  </si>
  <si>
    <t>PADA 30/6/2026 SAYA TELAH POS TRANSAKSI STOCK OUT DALAM SISTEM MYSTORE UNTUK TRANSAKSI PEMOHON BERTARIKH 29/6/2026 (FLOORSTOCK UNIT FISIOTERAPI) NAMUN TRANSAKSI BERNOMBOR NO. BPSI K07147 ITU TIDAK DAPAT DIPAPARKAN KETIKA SAYA MAHU MENCETAK KEWPS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</si>
</sst>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quot;$&quot;* #,##0.00_-;\-&quot;$&quot;* #,##0.00_-;_-&quot;$&quot;* &quot;-&quot;??_-;_-@_-"/>
    <numFmt numFmtId="165" formatCode="mm/dd/yy;@"/>
    <numFmt numFmtId="166" formatCode="&quot;$&quot;#,##0"/>
    <numFmt numFmtId="167" formatCode="[Blue]#&quot; Days Remain&quot;;[Red]#&quot; Days Late&quot;;[Green]#&quot;Today&quot;"/>
    <numFmt numFmtId="168" formatCode="[$-14409]dd/mm/yyyy;@"/>
    <numFmt numFmtId="169" formatCode="[$-14409]d/m/yyyy;@"/>
    <numFmt numFmtId="170" formatCode="dd/mm/yyyy;@"/>
  </numFmts>
  <fonts count="31" x14ac:knownFonts="1">
    <font>
      <sz val="12"/>
      <color theme="1"/>
      <name val="Calibri"/>
      <family val="2"/>
      <scheme val="minor"/>
    </font>
    <font>
      <sz val="12"/>
      <color theme="1"/>
      <name val="Calibri"/>
      <family val="2"/>
      <scheme val="minor"/>
    </font>
    <font>
      <sz val="8"/>
      <name val="Verdana"/>
      <family val="2"/>
    </font>
    <font>
      <u/>
      <sz val="12"/>
      <color indexed="12"/>
      <name val="Calibri"/>
      <family val="2"/>
    </font>
    <font>
      <sz val="12"/>
      <color theme="1"/>
      <name val="Century Gothic"/>
      <family val="1"/>
    </font>
    <font>
      <sz val="12"/>
      <color indexed="8"/>
      <name val="Century Gothic"/>
      <family val="1"/>
    </font>
    <font>
      <b/>
      <sz val="10"/>
      <color indexed="9"/>
      <name val="Century Gothic"/>
      <family val="1"/>
    </font>
    <font>
      <sz val="10"/>
      <color indexed="8"/>
      <name val="Century Gothic"/>
      <family val="1"/>
    </font>
    <font>
      <b/>
      <sz val="12"/>
      <color rgb="FF6A3AFF"/>
      <name val="Century Gothic"/>
      <family val="1"/>
    </font>
    <font>
      <b/>
      <sz val="11"/>
      <color rgb="FF00B050"/>
      <name val="Century Gothic"/>
      <family val="1"/>
    </font>
    <font>
      <b/>
      <sz val="11"/>
      <color rgb="FFC00000"/>
      <name val="Century Gothic"/>
      <family val="1"/>
    </font>
    <font>
      <b/>
      <sz val="11"/>
      <color rgb="FFED7C00"/>
      <name val="Century Gothic"/>
      <family val="1"/>
    </font>
    <font>
      <b/>
      <sz val="11"/>
      <color theme="7" tint="-0.249977111117893"/>
      <name val="Century Gothic"/>
      <family val="1"/>
    </font>
    <font>
      <sz val="10"/>
      <color theme="1"/>
      <name val="Century Gothic"/>
      <family val="1"/>
    </font>
    <font>
      <sz val="22"/>
      <color theme="1"/>
      <name val="Arial"/>
      <family val="2"/>
    </font>
    <font>
      <b/>
      <sz val="20"/>
      <color theme="0" tint="-0.499984740745262"/>
      <name val="Century Gothic"/>
      <family val="1"/>
    </font>
    <font>
      <sz val="12"/>
      <color theme="1"/>
      <name val="Arial"/>
      <family val="2"/>
    </font>
    <font>
      <sz val="11"/>
      <color theme="1"/>
      <name val="Calibri"/>
      <family val="2"/>
      <scheme val="minor"/>
    </font>
    <font>
      <sz val="20"/>
      <color theme="1"/>
      <name val="Century Gothic"/>
      <family val="1"/>
    </font>
    <font>
      <sz val="22"/>
      <color theme="1"/>
      <name val="Century Gothic"/>
      <family val="1"/>
    </font>
    <font>
      <b/>
      <sz val="20"/>
      <color theme="1" tint="0.34998626667073579"/>
      <name val="Century Gothic"/>
      <family val="1"/>
    </font>
    <font>
      <sz val="18"/>
      <color theme="1" tint="0.34998626667073579"/>
      <name val="Century Gothic"/>
      <family val="2"/>
    </font>
    <font>
      <b/>
      <sz val="22"/>
      <color theme="1" tint="0.34998626667073579"/>
      <name val="Century Gothic"/>
      <family val="1"/>
    </font>
    <font>
      <b/>
      <u/>
      <sz val="22"/>
      <color theme="0"/>
      <name val="Century Gothic"/>
      <family val="2"/>
    </font>
    <font>
      <b/>
      <sz val="11"/>
      <color theme="1"/>
      <name val="Calibri"/>
      <family val="2"/>
      <scheme val="minor"/>
    </font>
    <font>
      <b/>
      <sz val="10"/>
      <color theme="1"/>
      <name val="Calibri"/>
      <family val="2"/>
      <scheme val="minor"/>
    </font>
    <font>
      <sz val="10"/>
      <color theme="1"/>
      <name val="Calibri"/>
      <family val="2"/>
      <scheme val="minor"/>
    </font>
    <font>
      <b/>
      <sz val="11"/>
      <color rgb="FFFFFF00"/>
      <name val="Calibri"/>
      <family val="2"/>
      <scheme val="minor"/>
    </font>
    <font>
      <b/>
      <sz val="10"/>
      <name val="Century Gothic"/>
      <family val="1"/>
    </font>
    <font>
      <sz val="11"/>
      <color rgb="FF3F3F76"/>
      <name val="Calibri"/>
      <family val="2"/>
      <scheme val="minor"/>
    </font>
    <font>
      <b/>
      <sz val="11"/>
      <color rgb="FF3F3F76"/>
      <name val="Calibri"/>
      <family val="2"/>
      <scheme val="minor"/>
    </font>
  </fonts>
  <fills count="32">
    <fill>
      <patternFill patternType="none"/>
    </fill>
    <fill>
      <patternFill patternType="gray125"/>
    </fill>
    <fill>
      <patternFill patternType="solid">
        <fgColor theme="4"/>
        <bgColor indexed="64"/>
      </patternFill>
    </fill>
    <fill>
      <patternFill patternType="solid">
        <fgColor theme="8"/>
        <bgColor indexed="64"/>
      </patternFill>
    </fill>
    <fill>
      <patternFill patternType="solid">
        <fgColor rgb="FF00B050"/>
        <bgColor indexed="64"/>
      </patternFill>
    </fill>
    <fill>
      <patternFill patternType="solid">
        <fgColor rgb="FF92D050"/>
        <bgColor indexed="64"/>
      </patternFill>
    </fill>
    <fill>
      <patternFill patternType="solid">
        <fgColor rgb="FFC00000"/>
        <bgColor indexed="64"/>
      </patternFill>
    </fill>
    <fill>
      <patternFill patternType="solid">
        <fgColor rgb="FFFF0000"/>
        <bgColor indexed="64"/>
      </patternFill>
    </fill>
    <fill>
      <patternFill patternType="solid">
        <fgColor rgb="FF732EE0"/>
        <bgColor indexed="64"/>
      </patternFill>
    </fill>
    <fill>
      <patternFill patternType="solid">
        <fgColor theme="8" tint="-0.249977111117893"/>
        <bgColor indexed="64"/>
      </patternFill>
    </fill>
    <fill>
      <patternFill patternType="solid">
        <fgColor theme="7" tint="-0.249977111117893"/>
        <bgColor indexed="64"/>
      </patternFill>
    </fill>
    <fill>
      <patternFill patternType="solid">
        <fgColor rgb="FFED7C00"/>
        <bgColor indexed="64"/>
      </patternFill>
    </fill>
    <fill>
      <patternFill patternType="solid">
        <fgColor rgb="FFF1B93C"/>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E3DAFF"/>
        <bgColor indexed="64"/>
      </patternFill>
    </fill>
    <fill>
      <patternFill patternType="solid">
        <fgColor rgb="FFFFDCE4"/>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rgb="FF00BD32"/>
        <bgColor indexed="64"/>
      </patternFill>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theme="0" tint="-0.249977111117893"/>
        <bgColor indexed="64"/>
      </patternFill>
    </fill>
    <fill>
      <patternFill patternType="solid">
        <fgColor rgb="FF6A3AFF"/>
        <bgColor indexed="64"/>
      </patternFill>
    </fill>
    <fill>
      <patternFill patternType="solid">
        <fgColor rgb="FFFFCC99"/>
      </patternFill>
    </fill>
    <fill>
      <patternFill patternType="solid">
        <fgColor rgb="FFFFC11D"/>
        <bgColor indexed="64"/>
      </patternFill>
    </fill>
    <fill>
      <patternFill patternType="solid">
        <fgColor rgb="FFEE57AD"/>
        <bgColor indexed="64"/>
      </patternFill>
    </fill>
    <fill>
      <patternFill patternType="solid">
        <fgColor theme="8" tint="0.39997558519241921"/>
        <bgColor indexed="64"/>
      </patternFill>
    </fill>
    <fill>
      <patternFill patternType="solid">
        <fgColor theme="9" tint="0.59999389629810485"/>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s>
  <cellStyleXfs count="5">
    <xf numFmtId="0" fontId="0" fillId="0" borderId="0"/>
    <xf numFmtId="164" fontId="1" fillId="0" borderId="0" applyFont="0" applyFill="0" applyBorder="0" applyAlignment="0" applyProtection="0"/>
    <xf numFmtId="0" fontId="3" fillId="0" borderId="0" applyNumberFormat="0" applyFill="0" applyBorder="0" applyAlignment="0" applyProtection="0">
      <alignment vertical="top"/>
      <protection locked="0"/>
    </xf>
    <xf numFmtId="0" fontId="17" fillId="0" borderId="0"/>
    <xf numFmtId="0" fontId="29" fillId="27" borderId="9" applyNumberFormat="0" applyAlignment="0" applyProtection="0"/>
  </cellStyleXfs>
  <cellXfs count="140">
    <xf numFmtId="0" fontId="0" fillId="0" borderId="0" xfId="0"/>
    <xf numFmtId="0" fontId="4" fillId="0" borderId="0" xfId="0" applyFont="1"/>
    <xf numFmtId="0" fontId="5" fillId="0" borderId="0" xfId="0" applyFont="1"/>
    <xf numFmtId="0" fontId="6" fillId="0" borderId="0" xfId="0" applyFont="1" applyAlignment="1">
      <alignment vertical="center" wrapText="1"/>
    </xf>
    <xf numFmtId="0" fontId="6" fillId="0" borderId="0" xfId="0" applyFont="1" applyAlignment="1">
      <alignment horizontal="center" vertical="center" wrapText="1"/>
    </xf>
    <xf numFmtId="0" fontId="8" fillId="0" borderId="0" xfId="0" applyFont="1" applyAlignment="1">
      <alignment horizontal="center" vertical="center"/>
    </xf>
    <xf numFmtId="166" fontId="9" fillId="0" borderId="0" xfId="0" applyNumberFormat="1" applyFont="1" applyAlignment="1">
      <alignment vertical="center"/>
    </xf>
    <xf numFmtId="1" fontId="10" fillId="0" borderId="0" xfId="0" applyNumberFormat="1" applyFont="1" applyAlignment="1">
      <alignment horizontal="center" vertical="center"/>
    </xf>
    <xf numFmtId="1" fontId="11" fillId="0" borderId="0" xfId="0" applyNumberFormat="1" applyFont="1" applyAlignment="1">
      <alignment horizontal="center" vertical="center"/>
    </xf>
    <xf numFmtId="1" fontId="12" fillId="0" borderId="0" xfId="0" applyNumberFormat="1" applyFont="1" applyAlignment="1">
      <alignment horizontal="center" vertical="center"/>
    </xf>
    <xf numFmtId="0" fontId="6" fillId="3" borderId="1" xfId="0" applyFont="1" applyFill="1" applyBorder="1" applyAlignment="1">
      <alignment horizontal="center" vertical="center"/>
    </xf>
    <xf numFmtId="0" fontId="7" fillId="0" borderId="1" xfId="0" applyFont="1" applyBorder="1" applyAlignment="1">
      <alignment horizontal="left" indent="1"/>
    </xf>
    <xf numFmtId="0" fontId="6" fillId="2"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12" borderId="1" xfId="0" applyFont="1" applyFill="1" applyBorder="1" applyAlignment="1">
      <alignment horizontal="center" vertical="center" wrapText="1"/>
    </xf>
    <xf numFmtId="165" fontId="7" fillId="0" borderId="1" xfId="0" applyNumberFormat="1" applyFont="1" applyBorder="1" applyAlignment="1">
      <alignment horizontal="center"/>
    </xf>
    <xf numFmtId="0" fontId="7" fillId="0" borderId="1" xfId="0" applyFont="1" applyBorder="1" applyAlignment="1">
      <alignment horizontal="center"/>
    </xf>
    <xf numFmtId="166" fontId="7" fillId="0" borderId="1" xfId="1" applyNumberFormat="1" applyFont="1" applyBorder="1" applyAlignment="1">
      <alignment horizontal="right"/>
    </xf>
    <xf numFmtId="1" fontId="7" fillId="0" borderId="1" xfId="0" applyNumberFormat="1" applyFont="1" applyBorder="1" applyAlignment="1">
      <alignment horizontal="center"/>
    </xf>
    <xf numFmtId="0" fontId="7" fillId="13" borderId="1" xfId="0" applyFont="1" applyFill="1" applyBorder="1" applyAlignment="1">
      <alignment horizontal="left" indent="1"/>
    </xf>
    <xf numFmtId="165" fontId="7" fillId="14" borderId="1" xfId="0" applyNumberFormat="1" applyFont="1" applyFill="1" applyBorder="1" applyAlignment="1">
      <alignment horizontal="center"/>
    </xf>
    <xf numFmtId="0" fontId="7" fillId="14" borderId="1" xfId="0" applyFont="1" applyFill="1" applyBorder="1" applyAlignment="1">
      <alignment horizontal="center"/>
    </xf>
    <xf numFmtId="0" fontId="7" fillId="16" borderId="1" xfId="0" applyFont="1" applyFill="1" applyBorder="1" applyAlignment="1">
      <alignment horizontal="center"/>
    </xf>
    <xf numFmtId="166" fontId="7" fillId="15" borderId="1" xfId="1" applyNumberFormat="1" applyFont="1" applyFill="1" applyBorder="1" applyAlignment="1">
      <alignment horizontal="right"/>
    </xf>
    <xf numFmtId="1" fontId="7" fillId="17" borderId="1" xfId="0" applyNumberFormat="1" applyFont="1" applyFill="1" applyBorder="1" applyAlignment="1">
      <alignment horizontal="center"/>
    </xf>
    <xf numFmtId="1" fontId="7" fillId="18" borderId="1" xfId="0" applyNumberFormat="1" applyFont="1" applyFill="1" applyBorder="1" applyAlignment="1">
      <alignment horizontal="center"/>
    </xf>
    <xf numFmtId="1" fontId="7" fillId="19" borderId="1" xfId="0" applyNumberFormat="1" applyFont="1" applyFill="1" applyBorder="1" applyAlignment="1">
      <alignment horizontal="center"/>
    </xf>
    <xf numFmtId="0" fontId="6" fillId="3" borderId="1" xfId="0" applyFont="1" applyFill="1" applyBorder="1" applyAlignment="1">
      <alignment horizontal="left" vertical="center"/>
    </xf>
    <xf numFmtId="0" fontId="7" fillId="0" borderId="1" xfId="0" applyFont="1" applyBorder="1" applyAlignment="1">
      <alignment horizontal="left" vertical="center"/>
    </xf>
    <xf numFmtId="0" fontId="7" fillId="0" borderId="1" xfId="0" applyFont="1" applyBorder="1" applyAlignment="1">
      <alignment vertical="center"/>
    </xf>
    <xf numFmtId="0" fontId="14" fillId="0" borderId="0" xfId="0" applyFont="1" applyAlignment="1">
      <alignment vertical="center"/>
    </xf>
    <xf numFmtId="0" fontId="15" fillId="20" borderId="0" xfId="0" applyFont="1" applyFill="1" applyAlignment="1">
      <alignment vertical="center"/>
    </xf>
    <xf numFmtId="0" fontId="14" fillId="20" borderId="0" xfId="0" applyFont="1" applyFill="1" applyAlignment="1">
      <alignment vertical="center"/>
    </xf>
    <xf numFmtId="0" fontId="14" fillId="20" borderId="0" xfId="0" applyFont="1" applyFill="1" applyAlignment="1">
      <alignment horizontal="center" vertical="center"/>
    </xf>
    <xf numFmtId="0" fontId="16" fillId="0" borderId="0" xfId="0" applyFont="1"/>
    <xf numFmtId="0" fontId="17" fillId="0" borderId="0" xfId="3"/>
    <xf numFmtId="0" fontId="16" fillId="0" borderId="5" xfId="3" applyFont="1" applyBorder="1" applyAlignment="1">
      <alignment horizontal="left" vertical="center" wrapText="1" indent="2"/>
    </xf>
    <xf numFmtId="0" fontId="4" fillId="0" borderId="0" xfId="0" applyFont="1" applyAlignment="1">
      <alignment vertical="center"/>
    </xf>
    <xf numFmtId="0" fontId="19" fillId="0" borderId="0" xfId="0" applyFont="1" applyAlignment="1">
      <alignment vertical="center"/>
    </xf>
    <xf numFmtId="0" fontId="18" fillId="0" borderId="0" xfId="0" applyFont="1" applyAlignment="1">
      <alignment vertical="center"/>
    </xf>
    <xf numFmtId="0" fontId="20" fillId="20" borderId="0" xfId="0" applyFont="1" applyFill="1" applyAlignment="1">
      <alignment vertical="center"/>
    </xf>
    <xf numFmtId="0" fontId="4" fillId="0" borderId="0" xfId="2" applyFont="1" applyAlignment="1" applyProtection="1">
      <alignment horizontal="center" vertical="center"/>
    </xf>
    <xf numFmtId="0" fontId="21" fillId="20" borderId="0" xfId="0" applyFont="1" applyFill="1" applyAlignment="1">
      <alignment vertical="center"/>
    </xf>
    <xf numFmtId="0" fontId="22" fillId="20" borderId="0" xfId="0" applyFont="1" applyFill="1" applyAlignment="1">
      <alignment vertical="center"/>
    </xf>
    <xf numFmtId="0" fontId="3" fillId="22" borderId="6" xfId="2" applyFill="1" applyBorder="1" applyAlignment="1" applyProtection="1">
      <alignment vertical="center"/>
    </xf>
    <xf numFmtId="0" fontId="24" fillId="5" borderId="6" xfId="0" applyFont="1" applyFill="1" applyBorder="1" applyAlignment="1">
      <alignment vertical="center"/>
    </xf>
    <xf numFmtId="0" fontId="24" fillId="23" borderId="6" xfId="0" applyFont="1" applyFill="1" applyBorder="1" applyAlignment="1">
      <alignment vertical="center"/>
    </xf>
    <xf numFmtId="0" fontId="24" fillId="23" borderId="6" xfId="0" applyFont="1" applyFill="1" applyBorder="1" applyAlignment="1">
      <alignment horizontal="left" vertical="center"/>
    </xf>
    <xf numFmtId="0" fontId="24" fillId="24" borderId="6" xfId="0" applyFont="1" applyFill="1" applyBorder="1" applyAlignment="1">
      <alignment vertical="center"/>
    </xf>
    <xf numFmtId="0" fontId="24" fillId="24" borderId="0" xfId="0" applyFont="1" applyFill="1" applyAlignment="1">
      <alignment horizontal="left" vertical="center"/>
    </xf>
    <xf numFmtId="0" fontId="24" fillId="22" borderId="6" xfId="0" applyFont="1" applyFill="1" applyBorder="1" applyAlignment="1">
      <alignment vertical="center"/>
    </xf>
    <xf numFmtId="1" fontId="24" fillId="22" borderId="6" xfId="0" applyNumberFormat="1" applyFont="1" applyFill="1" applyBorder="1" applyAlignment="1">
      <alignment vertical="center"/>
    </xf>
    <xf numFmtId="0" fontId="24" fillId="22" borderId="0" xfId="0" applyFont="1" applyFill="1" applyAlignment="1">
      <alignment vertical="center"/>
    </xf>
    <xf numFmtId="0" fontId="25" fillId="25" borderId="6" xfId="0" applyFont="1" applyFill="1" applyBorder="1" applyAlignment="1">
      <alignment vertical="center" wrapText="1"/>
    </xf>
    <xf numFmtId="1" fontId="24" fillId="25" borderId="6" xfId="0" applyNumberFormat="1" applyFont="1" applyFill="1" applyBorder="1" applyAlignment="1">
      <alignment vertical="center"/>
    </xf>
    <xf numFmtId="0" fontId="24" fillId="25" borderId="0" xfId="0" applyFont="1" applyFill="1" applyAlignment="1">
      <alignment vertical="center"/>
    </xf>
    <xf numFmtId="0" fontId="26" fillId="0" borderId="6" xfId="0" applyFont="1" applyBorder="1" applyAlignment="1">
      <alignment vertical="center" wrapText="1"/>
    </xf>
    <xf numFmtId="14" fontId="26" fillId="0" borderId="6" xfId="0" applyNumberFormat="1" applyFont="1" applyBorder="1" applyAlignment="1">
      <alignment vertical="center" wrapText="1"/>
    </xf>
    <xf numFmtId="14" fontId="0" fillId="0" borderId="6" xfId="0" applyNumberFormat="1" applyBorder="1" applyAlignment="1">
      <alignment vertical="center"/>
    </xf>
    <xf numFmtId="167" fontId="0" fillId="0" borderId="6" xfId="0" applyNumberFormat="1" applyBorder="1" applyAlignment="1">
      <alignment vertical="center"/>
    </xf>
    <xf numFmtId="1" fontId="0" fillId="0" borderId="6" xfId="0" applyNumberFormat="1" applyBorder="1" applyAlignment="1">
      <alignment vertical="center"/>
    </xf>
    <xf numFmtId="0" fontId="0" fillId="0" borderId="0" xfId="0" applyAlignment="1">
      <alignment vertical="center"/>
    </xf>
    <xf numFmtId="0" fontId="0" fillId="23" borderId="6" xfId="0" applyFill="1" applyBorder="1" applyAlignment="1">
      <alignment vertical="center"/>
    </xf>
    <xf numFmtId="0" fontId="0" fillId="0" borderId="6" xfId="0" applyBorder="1" applyAlignment="1">
      <alignment vertical="center"/>
    </xf>
    <xf numFmtId="0" fontId="0" fillId="24" borderId="6" xfId="0" applyFill="1" applyBorder="1" applyAlignment="1">
      <alignment vertical="center"/>
    </xf>
    <xf numFmtId="14" fontId="0" fillId="0" borderId="6" xfId="0" applyNumberFormat="1" applyBorder="1" applyAlignment="1">
      <alignment vertical="center" wrapText="1"/>
    </xf>
    <xf numFmtId="0" fontId="0" fillId="5" borderId="7" xfId="0" applyFill="1" applyBorder="1" applyAlignment="1">
      <alignment vertical="center"/>
    </xf>
    <xf numFmtId="0" fontId="0" fillId="0" borderId="7" xfId="0" applyBorder="1" applyAlignment="1">
      <alignment vertical="center"/>
    </xf>
    <xf numFmtId="0" fontId="27" fillId="7" borderId="6" xfId="0" applyFont="1" applyFill="1" applyBorder="1" applyAlignment="1">
      <alignment horizontal="center" vertical="center"/>
    </xf>
    <xf numFmtId="0" fontId="24" fillId="0" borderId="6" xfId="0" applyFont="1" applyBorder="1" applyAlignment="1">
      <alignment horizontal="center" vertical="center"/>
    </xf>
    <xf numFmtId="0" fontId="28" fillId="22" borderId="1" xfId="0" applyFont="1" applyFill="1" applyBorder="1" applyAlignment="1">
      <alignment horizontal="center" vertical="center" wrapText="1"/>
    </xf>
    <xf numFmtId="0" fontId="6" fillId="26" borderId="1" xfId="0" applyFont="1" applyFill="1" applyBorder="1" applyAlignment="1">
      <alignment horizontal="center" vertical="center" wrapText="1"/>
    </xf>
    <xf numFmtId="0" fontId="28" fillId="23" borderId="1" xfId="0" applyFont="1" applyFill="1" applyBorder="1" applyAlignment="1">
      <alignment horizontal="center" vertical="center" wrapText="1"/>
    </xf>
    <xf numFmtId="168" fontId="7" fillId="0" borderId="1" xfId="0" applyNumberFormat="1" applyFont="1" applyBorder="1" applyAlignment="1">
      <alignment horizontal="center"/>
    </xf>
    <xf numFmtId="169" fontId="7" fillId="0" borderId="1" xfId="0" applyNumberFormat="1" applyFont="1" applyBorder="1" applyAlignment="1">
      <alignment horizontal="center"/>
    </xf>
    <xf numFmtId="0" fontId="0" fillId="5" borderId="6" xfId="0" applyFill="1" applyBorder="1" applyAlignment="1">
      <alignment vertical="center"/>
    </xf>
    <xf numFmtId="0" fontId="26" fillId="0" borderId="0" xfId="0" applyFont="1" applyAlignment="1">
      <alignment wrapText="1"/>
    </xf>
    <xf numFmtId="0" fontId="0" fillId="0" borderId="0" xfId="0" applyAlignment="1">
      <alignment horizontal="center" vertical="center"/>
    </xf>
    <xf numFmtId="0" fontId="0" fillId="0" borderId="0" xfId="0" applyAlignment="1">
      <alignment wrapText="1"/>
    </xf>
    <xf numFmtId="14" fontId="0" fillId="0" borderId="0" xfId="0" applyNumberFormat="1" applyAlignment="1">
      <alignment wrapText="1"/>
    </xf>
    <xf numFmtId="0" fontId="25" fillId="25" borderId="7" xfId="0" applyFont="1" applyFill="1" applyBorder="1" applyAlignment="1">
      <alignment vertical="center" wrapText="1"/>
    </xf>
    <xf numFmtId="0" fontId="26" fillId="0" borderId="6" xfId="0" applyFont="1" applyBorder="1" applyAlignment="1">
      <alignment wrapText="1"/>
    </xf>
    <xf numFmtId="22" fontId="26" fillId="0" borderId="6" xfId="0" applyNumberFormat="1" applyFont="1" applyBorder="1" applyAlignment="1">
      <alignment wrapText="1"/>
    </xf>
    <xf numFmtId="0" fontId="0" fillId="0" borderId="6" xfId="0" applyBorder="1" applyAlignment="1">
      <alignment wrapText="1"/>
    </xf>
    <xf numFmtId="0" fontId="24" fillId="22" borderId="8" xfId="0" applyFont="1" applyFill="1" applyBorder="1" applyAlignment="1">
      <alignment vertical="center"/>
    </xf>
    <xf numFmtId="0" fontId="25" fillId="25" borderId="8" xfId="0" applyFont="1" applyFill="1" applyBorder="1" applyAlignment="1">
      <alignment vertical="center" wrapText="1"/>
    </xf>
    <xf numFmtId="0" fontId="0" fillId="0" borderId="6" xfId="0" applyBorder="1"/>
    <xf numFmtId="0" fontId="0" fillId="0" borderId="6" xfId="0" applyBorder="1" applyAlignment="1">
      <alignment horizontal="center" vertical="center"/>
    </xf>
    <xf numFmtId="0" fontId="0" fillId="22" borderId="6" xfId="0" applyFill="1" applyBorder="1"/>
    <xf numFmtId="0" fontId="27" fillId="7" borderId="6" xfId="0" applyFont="1" applyFill="1" applyBorder="1" applyAlignment="1">
      <alignment horizontal="center" vertical="center"/>
    </xf>
    <xf numFmtId="14" fontId="26" fillId="0" borderId="0" xfId="0" applyNumberFormat="1" applyFont="1" applyAlignment="1">
      <alignment wrapText="1"/>
    </xf>
    <xf numFmtId="0" fontId="26" fillId="0" borderId="0" xfId="0" applyFont="1" applyAlignment="1">
      <alignment wrapText="1"/>
    </xf>
    <xf numFmtId="0" fontId="26" fillId="0" borderId="0" xfId="0" applyFont="1" applyAlignment="1">
      <alignment wrapText="1"/>
    </xf>
    <xf numFmtId="22" fontId="26" fillId="0" borderId="0" xfId="0" applyNumberFormat="1" applyFont="1" applyAlignment="1">
      <alignment wrapText="1"/>
    </xf>
    <xf numFmtId="0" fontId="30" fillId="27" borderId="9" xfId="4" applyFont="1"/>
    <xf numFmtId="14" fontId="29" fillId="27" borderId="9" xfId="4" applyNumberFormat="1"/>
    <xf numFmtId="0" fontId="3" fillId="22" borderId="8" xfId="2" applyFill="1" applyBorder="1" applyAlignment="1" applyProtection="1">
      <alignment vertical="center"/>
    </xf>
    <xf numFmtId="0" fontId="26" fillId="0" borderId="8" xfId="0" applyFont="1" applyBorder="1" applyAlignment="1">
      <alignment vertical="center" wrapText="1"/>
    </xf>
    <xf numFmtId="0" fontId="24" fillId="24" borderId="6" xfId="0" applyFont="1" applyFill="1" applyBorder="1" applyAlignment="1">
      <alignment horizontal="left" vertical="center"/>
    </xf>
    <xf numFmtId="170" fontId="26" fillId="0" borderId="6" xfId="0" applyNumberFormat="1" applyFont="1" applyBorder="1" applyAlignment="1">
      <alignment vertical="center" wrapText="1"/>
    </xf>
    <xf numFmtId="170" fontId="0" fillId="0" borderId="6" xfId="0" applyNumberFormat="1" applyBorder="1" applyAlignment="1">
      <alignment vertical="center" wrapText="1"/>
    </xf>
    <xf numFmtId="170" fontId="26" fillId="0" borderId="6" xfId="0" applyNumberFormat="1" applyFont="1" applyBorder="1" applyAlignment="1">
      <alignment horizontal="center" vertical="center" wrapText="1"/>
    </xf>
    <xf numFmtId="170" fontId="0" fillId="0" borderId="6" xfId="0" applyNumberFormat="1" applyBorder="1" applyAlignment="1">
      <alignment horizontal="center" vertical="center" wrapText="1"/>
    </xf>
    <xf numFmtId="170" fontId="0" fillId="0" borderId="6" xfId="0" applyNumberFormat="1" applyBorder="1" applyAlignment="1">
      <alignment horizontal="center" vertical="center"/>
    </xf>
    <xf numFmtId="0" fontId="24" fillId="22" borderId="6" xfId="0" applyFont="1" applyFill="1" applyBorder="1" applyAlignment="1">
      <alignment horizontal="center" vertical="center"/>
    </xf>
    <xf numFmtId="0" fontId="25" fillId="25" borderId="6" xfId="0" applyFont="1" applyFill="1" applyBorder="1" applyAlignment="1">
      <alignment horizontal="center" vertical="center" wrapText="1"/>
    </xf>
    <xf numFmtId="0" fontId="26" fillId="0" borderId="6" xfId="0" applyFont="1" applyBorder="1" applyAlignment="1">
      <alignment horizontal="center" vertical="center" wrapText="1"/>
    </xf>
    <xf numFmtId="170" fontId="26" fillId="0" borderId="0" xfId="0" applyNumberFormat="1" applyFont="1" applyAlignment="1">
      <alignment wrapText="1"/>
    </xf>
    <xf numFmtId="170" fontId="0" fillId="0" borderId="0" xfId="0" applyNumberFormat="1" applyAlignment="1">
      <alignment wrapText="1"/>
    </xf>
    <xf numFmtId="170" fontId="26" fillId="0" borderId="6" xfId="0" applyNumberFormat="1" applyFont="1" applyBorder="1" applyAlignment="1">
      <alignment wrapText="1"/>
    </xf>
    <xf numFmtId="170" fontId="0" fillId="0" borderId="6" xfId="0" applyNumberFormat="1" applyBorder="1" applyAlignment="1">
      <alignment wrapText="1"/>
    </xf>
    <xf numFmtId="170" fontId="0" fillId="0" borderId="0" xfId="0" applyNumberFormat="1"/>
    <xf numFmtId="170" fontId="0" fillId="0" borderId="6" xfId="0" applyNumberFormat="1" applyBorder="1"/>
    <xf numFmtId="0" fontId="0" fillId="22" borderId="6" xfId="0" applyFill="1" applyBorder="1" applyAlignment="1">
      <alignment vertical="center"/>
    </xf>
    <xf numFmtId="0" fontId="0" fillId="0" borderId="6" xfId="0" applyBorder="1" applyAlignment="1">
      <alignment vertical="top"/>
    </xf>
    <xf numFmtId="0" fontId="0" fillId="0" borderId="6" xfId="0" applyBorder="1" applyAlignment="1">
      <alignment vertical="top" wrapText="1"/>
    </xf>
    <xf numFmtId="1" fontId="24" fillId="25" borderId="6" xfId="0" applyNumberFormat="1" applyFont="1" applyFill="1" applyBorder="1" applyAlignment="1">
      <alignment horizontal="center" vertical="center"/>
    </xf>
    <xf numFmtId="0" fontId="0" fillId="22" borderId="6" xfId="0" applyFill="1" applyBorder="1" applyAlignment="1">
      <alignment vertical="top"/>
    </xf>
    <xf numFmtId="0" fontId="0" fillId="5" borderId="6" xfId="0" applyFill="1" applyBorder="1" applyAlignment="1">
      <alignment vertical="top"/>
    </xf>
    <xf numFmtId="0" fontId="0" fillId="24" borderId="6" xfId="0" applyFill="1" applyBorder="1" applyAlignment="1">
      <alignment vertical="top"/>
    </xf>
    <xf numFmtId="0" fontId="0" fillId="28" borderId="6" xfId="0" applyFill="1" applyBorder="1" applyAlignment="1">
      <alignment vertical="top"/>
    </xf>
    <xf numFmtId="0" fontId="0" fillId="29" borderId="6" xfId="0" applyFill="1" applyBorder="1" applyAlignment="1">
      <alignment vertical="top"/>
    </xf>
    <xf numFmtId="0" fontId="0" fillId="30" borderId="6" xfId="0" applyFill="1" applyBorder="1" applyAlignment="1">
      <alignment vertical="top"/>
    </xf>
    <xf numFmtId="0" fontId="0" fillId="31" borderId="6" xfId="0" applyFill="1" applyBorder="1" applyAlignment="1">
      <alignment vertical="top"/>
    </xf>
    <xf numFmtId="0" fontId="13" fillId="0" borderId="2" xfId="0" applyFont="1" applyBorder="1" applyAlignment="1">
      <alignment horizontal="left" vertical="center" wrapText="1" indent="1"/>
    </xf>
    <xf numFmtId="0" fontId="13" fillId="0" borderId="3" xfId="0" applyFont="1" applyBorder="1" applyAlignment="1">
      <alignment horizontal="left" vertical="center" wrapText="1" indent="1"/>
    </xf>
    <xf numFmtId="0" fontId="13" fillId="0" borderId="4" xfId="0" applyFont="1" applyBorder="1" applyAlignment="1">
      <alignment horizontal="left" vertical="center" wrapText="1" indent="1"/>
    </xf>
    <xf numFmtId="0" fontId="6" fillId="3" borderId="1" xfId="0" applyFont="1" applyFill="1" applyBorder="1" applyAlignment="1">
      <alignment horizontal="center" vertical="center"/>
    </xf>
    <xf numFmtId="0" fontId="23" fillId="21" borderId="0" xfId="2" applyFont="1" applyFill="1" applyAlignment="1" applyProtection="1">
      <alignment horizontal="center" vertical="center"/>
    </xf>
    <xf numFmtId="0" fontId="6" fillId="11"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9" borderId="1" xfId="0" applyFont="1" applyFill="1" applyBorder="1" applyAlignment="1">
      <alignment horizontal="left" vertical="center" wrapText="1" indent="1"/>
    </xf>
    <xf numFmtId="0" fontId="6" fillId="3"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28" fillId="23" borderId="1" xfId="0" applyFont="1" applyFill="1" applyBorder="1" applyAlignment="1">
      <alignment horizontal="center" vertical="center" wrapText="1"/>
    </xf>
    <xf numFmtId="0" fontId="28" fillId="22" borderId="1" xfId="0" applyFont="1" applyFill="1" applyBorder="1" applyAlignment="1">
      <alignment horizontal="center" vertical="center" wrapText="1"/>
    </xf>
    <xf numFmtId="0" fontId="27" fillId="7" borderId="6" xfId="0" applyFont="1" applyFill="1" applyBorder="1" applyAlignment="1">
      <alignment horizontal="center" vertical="center"/>
    </xf>
  </cellXfs>
  <cellStyles count="5">
    <cellStyle name="Currency" xfId="1" builtinId="4"/>
    <cellStyle name="Hyperlink" xfId="2" builtinId="8"/>
    <cellStyle name="Input" xfId="4" builtinId="20"/>
    <cellStyle name="Normal" xfId="0" builtinId="0"/>
    <cellStyle name="Normal 2" xfId="3" xr:uid="{EA5BEB12-5956-B347-A893-122D6A3BC7BA}"/>
  </cellStyles>
  <dxfs count="0"/>
  <tableStyles count="0" defaultTableStyle="TableStyleMedium9" defaultPivotStyle="PivotStyleMedium4"/>
  <colors>
    <mruColors>
      <color rgb="FFEE57AD"/>
      <color rgb="FFFFC11D"/>
      <color rgb="FFE3DAFF"/>
      <color rgb="FF6A3AFF"/>
      <color rgb="FFF1B93C"/>
      <color rgb="FFFFDCE4"/>
      <color rgb="FFED7C00"/>
      <color rgb="FF732EE0"/>
      <color rgb="FFFFBD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'EXAMPLE Multi Project Dashboard'!$D$40</c:f>
              <c:strCache>
                <c:ptCount val="1"/>
                <c:pt idx="0">
                  <c:v>BEGIN</c:v>
                </c:pt>
              </c:strCache>
            </c:strRef>
          </c:tx>
          <c:spPr>
            <a:noFill/>
            <a:ln>
              <a:noFill/>
            </a:ln>
            <a:effectLst/>
          </c:spPr>
          <c:invertIfNegative val="0"/>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Dashboard'!$D$41:$D$54</c:f>
              <c:numCache>
                <c:formatCode>mm/dd/yy;@</c:formatCode>
                <c:ptCount val="14"/>
                <c:pt idx="0">
                  <c:v>45782</c:v>
                </c:pt>
                <c:pt idx="1">
                  <c:v>45787</c:v>
                </c:pt>
                <c:pt idx="2">
                  <c:v>45818</c:v>
                </c:pt>
                <c:pt idx="3">
                  <c:v>45830</c:v>
                </c:pt>
                <c:pt idx="4">
                  <c:v>45852</c:v>
                </c:pt>
                <c:pt idx="5">
                  <c:v>45852</c:v>
                </c:pt>
                <c:pt idx="6">
                  <c:v>45870</c:v>
                </c:pt>
                <c:pt idx="7">
                  <c:v>45883</c:v>
                </c:pt>
                <c:pt idx="8">
                  <c:v>45901</c:v>
                </c:pt>
                <c:pt idx="9">
                  <c:v>45931</c:v>
                </c:pt>
                <c:pt idx="10">
                  <c:v>45931</c:v>
                </c:pt>
                <c:pt idx="11">
                  <c:v>45962</c:v>
                </c:pt>
                <c:pt idx="12">
                  <c:v>45971</c:v>
                </c:pt>
                <c:pt idx="13">
                  <c:v>45992</c:v>
                </c:pt>
              </c:numCache>
            </c:numRef>
          </c:val>
          <c:extLst>
            <c:ext xmlns:c16="http://schemas.microsoft.com/office/drawing/2014/chart" uri="{C3380CC4-5D6E-409C-BE32-E72D297353CC}">
              <c16:uniqueId val="{00000000-C5A5-0343-A123-B7EDAF0CED22}"/>
            </c:ext>
          </c:extLst>
        </c:ser>
        <c:ser>
          <c:idx val="1"/>
          <c:order val="1"/>
          <c:tx>
            <c:v>Duration</c:v>
          </c:tx>
          <c:spPr>
            <a:solidFill>
              <a:schemeClr val="accent5"/>
            </a:solidFill>
            <a:ln>
              <a:noFill/>
            </a:ln>
            <a:effectLst/>
          </c:spPr>
          <c:invertIfNegative val="0"/>
          <c:dPt>
            <c:idx val="1"/>
            <c:invertIfNegative val="0"/>
            <c:bubble3D val="0"/>
            <c:spPr>
              <a:solidFill>
                <a:srgbClr val="6A3AFF"/>
              </a:solidFill>
              <a:ln>
                <a:noFill/>
              </a:ln>
              <a:effectLst/>
            </c:spPr>
            <c:extLst>
              <c:ext xmlns:c16="http://schemas.microsoft.com/office/drawing/2014/chart" uri="{C3380CC4-5D6E-409C-BE32-E72D297353CC}">
                <c16:uniqueId val="{00000002-C5A5-0343-A123-B7EDAF0CED22}"/>
              </c:ext>
            </c:extLst>
          </c:dPt>
          <c:dPt>
            <c:idx val="2"/>
            <c:invertIfNegative val="0"/>
            <c:bubble3D val="0"/>
            <c:spPr>
              <a:solidFill>
                <a:srgbClr val="00B050"/>
              </a:solidFill>
              <a:ln>
                <a:noFill/>
              </a:ln>
              <a:effectLst/>
            </c:spPr>
            <c:extLst>
              <c:ext xmlns:c16="http://schemas.microsoft.com/office/drawing/2014/chart" uri="{C3380CC4-5D6E-409C-BE32-E72D297353CC}">
                <c16:uniqueId val="{00000004-C5A5-0343-A123-B7EDAF0CED22}"/>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6-C5A5-0343-A123-B7EDAF0CED22}"/>
              </c:ext>
            </c:extLst>
          </c:dPt>
          <c:dPt>
            <c:idx val="4"/>
            <c:invertIfNegative val="0"/>
            <c:bubble3D val="0"/>
            <c:spPr>
              <a:solidFill>
                <a:srgbClr val="FF0000"/>
              </a:solidFill>
              <a:ln>
                <a:noFill/>
              </a:ln>
              <a:effectLst/>
            </c:spPr>
            <c:extLst>
              <c:ext xmlns:c16="http://schemas.microsoft.com/office/drawing/2014/chart" uri="{C3380CC4-5D6E-409C-BE32-E72D297353CC}">
                <c16:uniqueId val="{00000008-C5A5-0343-A123-B7EDAF0CED22}"/>
              </c:ext>
            </c:extLst>
          </c:dPt>
          <c:dPt>
            <c:idx val="5"/>
            <c:invertIfNegative val="0"/>
            <c:bubble3D val="0"/>
            <c:spPr>
              <a:solidFill>
                <a:srgbClr val="92D050"/>
              </a:solidFill>
              <a:ln>
                <a:noFill/>
              </a:ln>
              <a:effectLst/>
            </c:spPr>
            <c:extLst>
              <c:ext xmlns:c16="http://schemas.microsoft.com/office/drawing/2014/chart" uri="{C3380CC4-5D6E-409C-BE32-E72D297353CC}">
                <c16:uniqueId val="{0000000A-C5A5-0343-A123-B7EDAF0CED22}"/>
              </c:ext>
            </c:extLst>
          </c:dPt>
          <c:dPt>
            <c:idx val="6"/>
            <c:invertIfNegative val="0"/>
            <c:bubble3D val="0"/>
            <c:spPr>
              <a:solidFill>
                <a:srgbClr val="EE57AD"/>
              </a:solidFill>
              <a:ln>
                <a:noFill/>
              </a:ln>
              <a:effectLst/>
            </c:spPr>
            <c:extLst>
              <c:ext xmlns:c16="http://schemas.microsoft.com/office/drawing/2014/chart" uri="{C3380CC4-5D6E-409C-BE32-E72D297353CC}">
                <c16:uniqueId val="{0000000C-C5A5-0343-A123-B7EDAF0CED22}"/>
              </c:ext>
            </c:extLst>
          </c:dPt>
          <c:dPt>
            <c:idx val="7"/>
            <c:invertIfNegative val="0"/>
            <c:bubble3D val="0"/>
            <c:spPr>
              <a:solidFill>
                <a:schemeClr val="accent4">
                  <a:lumMod val="50000"/>
                </a:schemeClr>
              </a:solidFill>
              <a:ln>
                <a:noFill/>
              </a:ln>
              <a:effectLst/>
            </c:spPr>
            <c:extLst>
              <c:ext xmlns:c16="http://schemas.microsoft.com/office/drawing/2014/chart" uri="{C3380CC4-5D6E-409C-BE32-E72D297353CC}">
                <c16:uniqueId val="{0000000E-C5A5-0343-A123-B7EDAF0CED22}"/>
              </c:ext>
            </c:extLst>
          </c:dPt>
          <c:dPt>
            <c:idx val="8"/>
            <c:invertIfNegative val="0"/>
            <c:bubble3D val="0"/>
            <c:spPr>
              <a:solidFill>
                <a:schemeClr val="accent6">
                  <a:lumMod val="75000"/>
                </a:schemeClr>
              </a:solidFill>
              <a:ln>
                <a:noFill/>
              </a:ln>
              <a:effectLst/>
            </c:spPr>
            <c:extLst>
              <c:ext xmlns:c16="http://schemas.microsoft.com/office/drawing/2014/chart" uri="{C3380CC4-5D6E-409C-BE32-E72D297353CC}">
                <c16:uniqueId val="{00000010-C5A5-0343-A123-B7EDAF0CED22}"/>
              </c:ext>
            </c:extLst>
          </c:dPt>
          <c:dPt>
            <c:idx val="9"/>
            <c:invertIfNegative val="0"/>
            <c:bubble3D val="0"/>
            <c:spPr>
              <a:solidFill>
                <a:srgbClr val="00B0F0"/>
              </a:solidFill>
              <a:ln>
                <a:noFill/>
              </a:ln>
              <a:effectLst/>
            </c:spPr>
            <c:extLst>
              <c:ext xmlns:c16="http://schemas.microsoft.com/office/drawing/2014/chart" uri="{C3380CC4-5D6E-409C-BE32-E72D297353CC}">
                <c16:uniqueId val="{00000012-C5A5-0343-A123-B7EDAF0CED22}"/>
              </c:ext>
            </c:extLst>
          </c:dPt>
          <c:dPt>
            <c:idx val="10"/>
            <c:invertIfNegative val="0"/>
            <c:bubble3D val="0"/>
            <c:spPr>
              <a:solidFill>
                <a:srgbClr val="C00000"/>
              </a:solidFill>
              <a:ln>
                <a:noFill/>
              </a:ln>
              <a:effectLst/>
            </c:spPr>
            <c:extLst>
              <c:ext xmlns:c16="http://schemas.microsoft.com/office/drawing/2014/chart" uri="{C3380CC4-5D6E-409C-BE32-E72D297353CC}">
                <c16:uniqueId val="{00000014-C5A5-0343-A123-B7EDAF0CED22}"/>
              </c:ext>
            </c:extLst>
          </c:dPt>
          <c:dPt>
            <c:idx val="11"/>
            <c:invertIfNegative val="0"/>
            <c:bubble3D val="0"/>
            <c:spPr>
              <a:solidFill>
                <a:schemeClr val="accent2">
                  <a:lumMod val="75000"/>
                </a:schemeClr>
              </a:solidFill>
              <a:ln>
                <a:noFill/>
              </a:ln>
              <a:effectLst/>
            </c:spPr>
            <c:extLst>
              <c:ext xmlns:c16="http://schemas.microsoft.com/office/drawing/2014/chart" uri="{C3380CC4-5D6E-409C-BE32-E72D297353CC}">
                <c16:uniqueId val="{00000016-C5A5-0343-A123-B7EDAF0CED22}"/>
              </c:ext>
            </c:extLst>
          </c:dPt>
          <c:dPt>
            <c:idx val="1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8-C5A5-0343-A123-B7EDAF0CED22}"/>
              </c:ext>
            </c:extLst>
          </c:dPt>
          <c:dPt>
            <c:idx val="13"/>
            <c:invertIfNegative val="0"/>
            <c:bubble3D val="0"/>
            <c:spPr>
              <a:solidFill>
                <a:srgbClr val="FFC11D"/>
              </a:solidFill>
              <a:ln>
                <a:noFill/>
              </a:ln>
              <a:effectLst/>
            </c:spPr>
            <c:extLst>
              <c:ext xmlns:c16="http://schemas.microsoft.com/office/drawing/2014/chart" uri="{C3380CC4-5D6E-409C-BE32-E72D297353CC}">
                <c16:uniqueId val="{0000001A-C5A5-0343-A123-B7EDAF0CED22}"/>
              </c:ext>
            </c:extLst>
          </c:dPt>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Dashboard'!$F$41:$F$54</c:f>
              <c:numCache>
                <c:formatCode>General</c:formatCode>
                <c:ptCount val="14"/>
                <c:pt idx="0">
                  <c:v>57</c:v>
                </c:pt>
                <c:pt idx="1">
                  <c:v>92</c:v>
                </c:pt>
                <c:pt idx="2">
                  <c:v>264</c:v>
                </c:pt>
                <c:pt idx="3">
                  <c:v>43</c:v>
                </c:pt>
                <c:pt idx="4">
                  <c:v>110</c:v>
                </c:pt>
                <c:pt idx="5">
                  <c:v>190</c:v>
                </c:pt>
                <c:pt idx="6">
                  <c:v>61</c:v>
                </c:pt>
                <c:pt idx="7">
                  <c:v>16</c:v>
                </c:pt>
                <c:pt idx="8">
                  <c:v>100</c:v>
                </c:pt>
                <c:pt idx="9">
                  <c:v>45</c:v>
                </c:pt>
                <c:pt idx="10">
                  <c:v>61</c:v>
                </c:pt>
                <c:pt idx="11">
                  <c:v>30</c:v>
                </c:pt>
                <c:pt idx="12">
                  <c:v>30</c:v>
                </c:pt>
                <c:pt idx="13">
                  <c:v>71</c:v>
                </c:pt>
              </c:numCache>
            </c:numRef>
          </c:val>
          <c:extLst>
            <c:ext xmlns:c16="http://schemas.microsoft.com/office/drawing/2014/chart" uri="{C3380CC4-5D6E-409C-BE32-E72D297353CC}">
              <c16:uniqueId val="{0000001B-C5A5-0343-A123-B7EDAF0CED22}"/>
            </c:ext>
          </c:extLst>
        </c:ser>
        <c:dLbls>
          <c:showLegendKey val="0"/>
          <c:showVal val="0"/>
          <c:showCatName val="0"/>
          <c:showSerName val="0"/>
          <c:showPercent val="0"/>
          <c:showBubbleSize val="0"/>
        </c:dLbls>
        <c:gapWidth val="77"/>
        <c:overlap val="100"/>
        <c:axId val="2120620376"/>
        <c:axId val="-2105395848"/>
      </c:barChart>
      <c:catAx>
        <c:axId val="212062037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05395848"/>
        <c:crosses val="autoZero"/>
        <c:auto val="1"/>
        <c:lblAlgn val="ctr"/>
        <c:lblOffset val="100"/>
        <c:noMultiLvlLbl val="0"/>
      </c:catAx>
      <c:valAx>
        <c:axId val="-2105395848"/>
        <c:scaling>
          <c:orientation val="minMax"/>
          <c:min val="45770"/>
        </c:scaling>
        <c:delete val="0"/>
        <c:axPos val="t"/>
        <c:majorGridlines>
          <c:spPr>
            <a:ln w="9525" cap="flat" cmpd="sng" algn="ctr">
              <a:solidFill>
                <a:schemeClr val="tx1">
                  <a:lumMod val="15000"/>
                  <a:lumOff val="85000"/>
                </a:schemeClr>
              </a:solidFill>
              <a:round/>
            </a:ln>
            <a:effectLst/>
          </c:spPr>
        </c:majorGridlines>
        <c:numFmt formatCode="mm/dd/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20620376"/>
        <c:crosses val="autoZero"/>
        <c:crossBetween val="between"/>
        <c:majorUnit val="30"/>
      </c:valAx>
      <c:spPr>
        <a:noFill/>
        <a:ln>
          <a:noFill/>
        </a:ln>
        <a:effectLst/>
      </c:spPr>
    </c:plotArea>
    <c:plotVisOnly val="1"/>
    <c:dispBlanksAs val="gap"/>
    <c:showDLblsOverMax val="0"/>
  </c:chart>
  <c:spPr>
    <a:noFill/>
    <a:ln w="9525" cap="flat" cmpd="sng" algn="ctr">
      <a:noFill/>
      <a:round/>
    </a:ln>
    <a:effectLst/>
  </c:spPr>
  <c:txPr>
    <a:bodyPr/>
    <a:lstStyle/>
    <a:p>
      <a:pPr>
        <a:defRPr b="0" i="0">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r>
              <a:rPr lang="en-US"/>
              <a:t>DAYS per PROJECT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endParaRPr lang="en-US"/>
        </a:p>
      </c:txPr>
    </c:title>
    <c:autoTitleDeleted val="0"/>
    <c:plotArea>
      <c:layout/>
      <c:barChart>
        <c:barDir val="col"/>
        <c:grouping val="clustered"/>
        <c:varyColors val="0"/>
        <c:ser>
          <c:idx val="0"/>
          <c:order val="0"/>
          <c:tx>
            <c:strRef>
              <c:f>'EXAMPLE Multi Project Dashboard'!$F$40</c:f>
              <c:strCache>
                <c:ptCount val="1"/>
                <c:pt idx="0">
                  <c:v># of DAYS</c:v>
                </c:pt>
              </c:strCache>
            </c:strRef>
          </c:tx>
          <c:spPr>
            <a:solidFill>
              <a:schemeClr val="accent1"/>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1-0D30-3746-8B06-B570C7C8F061}"/>
              </c:ext>
            </c:extLst>
          </c:dPt>
          <c:dPt>
            <c:idx val="1"/>
            <c:invertIfNegative val="0"/>
            <c:bubble3D val="0"/>
            <c:spPr>
              <a:solidFill>
                <a:srgbClr val="6A3AFF"/>
              </a:solidFill>
              <a:ln>
                <a:noFill/>
              </a:ln>
              <a:effectLst/>
            </c:spPr>
            <c:extLst>
              <c:ext xmlns:c16="http://schemas.microsoft.com/office/drawing/2014/chart" uri="{C3380CC4-5D6E-409C-BE32-E72D297353CC}">
                <c16:uniqueId val="{00000003-0D30-3746-8B06-B570C7C8F061}"/>
              </c:ext>
            </c:extLst>
          </c:dPt>
          <c:dPt>
            <c:idx val="2"/>
            <c:invertIfNegative val="0"/>
            <c:bubble3D val="0"/>
            <c:spPr>
              <a:solidFill>
                <a:srgbClr val="00B050"/>
              </a:solidFill>
              <a:ln>
                <a:noFill/>
              </a:ln>
              <a:effectLst/>
            </c:spPr>
            <c:extLst>
              <c:ext xmlns:c16="http://schemas.microsoft.com/office/drawing/2014/chart" uri="{C3380CC4-5D6E-409C-BE32-E72D297353CC}">
                <c16:uniqueId val="{00000005-0D30-3746-8B06-B570C7C8F061}"/>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0D30-3746-8B06-B570C7C8F061}"/>
              </c:ext>
            </c:extLst>
          </c:dPt>
          <c:dPt>
            <c:idx val="4"/>
            <c:invertIfNegative val="0"/>
            <c:bubble3D val="0"/>
            <c:spPr>
              <a:solidFill>
                <a:srgbClr val="FF0000"/>
              </a:solidFill>
              <a:ln>
                <a:noFill/>
              </a:ln>
              <a:effectLst/>
            </c:spPr>
            <c:extLst>
              <c:ext xmlns:c16="http://schemas.microsoft.com/office/drawing/2014/chart" uri="{C3380CC4-5D6E-409C-BE32-E72D297353CC}">
                <c16:uniqueId val="{00000009-0D30-3746-8B06-B570C7C8F061}"/>
              </c:ext>
            </c:extLst>
          </c:dPt>
          <c:dPt>
            <c:idx val="5"/>
            <c:invertIfNegative val="0"/>
            <c:bubble3D val="0"/>
            <c:spPr>
              <a:solidFill>
                <a:srgbClr val="92D050"/>
              </a:solidFill>
              <a:ln>
                <a:noFill/>
              </a:ln>
              <a:effectLst/>
            </c:spPr>
            <c:extLst>
              <c:ext xmlns:c16="http://schemas.microsoft.com/office/drawing/2014/chart" uri="{C3380CC4-5D6E-409C-BE32-E72D297353CC}">
                <c16:uniqueId val="{0000000B-0D30-3746-8B06-B570C7C8F061}"/>
              </c:ext>
            </c:extLst>
          </c:dPt>
          <c:dPt>
            <c:idx val="6"/>
            <c:invertIfNegative val="0"/>
            <c:bubble3D val="0"/>
            <c:spPr>
              <a:solidFill>
                <a:srgbClr val="EE57AD"/>
              </a:solidFill>
              <a:ln>
                <a:noFill/>
              </a:ln>
              <a:effectLst/>
            </c:spPr>
            <c:extLst>
              <c:ext xmlns:c16="http://schemas.microsoft.com/office/drawing/2014/chart" uri="{C3380CC4-5D6E-409C-BE32-E72D297353CC}">
                <c16:uniqueId val="{0000000D-0D30-3746-8B06-B570C7C8F061}"/>
              </c:ext>
            </c:extLst>
          </c:dPt>
          <c:dPt>
            <c:idx val="7"/>
            <c:invertIfNegative val="0"/>
            <c:bubble3D val="0"/>
            <c:spPr>
              <a:solidFill>
                <a:schemeClr val="accent4">
                  <a:lumMod val="50000"/>
                </a:schemeClr>
              </a:solidFill>
              <a:ln>
                <a:noFill/>
              </a:ln>
              <a:effectLst/>
            </c:spPr>
            <c:extLst>
              <c:ext xmlns:c16="http://schemas.microsoft.com/office/drawing/2014/chart" uri="{C3380CC4-5D6E-409C-BE32-E72D297353CC}">
                <c16:uniqueId val="{0000000F-0D30-3746-8B06-B570C7C8F061}"/>
              </c:ext>
            </c:extLst>
          </c:dPt>
          <c:dPt>
            <c:idx val="8"/>
            <c:invertIfNegative val="0"/>
            <c:bubble3D val="0"/>
            <c:spPr>
              <a:solidFill>
                <a:schemeClr val="accent6">
                  <a:lumMod val="75000"/>
                </a:schemeClr>
              </a:solidFill>
              <a:ln>
                <a:noFill/>
              </a:ln>
              <a:effectLst/>
            </c:spPr>
            <c:extLst>
              <c:ext xmlns:c16="http://schemas.microsoft.com/office/drawing/2014/chart" uri="{C3380CC4-5D6E-409C-BE32-E72D297353CC}">
                <c16:uniqueId val="{00000011-0D30-3746-8B06-B570C7C8F061}"/>
              </c:ext>
            </c:extLst>
          </c:dPt>
          <c:dPt>
            <c:idx val="9"/>
            <c:invertIfNegative val="0"/>
            <c:bubble3D val="0"/>
            <c:spPr>
              <a:solidFill>
                <a:srgbClr val="00B0F0"/>
              </a:solidFill>
              <a:ln>
                <a:noFill/>
              </a:ln>
              <a:effectLst/>
            </c:spPr>
            <c:extLst>
              <c:ext xmlns:c16="http://schemas.microsoft.com/office/drawing/2014/chart" uri="{C3380CC4-5D6E-409C-BE32-E72D297353CC}">
                <c16:uniqueId val="{00000013-0D30-3746-8B06-B570C7C8F061}"/>
              </c:ext>
            </c:extLst>
          </c:dPt>
          <c:dPt>
            <c:idx val="10"/>
            <c:invertIfNegative val="0"/>
            <c:bubble3D val="0"/>
            <c:spPr>
              <a:solidFill>
                <a:srgbClr val="C00000"/>
              </a:solidFill>
              <a:ln>
                <a:noFill/>
              </a:ln>
              <a:effectLst/>
            </c:spPr>
            <c:extLst>
              <c:ext xmlns:c16="http://schemas.microsoft.com/office/drawing/2014/chart" uri="{C3380CC4-5D6E-409C-BE32-E72D297353CC}">
                <c16:uniqueId val="{00000015-0D30-3746-8B06-B570C7C8F061}"/>
              </c:ext>
            </c:extLst>
          </c:dPt>
          <c:dPt>
            <c:idx val="11"/>
            <c:invertIfNegative val="0"/>
            <c:bubble3D val="0"/>
            <c:spPr>
              <a:solidFill>
                <a:schemeClr val="accent2">
                  <a:lumMod val="75000"/>
                </a:schemeClr>
              </a:solidFill>
              <a:ln>
                <a:noFill/>
              </a:ln>
              <a:effectLst/>
            </c:spPr>
            <c:extLst>
              <c:ext xmlns:c16="http://schemas.microsoft.com/office/drawing/2014/chart" uri="{C3380CC4-5D6E-409C-BE32-E72D297353CC}">
                <c16:uniqueId val="{00000017-0D30-3746-8B06-B570C7C8F061}"/>
              </c:ext>
            </c:extLst>
          </c:dPt>
          <c:dPt>
            <c:idx val="1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9-0D30-3746-8B06-B570C7C8F061}"/>
              </c:ext>
            </c:extLst>
          </c:dPt>
          <c:dPt>
            <c:idx val="13"/>
            <c:invertIfNegative val="0"/>
            <c:bubble3D val="0"/>
            <c:spPr>
              <a:solidFill>
                <a:srgbClr val="FFC11D"/>
              </a:solidFill>
              <a:ln>
                <a:noFill/>
              </a:ln>
              <a:effectLst/>
            </c:spPr>
            <c:extLst>
              <c:ext xmlns:c16="http://schemas.microsoft.com/office/drawing/2014/chart" uri="{C3380CC4-5D6E-409C-BE32-E72D297353CC}">
                <c16:uniqueId val="{0000001B-0D30-3746-8B06-B570C7C8F061}"/>
              </c:ext>
            </c:extLst>
          </c:dPt>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Dashboard'!$F$41:$F$54</c:f>
              <c:numCache>
                <c:formatCode>General</c:formatCode>
                <c:ptCount val="14"/>
                <c:pt idx="0">
                  <c:v>57</c:v>
                </c:pt>
                <c:pt idx="1">
                  <c:v>92</c:v>
                </c:pt>
                <c:pt idx="2">
                  <c:v>264</c:v>
                </c:pt>
                <c:pt idx="3">
                  <c:v>43</c:v>
                </c:pt>
                <c:pt idx="4">
                  <c:v>110</c:v>
                </c:pt>
                <c:pt idx="5">
                  <c:v>190</c:v>
                </c:pt>
                <c:pt idx="6">
                  <c:v>61</c:v>
                </c:pt>
                <c:pt idx="7">
                  <c:v>16</c:v>
                </c:pt>
                <c:pt idx="8">
                  <c:v>100</c:v>
                </c:pt>
                <c:pt idx="9">
                  <c:v>45</c:v>
                </c:pt>
                <c:pt idx="10">
                  <c:v>61</c:v>
                </c:pt>
                <c:pt idx="11">
                  <c:v>30</c:v>
                </c:pt>
                <c:pt idx="12">
                  <c:v>30</c:v>
                </c:pt>
                <c:pt idx="13">
                  <c:v>71</c:v>
                </c:pt>
              </c:numCache>
            </c:numRef>
          </c:val>
          <c:extLst>
            <c:ext xmlns:c16="http://schemas.microsoft.com/office/drawing/2014/chart" uri="{C3380CC4-5D6E-409C-BE32-E72D297353CC}">
              <c16:uniqueId val="{0000001C-0D30-3746-8B06-B570C7C8F061}"/>
            </c:ext>
          </c:extLst>
        </c:ser>
        <c:dLbls>
          <c:showLegendKey val="0"/>
          <c:showVal val="0"/>
          <c:showCatName val="0"/>
          <c:showSerName val="0"/>
          <c:showPercent val="0"/>
          <c:showBubbleSize val="0"/>
        </c:dLbls>
        <c:gapWidth val="150"/>
        <c:axId val="-2139417400"/>
        <c:axId val="-2139589144"/>
      </c:barChart>
      <c:catAx>
        <c:axId val="-2139417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39589144"/>
        <c:crosses val="autoZero"/>
        <c:auto val="1"/>
        <c:lblAlgn val="ctr"/>
        <c:lblOffset val="100"/>
        <c:noMultiLvlLbl val="0"/>
      </c:catAx>
      <c:valAx>
        <c:axId val="-2139589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3941740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r>
              <a:rPr lang="en-US"/>
              <a:t>RESOURCE ALLOCATION</a:t>
            </a:r>
          </a:p>
        </c:rich>
      </c:tx>
      <c:layout>
        <c:manualLayout>
          <c:xMode val="edge"/>
          <c:yMode val="edge"/>
          <c:x val="0.132943143812709"/>
          <c:y val="3.44827586206895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endParaRPr lang="en-US"/>
        </a:p>
      </c:txPr>
    </c:title>
    <c:autoTitleDeleted val="0"/>
    <c:plotArea>
      <c:layout>
        <c:manualLayout>
          <c:layoutTarget val="inner"/>
          <c:xMode val="edge"/>
          <c:yMode val="edge"/>
          <c:x val="5.68528802320762E-2"/>
          <c:y val="0.15806815096388799"/>
          <c:w val="0.63616272965879295"/>
          <c:h val="0.78149300841705105"/>
        </c:manualLayout>
      </c:layout>
      <c:pieChart>
        <c:varyColors val="1"/>
        <c:ser>
          <c:idx val="0"/>
          <c:order val="0"/>
          <c:spPr>
            <a:ln>
              <a:noFill/>
            </a:ln>
          </c:spPr>
          <c:dPt>
            <c:idx val="0"/>
            <c:bubble3D val="0"/>
            <c:spPr>
              <a:solidFill>
                <a:schemeClr val="accent5"/>
              </a:solidFill>
              <a:ln w="19050">
                <a:noFill/>
              </a:ln>
              <a:effectLst/>
            </c:spPr>
            <c:extLst>
              <c:ext xmlns:c16="http://schemas.microsoft.com/office/drawing/2014/chart" uri="{C3380CC4-5D6E-409C-BE32-E72D297353CC}">
                <c16:uniqueId val="{00000001-AEE0-9247-9F63-A34CA2E902FA}"/>
              </c:ext>
            </c:extLst>
          </c:dPt>
          <c:dPt>
            <c:idx val="1"/>
            <c:bubble3D val="0"/>
            <c:spPr>
              <a:solidFill>
                <a:srgbClr val="732EE0"/>
              </a:solidFill>
              <a:ln w="19050">
                <a:noFill/>
              </a:ln>
              <a:effectLst/>
            </c:spPr>
            <c:extLst>
              <c:ext xmlns:c16="http://schemas.microsoft.com/office/drawing/2014/chart" uri="{C3380CC4-5D6E-409C-BE32-E72D297353CC}">
                <c16:uniqueId val="{00000003-AEE0-9247-9F63-A34CA2E902FA}"/>
              </c:ext>
            </c:extLst>
          </c:dPt>
          <c:dPt>
            <c:idx val="2"/>
            <c:bubble3D val="0"/>
            <c:spPr>
              <a:solidFill>
                <a:srgbClr val="00B050"/>
              </a:solidFill>
              <a:ln w="19050">
                <a:noFill/>
              </a:ln>
              <a:effectLst/>
            </c:spPr>
            <c:extLst>
              <c:ext xmlns:c16="http://schemas.microsoft.com/office/drawing/2014/chart" uri="{C3380CC4-5D6E-409C-BE32-E72D297353CC}">
                <c16:uniqueId val="{00000005-AEE0-9247-9F63-A34CA2E902FA}"/>
              </c:ext>
            </c:extLst>
          </c:dPt>
          <c:dPt>
            <c:idx val="3"/>
            <c:bubble3D val="0"/>
            <c:spPr>
              <a:solidFill>
                <a:schemeClr val="accent4"/>
              </a:solidFill>
              <a:ln w="19050">
                <a:noFill/>
              </a:ln>
              <a:effectLst/>
            </c:spPr>
            <c:extLst>
              <c:ext xmlns:c16="http://schemas.microsoft.com/office/drawing/2014/chart" uri="{C3380CC4-5D6E-409C-BE32-E72D297353CC}">
                <c16:uniqueId val="{00000007-AEE0-9247-9F63-A34CA2E902FA}"/>
              </c:ext>
            </c:extLst>
          </c:dPt>
          <c:dPt>
            <c:idx val="4"/>
            <c:bubble3D val="0"/>
            <c:spPr>
              <a:solidFill>
                <a:srgbClr val="FF0000"/>
              </a:solidFill>
              <a:ln w="19050">
                <a:noFill/>
              </a:ln>
              <a:effectLst/>
            </c:spPr>
            <c:extLst>
              <c:ext xmlns:c16="http://schemas.microsoft.com/office/drawing/2014/chart" uri="{C3380CC4-5D6E-409C-BE32-E72D297353CC}">
                <c16:uniqueId val="{00000009-AEE0-9247-9F63-A34CA2E902FA}"/>
              </c:ext>
            </c:extLst>
          </c:dPt>
          <c:dPt>
            <c:idx val="5"/>
            <c:bubble3D val="0"/>
            <c:spPr>
              <a:solidFill>
                <a:srgbClr val="92D050"/>
              </a:solidFill>
              <a:ln w="19050">
                <a:noFill/>
              </a:ln>
              <a:effectLst/>
            </c:spPr>
            <c:extLst>
              <c:ext xmlns:c16="http://schemas.microsoft.com/office/drawing/2014/chart" uri="{C3380CC4-5D6E-409C-BE32-E72D297353CC}">
                <c16:uniqueId val="{0000000B-AEE0-9247-9F63-A34CA2E902FA}"/>
              </c:ext>
            </c:extLst>
          </c:dPt>
          <c:dPt>
            <c:idx val="6"/>
            <c:bubble3D val="0"/>
            <c:spPr>
              <a:solidFill>
                <a:srgbClr val="EE57AD"/>
              </a:solidFill>
              <a:ln w="19050">
                <a:noFill/>
              </a:ln>
              <a:effectLst/>
            </c:spPr>
            <c:extLst>
              <c:ext xmlns:c16="http://schemas.microsoft.com/office/drawing/2014/chart" uri="{C3380CC4-5D6E-409C-BE32-E72D297353CC}">
                <c16:uniqueId val="{0000000D-AEE0-9247-9F63-A34CA2E902FA}"/>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AEE0-9247-9F63-A34CA2E902FA}"/>
              </c:ext>
            </c:extLst>
          </c:dPt>
          <c:dPt>
            <c:idx val="8"/>
            <c:bubble3D val="0"/>
            <c:spPr>
              <a:solidFill>
                <a:schemeClr val="accent6">
                  <a:lumMod val="75000"/>
                </a:schemeClr>
              </a:solidFill>
              <a:ln w="19050">
                <a:noFill/>
              </a:ln>
              <a:effectLst/>
            </c:spPr>
            <c:extLst>
              <c:ext xmlns:c16="http://schemas.microsoft.com/office/drawing/2014/chart" uri="{C3380CC4-5D6E-409C-BE32-E72D297353CC}">
                <c16:uniqueId val="{00000011-AEE0-9247-9F63-A34CA2E902FA}"/>
              </c:ext>
            </c:extLst>
          </c:dPt>
          <c:dPt>
            <c:idx val="9"/>
            <c:bubble3D val="0"/>
            <c:spPr>
              <a:solidFill>
                <a:srgbClr val="00B0F0"/>
              </a:solidFill>
              <a:ln w="19050">
                <a:noFill/>
              </a:ln>
              <a:effectLst/>
            </c:spPr>
            <c:extLst>
              <c:ext xmlns:c16="http://schemas.microsoft.com/office/drawing/2014/chart" uri="{C3380CC4-5D6E-409C-BE32-E72D297353CC}">
                <c16:uniqueId val="{00000013-AEE0-9247-9F63-A34CA2E902FA}"/>
              </c:ext>
            </c:extLst>
          </c:dPt>
          <c:dPt>
            <c:idx val="10"/>
            <c:bubble3D val="0"/>
            <c:spPr>
              <a:solidFill>
                <a:srgbClr val="C00000"/>
              </a:solidFill>
              <a:ln w="19050">
                <a:noFill/>
              </a:ln>
              <a:effectLst/>
            </c:spPr>
            <c:extLst>
              <c:ext xmlns:c16="http://schemas.microsoft.com/office/drawing/2014/chart" uri="{C3380CC4-5D6E-409C-BE32-E72D297353CC}">
                <c16:uniqueId val="{00000015-AEE0-9247-9F63-A34CA2E902FA}"/>
              </c:ext>
            </c:extLst>
          </c:dPt>
          <c:dPt>
            <c:idx val="11"/>
            <c:bubble3D val="0"/>
            <c:spPr>
              <a:solidFill>
                <a:schemeClr val="accent2">
                  <a:lumMod val="75000"/>
                </a:schemeClr>
              </a:solidFill>
              <a:ln w="19050">
                <a:noFill/>
              </a:ln>
              <a:effectLst/>
            </c:spPr>
            <c:extLst>
              <c:ext xmlns:c16="http://schemas.microsoft.com/office/drawing/2014/chart" uri="{C3380CC4-5D6E-409C-BE32-E72D297353CC}">
                <c16:uniqueId val="{00000017-AEE0-9247-9F63-A34CA2E902FA}"/>
              </c:ext>
            </c:extLst>
          </c:dPt>
          <c:dPt>
            <c:idx val="12"/>
            <c:bubble3D val="0"/>
            <c:spPr>
              <a:solidFill>
                <a:schemeClr val="accent1">
                  <a:lumMod val="60000"/>
                  <a:lumOff val="40000"/>
                </a:schemeClr>
              </a:solidFill>
              <a:ln w="19050">
                <a:noFill/>
              </a:ln>
              <a:effectLst/>
            </c:spPr>
            <c:extLst>
              <c:ext xmlns:c16="http://schemas.microsoft.com/office/drawing/2014/chart" uri="{C3380CC4-5D6E-409C-BE32-E72D297353CC}">
                <c16:uniqueId val="{00000019-AEE0-9247-9F63-A34CA2E902FA}"/>
              </c:ext>
            </c:extLst>
          </c:dPt>
          <c:dPt>
            <c:idx val="13"/>
            <c:bubble3D val="0"/>
            <c:spPr>
              <a:solidFill>
                <a:srgbClr val="FFC000"/>
              </a:solidFill>
              <a:ln w="19050">
                <a:noFill/>
              </a:ln>
              <a:effectLst/>
            </c:spPr>
            <c:extLst>
              <c:ext xmlns:c16="http://schemas.microsoft.com/office/drawing/2014/chart" uri="{C3380CC4-5D6E-409C-BE32-E72D297353CC}">
                <c16:uniqueId val="{0000001B-AEE0-9247-9F63-A34CA2E902FA}"/>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entury Gothic" panose="020B0502020202020204" pitchFamily="34" charset="0"/>
                    <a:ea typeface="Arial" charset="0"/>
                    <a:cs typeface="Arial"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Dashboard'!$G$41:$G$54</c:f>
              <c:numCache>
                <c:formatCode>General</c:formatCode>
                <c:ptCount val="14"/>
                <c:pt idx="0">
                  <c:v>10</c:v>
                </c:pt>
                <c:pt idx="1">
                  <c:v>5</c:v>
                </c:pt>
                <c:pt idx="2">
                  <c:v>10</c:v>
                </c:pt>
                <c:pt idx="3">
                  <c:v>5</c:v>
                </c:pt>
                <c:pt idx="4">
                  <c:v>10</c:v>
                </c:pt>
                <c:pt idx="5">
                  <c:v>5</c:v>
                </c:pt>
                <c:pt idx="6">
                  <c:v>10</c:v>
                </c:pt>
                <c:pt idx="7">
                  <c:v>5</c:v>
                </c:pt>
                <c:pt idx="8">
                  <c:v>10</c:v>
                </c:pt>
                <c:pt idx="9">
                  <c:v>5</c:v>
                </c:pt>
                <c:pt idx="10">
                  <c:v>10</c:v>
                </c:pt>
                <c:pt idx="11">
                  <c:v>5</c:v>
                </c:pt>
                <c:pt idx="12">
                  <c:v>10</c:v>
                </c:pt>
                <c:pt idx="13">
                  <c:v>5</c:v>
                </c:pt>
              </c:numCache>
            </c:numRef>
          </c:val>
          <c:extLst>
            <c:ext xmlns:c16="http://schemas.microsoft.com/office/drawing/2014/chart" uri="{C3380CC4-5D6E-409C-BE32-E72D297353CC}">
              <c16:uniqueId val="{0000001C-AEE0-9247-9F63-A34CA2E902F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7161377821083399"/>
          <c:y val="1.9434564213956E-2"/>
          <c:w val="0.201630368946357"/>
          <c:h val="0.980565435786044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legend>
    <c:plotVisOnly val="1"/>
    <c:dispBlanksAs val="zero"/>
    <c:showDLblsOverMax val="0"/>
  </c:chart>
  <c:spPr>
    <a:solidFill>
      <a:schemeClr val="bg1"/>
    </a:solidFill>
    <a:ln w="9525" cap="flat" cmpd="sng" algn="ctr">
      <a:noFill/>
      <a:round/>
    </a:ln>
    <a:effectLst/>
  </c:spPr>
  <c:txPr>
    <a:bodyPr/>
    <a:lstStyle/>
    <a:p>
      <a:pPr>
        <a:defRPr>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'EXAMPLE Multi Project Dashboard'!$H$40</c:f>
              <c:strCache>
                <c:ptCount val="1"/>
                <c:pt idx="0">
                  <c:v>PROJECTED</c:v>
                </c:pt>
              </c:strCache>
            </c:strRef>
          </c:tx>
          <c:spPr>
            <a:solidFill>
              <a:srgbClr val="7030A0"/>
            </a:solidFill>
            <a:ln>
              <a:noFill/>
            </a:ln>
            <a:effectLst/>
          </c:spPr>
          <c:invertIfNegative val="0"/>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Dashboard'!$H$41:$H$54</c:f>
              <c:numCache>
                <c:formatCode>"$"#,##0</c:formatCode>
                <c:ptCount val="14"/>
                <c:pt idx="0">
                  <c:v>1000000</c:v>
                </c:pt>
                <c:pt idx="1">
                  <c:v>900000</c:v>
                </c:pt>
                <c:pt idx="2">
                  <c:v>860000</c:v>
                </c:pt>
                <c:pt idx="3">
                  <c:v>1000000</c:v>
                </c:pt>
                <c:pt idx="4">
                  <c:v>294000</c:v>
                </c:pt>
                <c:pt idx="5">
                  <c:v>123400</c:v>
                </c:pt>
                <c:pt idx="6">
                  <c:v>250500</c:v>
                </c:pt>
                <c:pt idx="7">
                  <c:v>127200</c:v>
                </c:pt>
                <c:pt idx="8">
                  <c:v>80000</c:v>
                </c:pt>
                <c:pt idx="9">
                  <c:v>77000</c:v>
                </c:pt>
                <c:pt idx="10">
                  <c:v>65000</c:v>
                </c:pt>
                <c:pt idx="11">
                  <c:v>550000</c:v>
                </c:pt>
                <c:pt idx="12">
                  <c:v>45000</c:v>
                </c:pt>
                <c:pt idx="13">
                  <c:v>32500</c:v>
                </c:pt>
              </c:numCache>
            </c:numRef>
          </c:val>
          <c:extLst>
            <c:ext xmlns:c16="http://schemas.microsoft.com/office/drawing/2014/chart" uri="{C3380CC4-5D6E-409C-BE32-E72D297353CC}">
              <c16:uniqueId val="{00000000-EF45-9B43-9D0D-35872F08CB27}"/>
            </c:ext>
          </c:extLst>
        </c:ser>
        <c:ser>
          <c:idx val="1"/>
          <c:order val="1"/>
          <c:tx>
            <c:strRef>
              <c:f>'EXAMPLE Multi Project Dashboard'!$I$40</c:f>
              <c:strCache>
                <c:ptCount val="1"/>
                <c:pt idx="0">
                  <c:v>ACTUAL</c:v>
                </c:pt>
              </c:strCache>
            </c:strRef>
          </c:tx>
          <c:spPr>
            <a:solidFill>
              <a:srgbClr val="00B0F0"/>
            </a:solidFill>
            <a:ln>
              <a:noFill/>
            </a:ln>
            <a:effectLst/>
          </c:spPr>
          <c:invertIfNegative val="0"/>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Dashboard'!$I$41:$I$54</c:f>
              <c:numCache>
                <c:formatCode>"$"#,##0</c:formatCode>
                <c:ptCount val="14"/>
                <c:pt idx="0">
                  <c:v>880000</c:v>
                </c:pt>
                <c:pt idx="1">
                  <c:v>920000</c:v>
                </c:pt>
                <c:pt idx="2">
                  <c:v>850000</c:v>
                </c:pt>
                <c:pt idx="3">
                  <c:v>998050</c:v>
                </c:pt>
                <c:pt idx="4">
                  <c:v>280000</c:v>
                </c:pt>
                <c:pt idx="5">
                  <c:v>125000</c:v>
                </c:pt>
                <c:pt idx="6">
                  <c:v>246000</c:v>
                </c:pt>
                <c:pt idx="7">
                  <c:v>126000</c:v>
                </c:pt>
                <c:pt idx="8">
                  <c:v>79900</c:v>
                </c:pt>
                <c:pt idx="9">
                  <c:v>77000</c:v>
                </c:pt>
                <c:pt idx="10">
                  <c:v>65000</c:v>
                </c:pt>
                <c:pt idx="11">
                  <c:v>551000</c:v>
                </c:pt>
                <c:pt idx="12">
                  <c:v>42000</c:v>
                </c:pt>
                <c:pt idx="13">
                  <c:v>33000</c:v>
                </c:pt>
              </c:numCache>
            </c:numRef>
          </c:val>
          <c:extLst>
            <c:ext xmlns:c16="http://schemas.microsoft.com/office/drawing/2014/chart" uri="{C3380CC4-5D6E-409C-BE32-E72D297353CC}">
              <c16:uniqueId val="{00000001-EF45-9B43-9D0D-35872F08CB27}"/>
            </c:ext>
          </c:extLst>
        </c:ser>
        <c:ser>
          <c:idx val="2"/>
          <c:order val="2"/>
          <c:tx>
            <c:strRef>
              <c:f>'EXAMPLE Multi Project Dashboard'!$J$40</c:f>
              <c:strCache>
                <c:ptCount val="1"/>
                <c:pt idx="0">
                  <c:v>REMAINDER</c:v>
                </c:pt>
              </c:strCache>
            </c:strRef>
          </c:tx>
          <c:spPr>
            <a:solidFill>
              <a:srgbClr val="92D050"/>
            </a:solidFill>
            <a:ln>
              <a:noFill/>
            </a:ln>
            <a:effectLst/>
          </c:spPr>
          <c:invertIfNegative val="0"/>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Dashboard'!$J$41:$J$54</c:f>
              <c:numCache>
                <c:formatCode>"$"#,##0</c:formatCode>
                <c:ptCount val="14"/>
                <c:pt idx="0">
                  <c:v>120000</c:v>
                </c:pt>
                <c:pt idx="1">
                  <c:v>-20000</c:v>
                </c:pt>
                <c:pt idx="2">
                  <c:v>10000</c:v>
                </c:pt>
                <c:pt idx="3">
                  <c:v>1950</c:v>
                </c:pt>
                <c:pt idx="4">
                  <c:v>14000</c:v>
                </c:pt>
                <c:pt idx="5">
                  <c:v>-1600</c:v>
                </c:pt>
                <c:pt idx="6">
                  <c:v>4500</c:v>
                </c:pt>
                <c:pt idx="7">
                  <c:v>1200</c:v>
                </c:pt>
                <c:pt idx="8">
                  <c:v>100</c:v>
                </c:pt>
                <c:pt idx="9">
                  <c:v>0</c:v>
                </c:pt>
                <c:pt idx="10">
                  <c:v>0</c:v>
                </c:pt>
                <c:pt idx="11">
                  <c:v>-1000</c:v>
                </c:pt>
                <c:pt idx="12">
                  <c:v>3000</c:v>
                </c:pt>
                <c:pt idx="13">
                  <c:v>-500</c:v>
                </c:pt>
              </c:numCache>
            </c:numRef>
          </c:val>
          <c:extLst>
            <c:ext xmlns:c16="http://schemas.microsoft.com/office/drawing/2014/chart" uri="{C3380CC4-5D6E-409C-BE32-E72D297353CC}">
              <c16:uniqueId val="{00000002-EF45-9B43-9D0D-35872F08CB27}"/>
            </c:ext>
          </c:extLst>
        </c:ser>
        <c:dLbls>
          <c:showLegendKey val="0"/>
          <c:showVal val="0"/>
          <c:showCatName val="0"/>
          <c:showSerName val="0"/>
          <c:showPercent val="0"/>
          <c:showBubbleSize val="0"/>
        </c:dLbls>
        <c:gapWidth val="150"/>
        <c:overlap val="100"/>
        <c:axId val="-2139232392"/>
        <c:axId val="2125947336"/>
      </c:barChart>
      <c:catAx>
        <c:axId val="-2139232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25947336"/>
        <c:crossesAt val="0"/>
        <c:auto val="1"/>
        <c:lblAlgn val="ctr"/>
        <c:lblOffset val="100"/>
        <c:noMultiLvlLbl val="0"/>
      </c:catAx>
      <c:valAx>
        <c:axId val="21259473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39232392"/>
        <c:crosses val="autoZero"/>
        <c:crossBetween val="between"/>
        <c:majorUnit val="250000"/>
        <c:minorUnit val="50000"/>
      </c:valAx>
      <c:spPr>
        <a:noFill/>
        <a:ln cap="rnd">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'EXAMPLE Multi Project Dashboard'!$K$40</c:f>
              <c:strCache>
                <c:ptCount val="1"/>
                <c:pt idx="0">
                  <c:v>HIGH</c:v>
                </c:pt>
              </c:strCache>
            </c:strRef>
          </c:tx>
          <c:spPr>
            <a:solidFill>
              <a:srgbClr val="FF0000"/>
            </a:solidFill>
            <a:ln>
              <a:noFill/>
            </a:ln>
            <a:effectLst/>
          </c:spPr>
          <c:invertIfNegative val="0"/>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Dashboard'!$K$41:$K$54</c:f>
              <c:numCache>
                <c:formatCode>0</c:formatCode>
                <c:ptCount val="14"/>
                <c:pt idx="0">
                  <c:v>1</c:v>
                </c:pt>
                <c:pt idx="1">
                  <c:v>2</c:v>
                </c:pt>
                <c:pt idx="2">
                  <c:v>3</c:v>
                </c:pt>
                <c:pt idx="3">
                  <c:v>5</c:v>
                </c:pt>
                <c:pt idx="4">
                  <c:v>8</c:v>
                </c:pt>
                <c:pt idx="5">
                  <c:v>5</c:v>
                </c:pt>
                <c:pt idx="6">
                  <c:v>6</c:v>
                </c:pt>
                <c:pt idx="7">
                  <c:v>7</c:v>
                </c:pt>
                <c:pt idx="8">
                  <c:v>0</c:v>
                </c:pt>
                <c:pt idx="9">
                  <c:v>4</c:v>
                </c:pt>
                <c:pt idx="10">
                  <c:v>3</c:v>
                </c:pt>
                <c:pt idx="11">
                  <c:v>2</c:v>
                </c:pt>
                <c:pt idx="12">
                  <c:v>1</c:v>
                </c:pt>
                <c:pt idx="13">
                  <c:v>5</c:v>
                </c:pt>
              </c:numCache>
            </c:numRef>
          </c:val>
          <c:extLst>
            <c:ext xmlns:c16="http://schemas.microsoft.com/office/drawing/2014/chart" uri="{C3380CC4-5D6E-409C-BE32-E72D297353CC}">
              <c16:uniqueId val="{00000000-D444-A44E-9C91-EF8A598F833D}"/>
            </c:ext>
          </c:extLst>
        </c:ser>
        <c:ser>
          <c:idx val="1"/>
          <c:order val="1"/>
          <c:tx>
            <c:strRef>
              <c:f>'EXAMPLE Multi Project Dashboard'!$L$40</c:f>
              <c:strCache>
                <c:ptCount val="1"/>
                <c:pt idx="0">
                  <c:v>MEDIUM</c:v>
                </c:pt>
              </c:strCache>
            </c:strRef>
          </c:tx>
          <c:spPr>
            <a:solidFill>
              <a:srgbClr val="6A3AFF"/>
            </a:solidFill>
            <a:ln>
              <a:noFill/>
            </a:ln>
            <a:effectLst/>
          </c:spPr>
          <c:invertIfNegative val="0"/>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Dashboard'!$L$41:$L$54</c:f>
              <c:numCache>
                <c:formatCode>0</c:formatCode>
                <c:ptCount val="14"/>
                <c:pt idx="0">
                  <c:v>0</c:v>
                </c:pt>
                <c:pt idx="1">
                  <c:v>3</c:v>
                </c:pt>
                <c:pt idx="2">
                  <c:v>4</c:v>
                </c:pt>
                <c:pt idx="3">
                  <c:v>8</c:v>
                </c:pt>
                <c:pt idx="4">
                  <c:v>6</c:v>
                </c:pt>
                <c:pt idx="5">
                  <c:v>0</c:v>
                </c:pt>
                <c:pt idx="6">
                  <c:v>4</c:v>
                </c:pt>
                <c:pt idx="7">
                  <c:v>3</c:v>
                </c:pt>
                <c:pt idx="8">
                  <c:v>2</c:v>
                </c:pt>
                <c:pt idx="9">
                  <c:v>4</c:v>
                </c:pt>
                <c:pt idx="10">
                  <c:v>6</c:v>
                </c:pt>
                <c:pt idx="11">
                  <c:v>3</c:v>
                </c:pt>
                <c:pt idx="12">
                  <c:v>1</c:v>
                </c:pt>
                <c:pt idx="13">
                  <c:v>0</c:v>
                </c:pt>
              </c:numCache>
            </c:numRef>
          </c:val>
          <c:extLst>
            <c:ext xmlns:c16="http://schemas.microsoft.com/office/drawing/2014/chart" uri="{C3380CC4-5D6E-409C-BE32-E72D297353CC}">
              <c16:uniqueId val="{00000001-D444-A44E-9C91-EF8A598F833D}"/>
            </c:ext>
          </c:extLst>
        </c:ser>
        <c:ser>
          <c:idx val="2"/>
          <c:order val="2"/>
          <c:tx>
            <c:strRef>
              <c:f>'EXAMPLE Multi Project Dashboard'!$M$40</c:f>
              <c:strCache>
                <c:ptCount val="1"/>
                <c:pt idx="0">
                  <c:v>LOW</c:v>
                </c:pt>
              </c:strCache>
            </c:strRef>
          </c:tx>
          <c:spPr>
            <a:solidFill>
              <a:srgbClr val="00B050"/>
            </a:solidFill>
            <a:ln>
              <a:noFill/>
            </a:ln>
            <a:effectLst/>
          </c:spPr>
          <c:invertIfNegative val="0"/>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Dashboard'!$M$41:$M$54</c:f>
              <c:numCache>
                <c:formatCode>0</c:formatCode>
                <c:ptCount val="14"/>
                <c:pt idx="0">
                  <c:v>4</c:v>
                </c:pt>
                <c:pt idx="1">
                  <c:v>5</c:v>
                </c:pt>
                <c:pt idx="2">
                  <c:v>3</c:v>
                </c:pt>
                <c:pt idx="3">
                  <c:v>1</c:v>
                </c:pt>
                <c:pt idx="4">
                  <c:v>4</c:v>
                </c:pt>
                <c:pt idx="5">
                  <c:v>0</c:v>
                </c:pt>
                <c:pt idx="6">
                  <c:v>0</c:v>
                </c:pt>
                <c:pt idx="7">
                  <c:v>3</c:v>
                </c:pt>
                <c:pt idx="8">
                  <c:v>4</c:v>
                </c:pt>
                <c:pt idx="9">
                  <c:v>5</c:v>
                </c:pt>
                <c:pt idx="10">
                  <c:v>4</c:v>
                </c:pt>
                <c:pt idx="11">
                  <c:v>6</c:v>
                </c:pt>
                <c:pt idx="12">
                  <c:v>7</c:v>
                </c:pt>
                <c:pt idx="13">
                  <c:v>2</c:v>
                </c:pt>
              </c:numCache>
            </c:numRef>
          </c:val>
          <c:extLst>
            <c:ext xmlns:c16="http://schemas.microsoft.com/office/drawing/2014/chart" uri="{C3380CC4-5D6E-409C-BE32-E72D297353CC}">
              <c16:uniqueId val="{00000002-D444-A44E-9C91-EF8A598F833D}"/>
            </c:ext>
          </c:extLst>
        </c:ser>
        <c:dLbls>
          <c:showLegendKey val="0"/>
          <c:showVal val="0"/>
          <c:showCatName val="0"/>
          <c:showSerName val="0"/>
          <c:showPercent val="0"/>
          <c:showBubbleSize val="0"/>
        </c:dLbls>
        <c:gapWidth val="219"/>
        <c:axId val="2125951816"/>
        <c:axId val="2125891320"/>
      </c:barChart>
      <c:catAx>
        <c:axId val="2125951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25891320"/>
        <c:crosses val="autoZero"/>
        <c:auto val="1"/>
        <c:lblAlgn val="ctr"/>
        <c:lblOffset val="100"/>
        <c:noMultiLvlLbl val="0"/>
      </c:catAx>
      <c:valAx>
        <c:axId val="2125891320"/>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2595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r>
              <a:rPr lang="en-US"/>
              <a:t>RISK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endParaRPr lang="en-US"/>
        </a:p>
      </c:txPr>
    </c:title>
    <c:autoTitleDeleted val="0"/>
    <c:plotArea>
      <c:layout/>
      <c:barChart>
        <c:barDir val="bar"/>
        <c:grouping val="clustered"/>
        <c:varyColors val="0"/>
        <c:ser>
          <c:idx val="1"/>
          <c:order val="0"/>
          <c:spPr>
            <a:solidFill>
              <a:schemeClr val="accent2"/>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ED71-984C-8A70-30845BC65116}"/>
              </c:ext>
            </c:extLst>
          </c:dPt>
          <c:dPt>
            <c:idx val="1"/>
            <c:invertIfNegative val="0"/>
            <c:bubble3D val="0"/>
            <c:spPr>
              <a:solidFill>
                <a:srgbClr val="6A3AFF"/>
              </a:solidFill>
              <a:ln>
                <a:noFill/>
              </a:ln>
              <a:effectLst/>
            </c:spPr>
            <c:extLst>
              <c:ext xmlns:c16="http://schemas.microsoft.com/office/drawing/2014/chart" uri="{C3380CC4-5D6E-409C-BE32-E72D297353CC}">
                <c16:uniqueId val="{00000003-ED71-984C-8A70-30845BC65116}"/>
              </c:ext>
            </c:extLst>
          </c:dPt>
          <c:dPt>
            <c:idx val="2"/>
            <c:invertIfNegative val="0"/>
            <c:bubble3D val="0"/>
            <c:spPr>
              <a:solidFill>
                <a:srgbClr val="00B050"/>
              </a:solidFill>
              <a:ln>
                <a:noFill/>
              </a:ln>
              <a:effectLst/>
            </c:spPr>
            <c:extLst>
              <c:ext xmlns:c16="http://schemas.microsoft.com/office/drawing/2014/chart" uri="{C3380CC4-5D6E-409C-BE32-E72D297353CC}">
                <c16:uniqueId val="{00000005-ED71-984C-8A70-30845BC65116}"/>
              </c:ext>
            </c:extLst>
          </c:dPt>
          <c:cat>
            <c:strRef>
              <c:f>'EXAMPLE Multi Project Dashboard'!$K$40:$M$40</c:f>
              <c:strCache>
                <c:ptCount val="3"/>
                <c:pt idx="0">
                  <c:v>HIGH</c:v>
                </c:pt>
                <c:pt idx="1">
                  <c:v>MEDIUM</c:v>
                </c:pt>
                <c:pt idx="2">
                  <c:v>LOW</c:v>
                </c:pt>
              </c:strCache>
            </c:strRef>
          </c:cat>
          <c:val>
            <c:numRef>
              <c:f>'EXAMPLE Multi Project Dashboard'!$K$55:$M$55</c:f>
              <c:numCache>
                <c:formatCode>0</c:formatCode>
                <c:ptCount val="3"/>
                <c:pt idx="0">
                  <c:v>52</c:v>
                </c:pt>
                <c:pt idx="1">
                  <c:v>44</c:v>
                </c:pt>
                <c:pt idx="2">
                  <c:v>48</c:v>
                </c:pt>
              </c:numCache>
            </c:numRef>
          </c:val>
          <c:extLst>
            <c:ext xmlns:c16="http://schemas.microsoft.com/office/drawing/2014/chart" uri="{C3380CC4-5D6E-409C-BE32-E72D297353CC}">
              <c16:uniqueId val="{00000006-ED71-984C-8A70-30845BC65116}"/>
            </c:ext>
          </c:extLst>
        </c:ser>
        <c:ser>
          <c:idx val="0"/>
          <c:order val="1"/>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8-ED71-984C-8A70-30845BC65116}"/>
              </c:ext>
            </c:extLst>
          </c:dPt>
          <c:dPt>
            <c:idx val="1"/>
            <c:invertIfNegative val="0"/>
            <c:bubble3D val="0"/>
            <c:spPr>
              <a:solidFill>
                <a:srgbClr val="6A3AFF"/>
              </a:solidFill>
              <a:ln>
                <a:noFill/>
              </a:ln>
              <a:effectLst/>
            </c:spPr>
            <c:extLst>
              <c:ext xmlns:c16="http://schemas.microsoft.com/office/drawing/2014/chart" uri="{C3380CC4-5D6E-409C-BE32-E72D297353CC}">
                <c16:uniqueId val="{0000000A-ED71-984C-8A70-30845BC65116}"/>
              </c:ext>
            </c:extLst>
          </c:dPt>
          <c:dPt>
            <c:idx val="2"/>
            <c:invertIfNegative val="0"/>
            <c:bubble3D val="0"/>
            <c:spPr>
              <a:solidFill>
                <a:srgbClr val="00B050"/>
              </a:solidFill>
              <a:ln>
                <a:noFill/>
              </a:ln>
              <a:effectLst/>
            </c:spPr>
            <c:extLst>
              <c:ext xmlns:c16="http://schemas.microsoft.com/office/drawing/2014/chart" uri="{C3380CC4-5D6E-409C-BE32-E72D297353CC}">
                <c16:uniqueId val="{0000000C-ED71-984C-8A70-30845BC65116}"/>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entury Gothic" panose="020B0502020202020204" pitchFamily="34" charset="0"/>
                    <a:ea typeface="Arial" charset="0"/>
                    <a:cs typeface="Arial"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'EXAMPLE Multi Project Dashboard'!$K$40:$M$40</c:f>
              <c:strCache>
                <c:ptCount val="3"/>
                <c:pt idx="0">
                  <c:v>HIGH</c:v>
                </c:pt>
                <c:pt idx="1">
                  <c:v>MEDIUM</c:v>
                </c:pt>
                <c:pt idx="2">
                  <c:v>LOW</c:v>
                </c:pt>
              </c:strCache>
            </c:strRef>
          </c:cat>
          <c:val>
            <c:numRef>
              <c:f>'EXAMPLE Multi Project Dashboard'!$K$55:$M$55</c:f>
              <c:numCache>
                <c:formatCode>0</c:formatCode>
                <c:ptCount val="3"/>
                <c:pt idx="0">
                  <c:v>52</c:v>
                </c:pt>
                <c:pt idx="1">
                  <c:v>44</c:v>
                </c:pt>
                <c:pt idx="2">
                  <c:v>48</c:v>
                </c:pt>
              </c:numCache>
            </c:numRef>
          </c:val>
          <c:extLst>
            <c:ext xmlns:c16="http://schemas.microsoft.com/office/drawing/2014/chart" uri="{C3380CC4-5D6E-409C-BE32-E72D297353CC}">
              <c16:uniqueId val="{0000000D-ED71-984C-8A70-30845BC65116}"/>
            </c:ext>
          </c:extLst>
        </c:ser>
        <c:dLbls>
          <c:showLegendKey val="0"/>
          <c:showVal val="0"/>
          <c:showCatName val="0"/>
          <c:showSerName val="0"/>
          <c:showPercent val="0"/>
          <c:showBubbleSize val="0"/>
        </c:dLbls>
        <c:gapWidth val="50"/>
        <c:axId val="2125899112"/>
        <c:axId val="-2102169416"/>
      </c:barChart>
      <c:catAx>
        <c:axId val="2125899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02169416"/>
        <c:crosses val="autoZero"/>
        <c:auto val="1"/>
        <c:lblAlgn val="ctr"/>
        <c:lblOffset val="100"/>
        <c:noMultiLvlLbl val="0"/>
      </c:catAx>
      <c:valAx>
        <c:axId val="-2102169416"/>
        <c:scaling>
          <c:orientation val="minMax"/>
          <c:max val="100"/>
          <c:min val="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25899112"/>
        <c:crosses val="autoZero"/>
        <c:crossBetween val="between"/>
        <c:majorUnit val="5"/>
        <c:min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OPEN ISSUES</c:v>
          </c:tx>
          <c:spPr>
            <a:solidFill>
              <a:srgbClr val="0070C0"/>
            </a:solidFill>
            <a:ln>
              <a:noFill/>
            </a:ln>
            <a:effectLst/>
          </c:spPr>
          <c:invertIfNegative val="0"/>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Dashboard'!$N$41:$N$54</c:f>
              <c:numCache>
                <c:formatCode>0</c:formatCode>
                <c:ptCount val="14"/>
                <c:pt idx="0">
                  <c:v>2</c:v>
                </c:pt>
                <c:pt idx="1">
                  <c:v>1</c:v>
                </c:pt>
                <c:pt idx="2">
                  <c:v>2</c:v>
                </c:pt>
                <c:pt idx="3">
                  <c:v>1</c:v>
                </c:pt>
                <c:pt idx="4">
                  <c:v>0</c:v>
                </c:pt>
                <c:pt idx="5">
                  <c:v>2</c:v>
                </c:pt>
                <c:pt idx="6">
                  <c:v>1</c:v>
                </c:pt>
                <c:pt idx="7">
                  <c:v>0</c:v>
                </c:pt>
                <c:pt idx="8">
                  <c:v>1</c:v>
                </c:pt>
                <c:pt idx="9">
                  <c:v>2</c:v>
                </c:pt>
                <c:pt idx="10">
                  <c:v>3</c:v>
                </c:pt>
                <c:pt idx="11">
                  <c:v>0</c:v>
                </c:pt>
                <c:pt idx="12">
                  <c:v>1</c:v>
                </c:pt>
                <c:pt idx="13">
                  <c:v>2</c:v>
                </c:pt>
              </c:numCache>
            </c:numRef>
          </c:val>
          <c:extLst>
            <c:ext xmlns:c16="http://schemas.microsoft.com/office/drawing/2014/chart" uri="{C3380CC4-5D6E-409C-BE32-E72D297353CC}">
              <c16:uniqueId val="{00000000-C2EE-194A-9F2F-EA5752BFF23B}"/>
            </c:ext>
          </c:extLst>
        </c:ser>
        <c:ser>
          <c:idx val="1"/>
          <c:order val="1"/>
          <c:tx>
            <c:v>REVISIONS</c:v>
          </c:tx>
          <c:spPr>
            <a:solidFill>
              <a:schemeClr val="accent2"/>
            </a:solidFill>
            <a:ln>
              <a:noFill/>
            </a:ln>
            <a:effectLst/>
          </c:spPr>
          <c:invertIfNegative val="0"/>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Dashboard'!$O$41:$O$54</c:f>
              <c:numCache>
                <c:formatCode>0</c:formatCode>
                <c:ptCount val="14"/>
                <c:pt idx="0">
                  <c:v>0</c:v>
                </c:pt>
                <c:pt idx="1">
                  <c:v>2</c:v>
                </c:pt>
                <c:pt idx="2">
                  <c:v>1</c:v>
                </c:pt>
                <c:pt idx="3">
                  <c:v>0</c:v>
                </c:pt>
                <c:pt idx="4">
                  <c:v>3</c:v>
                </c:pt>
                <c:pt idx="5">
                  <c:v>0</c:v>
                </c:pt>
                <c:pt idx="6">
                  <c:v>2</c:v>
                </c:pt>
                <c:pt idx="7">
                  <c:v>1</c:v>
                </c:pt>
                <c:pt idx="8">
                  <c:v>3</c:v>
                </c:pt>
                <c:pt idx="9">
                  <c:v>0</c:v>
                </c:pt>
                <c:pt idx="10">
                  <c:v>2</c:v>
                </c:pt>
                <c:pt idx="11">
                  <c:v>1</c:v>
                </c:pt>
                <c:pt idx="12">
                  <c:v>0</c:v>
                </c:pt>
                <c:pt idx="13">
                  <c:v>1</c:v>
                </c:pt>
              </c:numCache>
            </c:numRef>
          </c:val>
          <c:extLst>
            <c:ext xmlns:c16="http://schemas.microsoft.com/office/drawing/2014/chart" uri="{C3380CC4-5D6E-409C-BE32-E72D297353CC}">
              <c16:uniqueId val="{00000001-C2EE-194A-9F2F-EA5752BFF23B}"/>
            </c:ext>
          </c:extLst>
        </c:ser>
        <c:ser>
          <c:idx val="2"/>
          <c:order val="2"/>
          <c:tx>
            <c:v>PENDING ACTIONS</c:v>
          </c:tx>
          <c:spPr>
            <a:solidFill>
              <a:srgbClr val="FFC11D"/>
            </a:solidFill>
            <a:ln>
              <a:noFill/>
            </a:ln>
            <a:effectLst/>
          </c:spPr>
          <c:invertIfNegative val="0"/>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Dashboard'!$P$41:$P$54</c:f>
              <c:numCache>
                <c:formatCode>0</c:formatCode>
                <c:ptCount val="14"/>
                <c:pt idx="0">
                  <c:v>4</c:v>
                </c:pt>
                <c:pt idx="1">
                  <c:v>3</c:v>
                </c:pt>
                <c:pt idx="2">
                  <c:v>2</c:v>
                </c:pt>
                <c:pt idx="3">
                  <c:v>0</c:v>
                </c:pt>
                <c:pt idx="4">
                  <c:v>1</c:v>
                </c:pt>
                <c:pt idx="5">
                  <c:v>2</c:v>
                </c:pt>
                <c:pt idx="6">
                  <c:v>3</c:v>
                </c:pt>
                <c:pt idx="7">
                  <c:v>4</c:v>
                </c:pt>
                <c:pt idx="8">
                  <c:v>2</c:v>
                </c:pt>
                <c:pt idx="9">
                  <c:v>0</c:v>
                </c:pt>
                <c:pt idx="10">
                  <c:v>0</c:v>
                </c:pt>
                <c:pt idx="11">
                  <c:v>1</c:v>
                </c:pt>
                <c:pt idx="12">
                  <c:v>2</c:v>
                </c:pt>
                <c:pt idx="13">
                  <c:v>3</c:v>
                </c:pt>
              </c:numCache>
            </c:numRef>
          </c:val>
          <c:extLst>
            <c:ext xmlns:c16="http://schemas.microsoft.com/office/drawing/2014/chart" uri="{C3380CC4-5D6E-409C-BE32-E72D297353CC}">
              <c16:uniqueId val="{00000002-C2EE-194A-9F2F-EA5752BFF23B}"/>
            </c:ext>
          </c:extLst>
        </c:ser>
        <c:dLbls>
          <c:showLegendKey val="0"/>
          <c:showVal val="0"/>
          <c:showCatName val="0"/>
          <c:showSerName val="0"/>
          <c:showPercent val="0"/>
          <c:showBubbleSize val="0"/>
        </c:dLbls>
        <c:gapWidth val="219"/>
        <c:axId val="-2101824104"/>
        <c:axId val="-2102104328"/>
      </c:barChart>
      <c:catAx>
        <c:axId val="-2101824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02104328"/>
        <c:crosses val="autoZero"/>
        <c:auto val="1"/>
        <c:lblAlgn val="ctr"/>
        <c:lblOffset val="100"/>
        <c:noMultiLvlLbl val="0"/>
      </c:catAx>
      <c:valAx>
        <c:axId val="-2102104328"/>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01824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r>
              <a:rPr lang="en-US"/>
              <a:t>ACTION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endParaRPr lang="en-US"/>
        </a:p>
      </c:txPr>
    </c:title>
    <c:autoTitleDeleted val="0"/>
    <c:plotArea>
      <c:layout>
        <c:manualLayout>
          <c:layoutTarget val="inner"/>
          <c:xMode val="edge"/>
          <c:yMode val="edge"/>
          <c:x val="0.13180188630694201"/>
          <c:y val="0.222382584529875"/>
          <c:w val="0.84044351906067205"/>
          <c:h val="0.64364705882352902"/>
        </c:manualLayout>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1-2E3F-B44B-976C-5C2DF288813B}"/>
              </c:ext>
            </c:extLst>
          </c:dPt>
          <c:dPt>
            <c:idx val="1"/>
            <c:invertIfNegative val="0"/>
            <c:bubble3D val="0"/>
            <c:spPr>
              <a:solidFill>
                <a:srgbClr val="ED7C00"/>
              </a:solidFill>
              <a:ln>
                <a:noFill/>
              </a:ln>
              <a:effectLst/>
            </c:spPr>
            <c:extLst>
              <c:ext xmlns:c16="http://schemas.microsoft.com/office/drawing/2014/chart" uri="{C3380CC4-5D6E-409C-BE32-E72D297353CC}">
                <c16:uniqueId val="{00000003-2E3F-B44B-976C-5C2DF288813B}"/>
              </c:ext>
            </c:extLst>
          </c:dPt>
          <c:dPt>
            <c:idx val="2"/>
            <c:invertIfNegative val="0"/>
            <c:bubble3D val="0"/>
            <c:spPr>
              <a:solidFill>
                <a:srgbClr val="FFC11D"/>
              </a:solidFill>
              <a:ln>
                <a:noFill/>
              </a:ln>
              <a:effectLst/>
            </c:spPr>
            <c:extLst>
              <c:ext xmlns:c16="http://schemas.microsoft.com/office/drawing/2014/chart" uri="{C3380CC4-5D6E-409C-BE32-E72D297353CC}">
                <c16:uniqueId val="{00000005-2E3F-B44B-976C-5C2DF288813B}"/>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entury Gothic" panose="020B0502020202020204" pitchFamily="34" charset="0"/>
                    <a:ea typeface="Arial" charset="0"/>
                    <a:cs typeface="Arial"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'EXAMPLE Multi Project Dashboard'!$N$39:$P$40</c:f>
              <c:multiLvlStrCache>
                <c:ptCount val="3"/>
                <c:lvl>
                  <c:pt idx="0">
                    <c:v>ISSUES</c:v>
                  </c:pt>
                  <c:pt idx="1">
                    <c:v>REVISIONS</c:v>
                  </c:pt>
                </c:lvl>
                <c:lvl>
                  <c:pt idx="0">
                    <c:v>OPEN</c:v>
                  </c:pt>
                  <c:pt idx="2">
                    <c:v>PENDING ACTIONS</c:v>
                  </c:pt>
                </c:lvl>
              </c:multiLvlStrCache>
            </c:multiLvlStrRef>
          </c:cat>
          <c:val>
            <c:numRef>
              <c:f>'EXAMPLE Multi Project Dashboard'!$N$55:$P$55</c:f>
              <c:numCache>
                <c:formatCode>0</c:formatCode>
                <c:ptCount val="3"/>
                <c:pt idx="0">
                  <c:v>18</c:v>
                </c:pt>
                <c:pt idx="1">
                  <c:v>16</c:v>
                </c:pt>
                <c:pt idx="2">
                  <c:v>27</c:v>
                </c:pt>
              </c:numCache>
            </c:numRef>
          </c:val>
          <c:extLst>
            <c:ext xmlns:c16="http://schemas.microsoft.com/office/drawing/2014/chart" uri="{C3380CC4-5D6E-409C-BE32-E72D297353CC}">
              <c16:uniqueId val="{00000006-2E3F-B44B-976C-5C2DF288813B}"/>
            </c:ext>
          </c:extLst>
        </c:ser>
        <c:dLbls>
          <c:showLegendKey val="0"/>
          <c:showVal val="0"/>
          <c:showCatName val="0"/>
          <c:showSerName val="0"/>
          <c:showPercent val="0"/>
          <c:showBubbleSize val="0"/>
        </c:dLbls>
        <c:gapWidth val="50"/>
        <c:axId val="2116180808"/>
        <c:axId val="2139877704"/>
      </c:barChart>
      <c:catAx>
        <c:axId val="2116180808"/>
        <c:scaling>
          <c:orientation val="minMax"/>
        </c:scaling>
        <c:delete val="1"/>
        <c:axPos val="l"/>
        <c:numFmt formatCode="General" sourceLinked="1"/>
        <c:majorTickMark val="none"/>
        <c:minorTickMark val="none"/>
        <c:tickLblPos val="nextTo"/>
        <c:crossAx val="2139877704"/>
        <c:crosses val="autoZero"/>
        <c:auto val="1"/>
        <c:lblAlgn val="ctr"/>
        <c:lblOffset val="100"/>
        <c:noMultiLvlLbl val="0"/>
      </c:catAx>
      <c:valAx>
        <c:axId val="2139877704"/>
        <c:scaling>
          <c:orientation val="minMax"/>
          <c:max val="50"/>
          <c:min val="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cross"/>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16180808"/>
        <c:crosses val="autoZero"/>
        <c:crossBetween val="between"/>
        <c:majorUnit val="5"/>
        <c:minorUnit val="1"/>
      </c:valAx>
      <c:spPr>
        <a:noFill/>
        <a:ln>
          <a:noFill/>
        </a:ln>
        <a:effectLst/>
      </c:spPr>
    </c:plotArea>
    <c:plotVisOnly val="1"/>
    <c:dispBlanksAs val="gap"/>
    <c:showDLblsOverMax val="0"/>
  </c:chart>
  <c:spPr>
    <a:solidFill>
      <a:schemeClr val="bg1"/>
    </a:solidFill>
    <a:ln w="9525" cap="flat" cmpd="sng" algn="ctr">
      <a:noFill/>
      <a:round/>
    </a:ln>
    <a:effectLst/>
  </c:spPr>
  <c:txPr>
    <a:bodyPr rot="0" vert="horz"/>
    <a:lstStyle/>
    <a:p>
      <a:pPr>
        <a:defRPr>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667024983651785"/>
          <c:y val="2.6954177897574125E-2"/>
          <c:w val="0.81805305480159685"/>
          <c:h val="0.94070080862533689"/>
        </c:manualLayout>
      </c:layout>
      <c:barChart>
        <c:barDir val="bar"/>
        <c:grouping val="stacked"/>
        <c:varyColors val="0"/>
        <c:ser>
          <c:idx val="0"/>
          <c:order val="0"/>
          <c:tx>
            <c:strRef>
              <c:f>'Ticket Issue Client Dashboard'!$D$19</c:f>
              <c:strCache>
                <c:ptCount val="1"/>
                <c:pt idx="0">
                  <c:v>BEGIN</c:v>
                </c:pt>
              </c:strCache>
            </c:strRef>
          </c:tx>
          <c:spPr>
            <a:solidFill>
              <a:schemeClr val="accent1"/>
            </a:solidFill>
            <a:ln>
              <a:noFill/>
            </a:ln>
            <a:effectLst/>
          </c:spPr>
          <c:invertIfNegative val="0"/>
          <c:dLbls>
            <c:dLbl>
              <c:idx val="0"/>
              <c:layout>
                <c:manualLayout>
                  <c:x val="7.6119516630387032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2634-414D-843C-5E4B2E78CEB2}"/>
                </c:ext>
              </c:extLst>
            </c:dLbl>
            <c:dLbl>
              <c:idx val="1"/>
              <c:layout>
                <c:manualLayout>
                  <c:x val="7.7373483897950651E-2"/>
                  <c:y val="-9.883084392209590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2634-414D-843C-5E4B2E78CEB2}"/>
                </c:ext>
              </c:extLst>
            </c:dLbl>
            <c:dLbl>
              <c:idx val="2"/>
              <c:layout>
                <c:manualLayout>
                  <c:x val="7.0431185939155982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2634-414D-843C-5E4B2E78CEB2}"/>
                </c:ext>
              </c:extLst>
            </c:dLbl>
            <c:dLbl>
              <c:idx val="3"/>
              <c:layout>
                <c:manualLayout>
                  <c:x val="6.7838522217243152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2634-414D-843C-5E4B2E78CEB2}"/>
                </c:ext>
              </c:extLst>
            </c:dLbl>
            <c:dLbl>
              <c:idx val="4"/>
              <c:layout>
                <c:manualLayout>
                  <c:x val="7.5282308657465491E-2"/>
                  <c:y val="4.9415421961047951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2634-414D-843C-5E4B2E78CEB2}"/>
                </c:ext>
              </c:extLst>
            </c:dLbl>
            <c:dLbl>
              <c:idx val="5"/>
              <c:layout>
                <c:manualLayout>
                  <c:x val="6.7893006548242901E-2"/>
                  <c:y val="-4.9415421961047951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2634-414D-843C-5E4B2E78CEB2}"/>
                </c:ext>
              </c:extLst>
            </c:dLbl>
            <c:dLbl>
              <c:idx val="6"/>
              <c:layout>
                <c:manualLayout>
                  <c:x val="6.8540664498848866E-2"/>
                  <c:y val="-2.69541778975746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2634-414D-843C-5E4B2E78CEB2}"/>
                </c:ext>
              </c:extLst>
            </c:dLbl>
            <c:dLbl>
              <c:idx val="7"/>
              <c:layout>
                <c:manualLayout>
                  <c:x val="6.5540954138411878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2634-414D-843C-5E4B2E78CEB2}"/>
                </c:ext>
              </c:extLst>
            </c:dLbl>
            <c:dLbl>
              <c:idx val="8"/>
              <c:layout>
                <c:manualLayout>
                  <c:x val="7.2051573758058401E-2"/>
                  <c:y val="-2.4707710980523976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A4B-4804-A21B-C33C0E56C6C9}"/>
                </c:ext>
              </c:extLst>
            </c:dLbl>
            <c:dLbl>
              <c:idx val="9"/>
              <c:layout>
                <c:manualLayout>
                  <c:x val="6.8259385665529013E-2"/>
                  <c:y val="-1.2353855490261988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A4B-4804-A21B-C33C0E56C6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'Ticket Issue Client Dashboard'!$B$20:$B$33</c15:sqref>
                  </c15:fullRef>
                </c:ext>
              </c:extLst>
              <c:f>'Ticket Issue Client Dashboard'!$B$20:$B$29</c:f>
              <c:strCache>
                <c:ptCount val="10"/>
                <c:pt idx="0">
                  <c:v>FRIM</c:v>
                </c:pt>
                <c:pt idx="1">
                  <c:v>MTIB</c:v>
                </c:pt>
                <c:pt idx="2">
                  <c:v>MPOB</c:v>
                </c:pt>
                <c:pt idx="3">
                  <c:v>LKTN</c:v>
                </c:pt>
                <c:pt idx="4">
                  <c:v>LAM</c:v>
                </c:pt>
                <c:pt idx="5">
                  <c:v>ISN</c:v>
                </c:pt>
                <c:pt idx="6">
                  <c:v>MSN</c:v>
                </c:pt>
                <c:pt idx="8">
                  <c:v>KHTP (KTPC)</c:v>
                </c:pt>
                <c:pt idx="9">
                  <c:v>KUIPS (Warranty)</c:v>
                </c:pt>
              </c:strCache>
            </c:strRef>
          </c:cat>
          <c:val>
            <c:numRef>
              <c:extLst>
                <c:ext xmlns:c15="http://schemas.microsoft.com/office/drawing/2012/chart" uri="{02D57815-91ED-43cb-92C2-25804820EDAC}">
                  <c15:fullRef>
                    <c15:sqref>'Ticket Issue Client Dashboard'!$D$20:$D$33</c15:sqref>
                  </c15:fullRef>
                </c:ext>
              </c:extLst>
              <c:f>'Ticket Issue Client Dashboard'!$D$20:$D$29</c:f>
              <c:numCache>
                <c:formatCode>[$-14409]d/m/yyyy;@</c:formatCode>
                <c:ptCount val="10"/>
                <c:pt idx="0">
                  <c:v>46023</c:v>
                </c:pt>
                <c:pt idx="1">
                  <c:v>45962</c:v>
                </c:pt>
                <c:pt idx="2">
                  <c:v>46023</c:v>
                </c:pt>
                <c:pt idx="3">
                  <c:v>46023</c:v>
                </c:pt>
                <c:pt idx="4">
                  <c:v>45931</c:v>
                </c:pt>
                <c:pt idx="5">
                  <c:v>46023</c:v>
                </c:pt>
                <c:pt idx="6">
                  <c:v>45809</c:v>
                </c:pt>
                <c:pt idx="7">
                  <c:v>46023</c:v>
                </c:pt>
                <c:pt idx="8">
                  <c:v>45927</c:v>
                </c:pt>
                <c:pt idx="9">
                  <c:v>46023</c:v>
                </c:pt>
              </c:numCache>
            </c:numRef>
          </c:val>
          <c:extLst>
            <c:ext xmlns:c16="http://schemas.microsoft.com/office/drawing/2014/chart" uri="{C3380CC4-5D6E-409C-BE32-E72D297353CC}">
              <c16:uniqueId val="{00000000-0773-FE40-84DE-2AD66D9BC2C9}"/>
            </c:ext>
          </c:extLst>
        </c:ser>
        <c:ser>
          <c:idx val="2"/>
          <c:order val="1"/>
          <c:tx>
            <c:strRef>
              <c:f>'Ticket Issue Client Dashboard'!$E$19</c:f>
              <c:strCache>
                <c:ptCount val="1"/>
                <c:pt idx="0">
                  <c:v>FINISH</c:v>
                </c:pt>
              </c:strCache>
            </c:strRef>
          </c:tx>
          <c:spPr>
            <a:solidFill>
              <a:schemeClr val="accent5"/>
            </a:solidFill>
            <a:ln>
              <a:noFill/>
            </a:ln>
            <a:effectLst/>
          </c:spPr>
          <c:invertIfNegative val="0"/>
          <c:dLbls>
            <c:dLbl>
              <c:idx val="0"/>
              <c:layout>
                <c:manualLayout>
                  <c:x val="0.3002632136853200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2634-414D-843C-5E4B2E78CEB2}"/>
                </c:ext>
              </c:extLst>
            </c:dLbl>
            <c:dLbl>
              <c:idx val="1"/>
              <c:layout>
                <c:manualLayout>
                  <c:x val="0.30321813442261697"/>
                  <c:y val="9.883084392209590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2634-414D-843C-5E4B2E78CEB2}"/>
                </c:ext>
              </c:extLst>
            </c:dLbl>
            <c:dLbl>
              <c:idx val="2"/>
              <c:layout>
                <c:manualLayout>
                  <c:x val="0.3004583471434671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2634-414D-843C-5E4B2E78CEB2}"/>
                </c:ext>
              </c:extLst>
            </c:dLbl>
            <c:dLbl>
              <c:idx val="3"/>
              <c:layout>
                <c:manualLayout>
                  <c:x val="0.2979770020215050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2634-414D-843C-5E4B2E78CEB2}"/>
                </c:ext>
              </c:extLst>
            </c:dLbl>
            <c:dLbl>
              <c:idx val="4"/>
              <c:layout>
                <c:manualLayout>
                  <c:x val="0.29608090797524028"/>
                  <c:y val="-9.883084392209590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2634-414D-843C-5E4B2E78CEB2}"/>
                </c:ext>
              </c:extLst>
            </c:dLbl>
            <c:dLbl>
              <c:idx val="5"/>
              <c:layout>
                <c:manualLayout>
                  <c:x val="0.29309776977536511"/>
                  <c:y val="2.695417789757363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2634-414D-843C-5E4B2E78CEB2}"/>
                </c:ext>
              </c:extLst>
            </c:dLbl>
            <c:dLbl>
              <c:idx val="6"/>
              <c:layout>
                <c:manualLayout>
                  <c:x val="0.2972549932964864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2634-414D-843C-5E4B2E78CEB2}"/>
                </c:ext>
              </c:extLst>
            </c:dLbl>
            <c:dLbl>
              <c:idx val="7"/>
              <c:layout>
                <c:manualLayout>
                  <c:x val="0.2869320302538973"/>
                  <c:y val="2.695417789757412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2634-414D-843C-5E4B2E78CEB2}"/>
                </c:ext>
              </c:extLst>
            </c:dLbl>
            <c:dLbl>
              <c:idx val="8"/>
              <c:layout>
                <c:manualLayout>
                  <c:x val="0.28873048292171655"/>
                  <c:y val="-2.4707710980523976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A4B-4804-A21B-C33C0E56C6C9}"/>
                </c:ext>
              </c:extLst>
            </c:dLbl>
            <c:dLbl>
              <c:idx val="9"/>
              <c:layout>
                <c:manualLayout>
                  <c:x val="0.28457594677798365"/>
                  <c:y val="-1.2353855490261988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A4B-4804-A21B-C33C0E56C6C9}"/>
                </c:ext>
              </c:extLst>
            </c:dLbl>
            <c:numFmt formatCode="m/d/yyyy"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'Ticket Issue Client Dashboard'!$B$20:$B$33</c15:sqref>
                  </c15:fullRef>
                </c:ext>
              </c:extLst>
              <c:f>'Ticket Issue Client Dashboard'!$B$20:$B$29</c:f>
              <c:strCache>
                <c:ptCount val="10"/>
                <c:pt idx="0">
                  <c:v>FRIM</c:v>
                </c:pt>
                <c:pt idx="1">
                  <c:v>MTIB</c:v>
                </c:pt>
                <c:pt idx="2">
                  <c:v>MPOB</c:v>
                </c:pt>
                <c:pt idx="3">
                  <c:v>LKTN</c:v>
                </c:pt>
                <c:pt idx="4">
                  <c:v>LAM</c:v>
                </c:pt>
                <c:pt idx="5">
                  <c:v>ISN</c:v>
                </c:pt>
                <c:pt idx="6">
                  <c:v>MSN</c:v>
                </c:pt>
                <c:pt idx="8">
                  <c:v>KHTP (KTPC)</c:v>
                </c:pt>
                <c:pt idx="9">
                  <c:v>KUIPS (Warranty)</c:v>
                </c:pt>
              </c:strCache>
            </c:strRef>
          </c:cat>
          <c:val>
            <c:numRef>
              <c:extLst>
                <c:ext xmlns:c15="http://schemas.microsoft.com/office/drawing/2012/chart" uri="{02D57815-91ED-43cb-92C2-25804820EDAC}">
                  <c15:fullRef>
                    <c15:sqref>'Ticket Issue Client Dashboard'!$E$20:$E$33</c15:sqref>
                  </c15:fullRef>
                </c:ext>
              </c:extLst>
              <c:f>'Ticket Issue Client Dashboard'!$E$20:$E$29</c:f>
              <c:numCache>
                <c:formatCode>[$-14409]dd/mm/yyyy;@</c:formatCode>
                <c:ptCount val="10"/>
                <c:pt idx="0">
                  <c:v>46387</c:v>
                </c:pt>
                <c:pt idx="1">
                  <c:v>46326</c:v>
                </c:pt>
                <c:pt idx="2">
                  <c:v>46387</c:v>
                </c:pt>
                <c:pt idx="3">
                  <c:v>46387</c:v>
                </c:pt>
                <c:pt idx="4">
                  <c:v>46295</c:v>
                </c:pt>
                <c:pt idx="5">
                  <c:v>46387</c:v>
                </c:pt>
                <c:pt idx="6">
                  <c:v>46173</c:v>
                </c:pt>
                <c:pt idx="7">
                  <c:v>46387</c:v>
                </c:pt>
                <c:pt idx="8">
                  <c:v>46291</c:v>
                </c:pt>
                <c:pt idx="9">
                  <c:v>46752</c:v>
                </c:pt>
              </c:numCache>
            </c:numRef>
          </c:val>
          <c:extLst>
            <c:ext xmlns:c16="http://schemas.microsoft.com/office/drawing/2014/chart" uri="{C3380CC4-5D6E-409C-BE32-E72D297353CC}">
              <c16:uniqueId val="{0000001C-2634-414D-843C-5E4B2E78CEB2}"/>
            </c:ext>
          </c:extLst>
        </c:ser>
        <c:dLbls>
          <c:dLblPos val="ctr"/>
          <c:showLegendKey val="0"/>
          <c:showVal val="1"/>
          <c:showCatName val="0"/>
          <c:showSerName val="0"/>
          <c:showPercent val="0"/>
          <c:showBubbleSize val="0"/>
        </c:dLbls>
        <c:gapWidth val="79"/>
        <c:overlap val="100"/>
        <c:axId val="2120620376"/>
        <c:axId val="-2105395848"/>
        <c:extLst>
          <c:ext xmlns:c15="http://schemas.microsoft.com/office/drawing/2012/chart" uri="{02D57815-91ED-43cb-92C2-25804820EDAC}">
            <c15:filteredBarSeries>
              <c15:ser>
                <c:idx val="1"/>
                <c:order val="2"/>
                <c:tx>
                  <c:v>Duration</c:v>
                </c:tx>
                <c:spPr>
                  <a:solidFill>
                    <a:schemeClr val="accent3"/>
                  </a:solidFill>
                  <a:ln>
                    <a:noFill/>
                  </a:ln>
                  <a:effectLst/>
                </c:spPr>
                <c:invertIfNegative val="0"/>
                <c:dPt>
                  <c:idx val="1"/>
                  <c:invertIfNegative val="0"/>
                  <c:bubble3D val="0"/>
                  <c:extLst>
                    <c:ext xmlns:c16="http://schemas.microsoft.com/office/drawing/2014/chart" uri="{C3380CC4-5D6E-409C-BE32-E72D297353CC}">
                      <c16:uniqueId val="{00000002-0773-FE40-84DE-2AD66D9BC2C9}"/>
                    </c:ext>
                  </c:extLst>
                </c:dPt>
                <c:dPt>
                  <c:idx val="2"/>
                  <c:invertIfNegative val="0"/>
                  <c:bubble3D val="0"/>
                  <c:extLst>
                    <c:ext xmlns:c16="http://schemas.microsoft.com/office/drawing/2014/chart" uri="{C3380CC4-5D6E-409C-BE32-E72D297353CC}">
                      <c16:uniqueId val="{00000004-0773-FE40-84DE-2AD66D9BC2C9}"/>
                    </c:ext>
                  </c:extLst>
                </c:dPt>
                <c:dPt>
                  <c:idx val="3"/>
                  <c:invertIfNegative val="0"/>
                  <c:bubble3D val="0"/>
                  <c:extLst>
                    <c:ext xmlns:c16="http://schemas.microsoft.com/office/drawing/2014/chart" uri="{C3380CC4-5D6E-409C-BE32-E72D297353CC}">
                      <c16:uniqueId val="{00000006-0773-FE40-84DE-2AD66D9BC2C9}"/>
                    </c:ext>
                  </c:extLst>
                </c:dPt>
                <c:dPt>
                  <c:idx val="4"/>
                  <c:invertIfNegative val="0"/>
                  <c:bubble3D val="0"/>
                  <c:extLst>
                    <c:ext xmlns:c16="http://schemas.microsoft.com/office/drawing/2014/chart" uri="{C3380CC4-5D6E-409C-BE32-E72D297353CC}">
                      <c16:uniqueId val="{00000008-0773-FE40-84DE-2AD66D9BC2C9}"/>
                    </c:ext>
                  </c:extLst>
                </c:dPt>
                <c:dPt>
                  <c:idx val="5"/>
                  <c:invertIfNegative val="0"/>
                  <c:bubble3D val="0"/>
                  <c:extLst>
                    <c:ext xmlns:c16="http://schemas.microsoft.com/office/drawing/2014/chart" uri="{C3380CC4-5D6E-409C-BE32-E72D297353CC}">
                      <c16:uniqueId val="{0000000A-0773-FE40-84DE-2AD66D9BC2C9}"/>
                    </c:ext>
                  </c:extLst>
                </c:dPt>
                <c:dPt>
                  <c:idx val="6"/>
                  <c:invertIfNegative val="0"/>
                  <c:bubble3D val="0"/>
                  <c:extLst>
                    <c:ext xmlns:c16="http://schemas.microsoft.com/office/drawing/2014/chart" uri="{C3380CC4-5D6E-409C-BE32-E72D297353CC}">
                      <c16:uniqueId val="{0000000C-0773-FE40-84DE-2AD66D9BC2C9}"/>
                    </c:ext>
                  </c:extLst>
                </c:dPt>
                <c:dPt>
                  <c:idx val="7"/>
                  <c:invertIfNegative val="0"/>
                  <c:bubble3D val="0"/>
                  <c:extLst>
                    <c:ext xmlns:c16="http://schemas.microsoft.com/office/drawing/2014/chart" uri="{C3380CC4-5D6E-409C-BE32-E72D297353CC}">
                      <c16:uniqueId val="{0000000E-0773-FE40-84DE-2AD66D9BC2C9}"/>
                    </c:ext>
                  </c:extLst>
                </c:dPt>
                <c:dPt>
                  <c:idx val="8"/>
                  <c:invertIfNegative val="0"/>
                  <c:bubble3D val="0"/>
                  <c:extLst>
                    <c:ext xmlns:c16="http://schemas.microsoft.com/office/drawing/2014/chart" uri="{C3380CC4-5D6E-409C-BE32-E72D297353CC}">
                      <c16:uniqueId val="{00000007-7A4B-4804-A21B-C33C0E56C6C9}"/>
                    </c:ext>
                  </c:extLst>
                </c:dPt>
                <c:dPt>
                  <c:idx val="9"/>
                  <c:invertIfNegative val="0"/>
                  <c:bubble3D val="0"/>
                  <c:extLst>
                    <c:ext xmlns:c16="http://schemas.microsoft.com/office/drawing/2014/chart" uri="{C3380CC4-5D6E-409C-BE32-E72D297353CC}">
                      <c16:uniqueId val="{00000008-7A4B-4804-A21B-C33C0E56C6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a:solidFill>
                              <a:schemeClr val="tx1">
                                <a:lumMod val="35000"/>
                                <a:lumOff val="65000"/>
                              </a:schemeClr>
                            </a:solidFill>
                          </a:ln>
                          <a:effectLst/>
                        </c:spPr>
                      </c15:leaderLines>
                    </c:ext>
                  </c:extLst>
                </c:dLbls>
                <c:cat>
                  <c:strRef>
                    <c:extLst>
                      <c:ext uri="{02D57815-91ED-43cb-92C2-25804820EDAC}">
                        <c15:fullRef>
                          <c15:sqref>'Ticket Issue Client Dashboard'!$B$20:$B$33</c15:sqref>
                        </c15:fullRef>
                        <c15:formulaRef>
                          <c15:sqref>'Ticket Issue Client Dashboard'!$B$20:$B$29</c15:sqref>
                        </c15:formulaRef>
                      </c:ext>
                    </c:extLst>
                    <c:strCache>
                      <c:ptCount val="10"/>
                      <c:pt idx="0">
                        <c:v>FRIM</c:v>
                      </c:pt>
                      <c:pt idx="1">
                        <c:v>MTIB</c:v>
                      </c:pt>
                      <c:pt idx="2">
                        <c:v>MPOB</c:v>
                      </c:pt>
                      <c:pt idx="3">
                        <c:v>LKTN</c:v>
                      </c:pt>
                      <c:pt idx="4">
                        <c:v>LAM</c:v>
                      </c:pt>
                      <c:pt idx="5">
                        <c:v>ISN</c:v>
                      </c:pt>
                      <c:pt idx="6">
                        <c:v>MSN</c:v>
                      </c:pt>
                      <c:pt idx="8">
                        <c:v>KHTP (KTPC)</c:v>
                      </c:pt>
                      <c:pt idx="9">
                        <c:v>KUIPS (Warranty)</c:v>
                      </c:pt>
                    </c:strCache>
                  </c:strRef>
                </c:cat>
                <c:val>
                  <c:numRef>
                    <c:extLst>
                      <c:ext uri="{02D57815-91ED-43cb-92C2-25804820EDAC}">
                        <c15:fullRef>
                          <c15:sqref>'Ticket Issue Client Dashboard'!$F$20:$F$33</c15:sqref>
                        </c15:fullRef>
                        <c15:formulaRef>
                          <c15:sqref>'Ticket Issue Client Dashboard'!$F$20:$F$29</c15:sqref>
                        </c15:formulaRef>
                      </c:ext>
                    </c:extLst>
                    <c:numCache>
                      <c:formatCode>General</c:formatCode>
                      <c:ptCount val="10"/>
                      <c:pt idx="0">
                        <c:v>365</c:v>
                      </c:pt>
                      <c:pt idx="1">
                        <c:v>365</c:v>
                      </c:pt>
                      <c:pt idx="2">
                        <c:v>365</c:v>
                      </c:pt>
                      <c:pt idx="3">
                        <c:v>365</c:v>
                      </c:pt>
                      <c:pt idx="4">
                        <c:v>365</c:v>
                      </c:pt>
                      <c:pt idx="5">
                        <c:v>365</c:v>
                      </c:pt>
                      <c:pt idx="6">
                        <c:v>365</c:v>
                      </c:pt>
                      <c:pt idx="7">
                        <c:v>365</c:v>
                      </c:pt>
                      <c:pt idx="8">
                        <c:v>365</c:v>
                      </c:pt>
                      <c:pt idx="9">
                        <c:v>730</c:v>
                      </c:pt>
                    </c:numCache>
                  </c:numRef>
                </c:val>
                <c:extLst>
                  <c:ext uri="{02D57815-91ED-43cb-92C2-25804820EDAC}">
                    <c15:categoryFilterExceptions>
                      <c15:categoryFilterException>
                        <c15:sqref>'Ticket Issue Client Dashboard'!$F$30</c15:sqref>
                        <c15:invertIfNegative val="0"/>
                        <c15:bubble3D val="0"/>
                      </c15:categoryFilterException>
                      <c15:categoryFilterException>
                        <c15:sqref>'Ticket Issue Client Dashboard'!$F$31</c15:sqref>
                        <c15:invertIfNegative val="0"/>
                        <c15:bubble3D val="0"/>
                      </c15:categoryFilterException>
                      <c15:categoryFilterException>
                        <c15:sqref>'Ticket Issue Client Dashboard'!$F$32</c15:sqref>
                        <c15:invertIfNegative val="0"/>
                        <c15:bubble3D val="0"/>
                      </c15:categoryFilterException>
                      <c15:categoryFilterException>
                        <c15:sqref>'Ticket Issue Client Dashboard'!$F$33</c15:sqref>
                        <c15:invertIfNegative val="0"/>
                        <c15:bubble3D val="0"/>
                      </c15:categoryFilterException>
                    </c15:categoryFilterExceptions>
                  </c:ext>
                  <c:ext xmlns:c16="http://schemas.microsoft.com/office/drawing/2014/chart" uri="{C3380CC4-5D6E-409C-BE32-E72D297353CC}">
                    <c16:uniqueId val="{0000001B-0773-FE40-84DE-2AD66D9BC2C9}"/>
                  </c:ext>
                </c:extLst>
              </c15:ser>
            </c15:filteredBarSeries>
          </c:ext>
        </c:extLst>
      </c:barChart>
      <c:catAx>
        <c:axId val="2120620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05395848"/>
        <c:crosses val="autoZero"/>
        <c:auto val="1"/>
        <c:lblAlgn val="ctr"/>
        <c:lblOffset val="100"/>
        <c:noMultiLvlLbl val="0"/>
      </c:catAx>
      <c:valAx>
        <c:axId val="-2105395848"/>
        <c:scaling>
          <c:orientation val="minMax"/>
          <c:min val="45770"/>
        </c:scaling>
        <c:delete val="1"/>
        <c:axPos val="b"/>
        <c:numFmt formatCode="dd/mm/yy;@" sourceLinked="0"/>
        <c:majorTickMark val="none"/>
        <c:minorTickMark val="none"/>
        <c:tickLblPos val="nextTo"/>
        <c:crossAx val="2120620376"/>
        <c:crosses val="autoZero"/>
        <c:crossBetween val="between"/>
        <c:majorUnit val="30"/>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Total Tickets by Clients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'Ticket Issue Client Dashboard'!$F$19</c:f>
              <c:strCache>
                <c:ptCount val="1"/>
                <c:pt idx="0">
                  <c:v># of DAYS</c:v>
                </c:pt>
              </c:strCache>
            </c:strRef>
          </c:tx>
          <c:spPr>
            <a:solidFill>
              <a:srgbClr val="6A3AFF"/>
            </a:solidFill>
            <a:ln>
              <a:noFill/>
            </a:ln>
            <a:effectLst/>
          </c:spPr>
          <c:invertIfNegative val="0"/>
          <c:dPt>
            <c:idx val="0"/>
            <c:invertIfNegative val="0"/>
            <c:bubble3D val="0"/>
            <c:extLst>
              <c:ext xmlns:c16="http://schemas.microsoft.com/office/drawing/2014/chart" uri="{C3380CC4-5D6E-409C-BE32-E72D297353CC}">
                <c16:uniqueId val="{00000001-3277-134E-BA65-65523338154F}"/>
              </c:ext>
            </c:extLst>
          </c:dPt>
          <c:dPt>
            <c:idx val="1"/>
            <c:invertIfNegative val="0"/>
            <c:bubble3D val="0"/>
            <c:spPr>
              <a:solidFill>
                <a:srgbClr val="E3DAFF"/>
              </a:solidFill>
              <a:ln>
                <a:noFill/>
              </a:ln>
              <a:effectLst/>
            </c:spPr>
            <c:extLst>
              <c:ext xmlns:c16="http://schemas.microsoft.com/office/drawing/2014/chart" uri="{C3380CC4-5D6E-409C-BE32-E72D297353CC}">
                <c16:uniqueId val="{00000003-3277-134E-BA65-65523338154F}"/>
              </c:ext>
            </c:extLst>
          </c:dPt>
          <c:dPt>
            <c:idx val="2"/>
            <c:invertIfNegative val="0"/>
            <c:bubble3D val="0"/>
            <c:spPr>
              <a:solidFill>
                <a:srgbClr val="00B050"/>
              </a:solidFill>
              <a:ln>
                <a:noFill/>
              </a:ln>
              <a:effectLst/>
            </c:spPr>
            <c:extLst>
              <c:ext xmlns:c16="http://schemas.microsoft.com/office/drawing/2014/chart" uri="{C3380CC4-5D6E-409C-BE32-E72D297353CC}">
                <c16:uniqueId val="{00000005-3277-134E-BA65-65523338154F}"/>
              </c:ext>
            </c:extLst>
          </c:dPt>
          <c:dPt>
            <c:idx val="3"/>
            <c:invertIfNegative val="0"/>
            <c:bubble3D val="0"/>
            <c:spPr>
              <a:solidFill>
                <a:srgbClr val="FFC11D"/>
              </a:solidFill>
              <a:ln>
                <a:noFill/>
              </a:ln>
              <a:effectLst/>
            </c:spPr>
            <c:extLst>
              <c:ext xmlns:c16="http://schemas.microsoft.com/office/drawing/2014/chart" uri="{C3380CC4-5D6E-409C-BE32-E72D297353CC}">
                <c16:uniqueId val="{00000007-3277-134E-BA65-65523338154F}"/>
              </c:ext>
            </c:extLst>
          </c:dPt>
          <c:dPt>
            <c:idx val="4"/>
            <c:invertIfNegative val="0"/>
            <c:bubble3D val="0"/>
            <c:spPr>
              <a:solidFill>
                <a:srgbClr val="FF0000"/>
              </a:solidFill>
              <a:ln>
                <a:noFill/>
              </a:ln>
              <a:effectLst/>
            </c:spPr>
            <c:extLst>
              <c:ext xmlns:c16="http://schemas.microsoft.com/office/drawing/2014/chart" uri="{C3380CC4-5D6E-409C-BE32-E72D297353CC}">
                <c16:uniqueId val="{00000009-3277-134E-BA65-65523338154F}"/>
              </c:ext>
            </c:extLst>
          </c:dPt>
          <c:dPt>
            <c:idx val="5"/>
            <c:invertIfNegative val="0"/>
            <c:bubble3D val="0"/>
            <c:spPr>
              <a:solidFill>
                <a:srgbClr val="92D050"/>
              </a:solidFill>
              <a:ln>
                <a:noFill/>
              </a:ln>
              <a:effectLst/>
            </c:spPr>
            <c:extLst>
              <c:ext xmlns:c16="http://schemas.microsoft.com/office/drawing/2014/chart" uri="{C3380CC4-5D6E-409C-BE32-E72D297353CC}">
                <c16:uniqueId val="{0000000B-3277-134E-BA65-65523338154F}"/>
              </c:ext>
            </c:extLst>
          </c:dPt>
          <c:dPt>
            <c:idx val="6"/>
            <c:invertIfNegative val="0"/>
            <c:bubble3D val="0"/>
            <c:spPr>
              <a:solidFill>
                <a:srgbClr val="EE57AD"/>
              </a:solidFill>
              <a:ln>
                <a:noFill/>
              </a:ln>
              <a:effectLst/>
            </c:spPr>
            <c:extLst>
              <c:ext xmlns:c16="http://schemas.microsoft.com/office/drawing/2014/chart" uri="{C3380CC4-5D6E-409C-BE32-E72D297353CC}">
                <c16:uniqueId val="{0000000D-3277-134E-BA65-65523338154F}"/>
              </c:ext>
            </c:extLst>
          </c:dPt>
          <c:dPt>
            <c:idx val="7"/>
            <c:invertIfNegative val="0"/>
            <c:bubble3D val="0"/>
            <c:spPr>
              <a:solidFill>
                <a:schemeClr val="accent6">
                  <a:lumMod val="75000"/>
                </a:schemeClr>
              </a:solidFill>
              <a:ln>
                <a:noFill/>
              </a:ln>
              <a:effectLst/>
            </c:spPr>
            <c:extLst>
              <c:ext xmlns:c16="http://schemas.microsoft.com/office/drawing/2014/chart" uri="{C3380CC4-5D6E-409C-BE32-E72D297353CC}">
                <c16:uniqueId val="{0000000B-0455-42C3-8881-B3DD582BB61F}"/>
              </c:ext>
            </c:extLst>
          </c:dPt>
          <c:dPt>
            <c:idx val="8"/>
            <c:invertIfNegative val="0"/>
            <c:bubble3D val="0"/>
            <c:spPr>
              <a:solidFill>
                <a:srgbClr val="00B0F0"/>
              </a:solidFill>
              <a:ln>
                <a:noFill/>
              </a:ln>
              <a:effectLst/>
            </c:spPr>
            <c:extLst>
              <c:ext xmlns:c16="http://schemas.microsoft.com/office/drawing/2014/chart" uri="{C3380CC4-5D6E-409C-BE32-E72D297353CC}">
                <c16:uniqueId val="{0000000C-0455-42C3-8881-B3DD582BB61F}"/>
              </c:ext>
            </c:extLst>
          </c:dPt>
          <c:dLbls>
            <c:dLbl>
              <c:idx val="0"/>
              <c:spPr>
                <a:noFill/>
                <a:ln>
                  <a:noFill/>
                </a:ln>
                <a:effectLst/>
              </c:spPr>
              <c:txPr>
                <a:bodyPr rot="-5400000" spcFirstLastPara="1" vertOverflow="clip" horzOverflow="clip" vert="horz" wrap="square" lIns="38100" tIns="19050" rIns="38100" bIns="19050" anchor="ctr" anchorCtr="1">
                  <a:noAutofit/>
                </a:bodyPr>
                <a:lstStyle/>
                <a:p>
                  <a:pPr>
                    <a:defRPr sz="16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7.8689541353731865E-2"/>
                      <c:h val="0.10010683760683758"/>
                    </c:manualLayout>
                  </c15:layout>
                </c:ext>
                <c:ext xmlns:c16="http://schemas.microsoft.com/office/drawing/2014/chart" uri="{C3380CC4-5D6E-409C-BE32-E72D297353CC}">
                  <c16:uniqueId val="{00000001-3277-134E-BA65-65523338154F}"/>
                </c:ext>
              </c:extLst>
            </c:dLbl>
            <c:spPr>
              <a:noFill/>
              <a:ln>
                <a:noFill/>
              </a:ln>
              <a:effectLst/>
            </c:spPr>
            <c:txPr>
              <a:bodyPr rot="-5400000" spcFirstLastPara="1" vertOverflow="clip" horzOverflow="clip" vert="horz" wrap="square" lIns="38100" tIns="19050" rIns="38100" bIns="19050" anchor="ctr" anchorCtr="1">
                <a:spAutoFit/>
              </a:bodyPr>
              <a:lstStyle/>
              <a:p>
                <a:pPr>
                  <a:defRPr sz="16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'Ticket Issue Client Dashboard'!$B$20:$B$33</c15:sqref>
                  </c15:fullRef>
                </c:ext>
              </c:extLst>
              <c:f>('Ticket Issue Client Dashboard'!$B$20:$B$26,'Ticket Issue Client Dashboard'!$B$28:$B$29)</c:f>
              <c:strCache>
                <c:ptCount val="9"/>
                <c:pt idx="0">
                  <c:v>FRIM</c:v>
                </c:pt>
                <c:pt idx="1">
                  <c:v>MTIB</c:v>
                </c:pt>
                <c:pt idx="2">
                  <c:v>MPOB</c:v>
                </c:pt>
                <c:pt idx="3">
                  <c:v>LKTN</c:v>
                </c:pt>
                <c:pt idx="4">
                  <c:v>LAM</c:v>
                </c:pt>
                <c:pt idx="5">
                  <c:v>ISN</c:v>
                </c:pt>
                <c:pt idx="6">
                  <c:v>MSN</c:v>
                </c:pt>
                <c:pt idx="7">
                  <c:v>KHTP (KTPC)</c:v>
                </c:pt>
                <c:pt idx="8">
                  <c:v>KUIPS (Warranty)</c:v>
                </c:pt>
              </c:strCache>
            </c:strRef>
          </c:cat>
          <c:val>
            <c:numRef>
              <c:extLst>
                <c:ext xmlns:c15="http://schemas.microsoft.com/office/drawing/2012/chart" uri="{02D57815-91ED-43cb-92C2-25804820EDAC}">
                  <c15:fullRef>
                    <c15:sqref>'Ticket Issue Client Dashboard'!$G$20:$G$33</c15:sqref>
                  </c15:fullRef>
                </c:ext>
              </c:extLst>
              <c:f>('Ticket Issue Client Dashboard'!$G$20:$G$26,'Ticket Issue Client Dashboard'!$G$28:$G$29)</c:f>
              <c:numCache>
                <c:formatCode>General</c:formatCode>
                <c:ptCount val="9"/>
                <c:pt idx="0">
                  <c:v>104</c:v>
                </c:pt>
                <c:pt idx="1">
                  <c:v>52</c:v>
                </c:pt>
                <c:pt idx="2">
                  <c:v>206</c:v>
                </c:pt>
                <c:pt idx="3">
                  <c:v>15</c:v>
                </c:pt>
                <c:pt idx="4">
                  <c:v>21</c:v>
                </c:pt>
                <c:pt idx="5">
                  <c:v>25</c:v>
                </c:pt>
                <c:pt idx="6">
                  <c:v>9</c:v>
                </c:pt>
                <c:pt idx="7">
                  <c:v>9</c:v>
                </c:pt>
                <c:pt idx="8">
                  <c:v>32</c:v>
                </c:pt>
              </c:numCache>
            </c:numRef>
          </c:val>
          <c:extLst>
            <c:ext xmlns:c15="http://schemas.microsoft.com/office/drawing/2012/chart" uri="{02D57815-91ED-43cb-92C2-25804820EDAC}">
              <c15:categoryFilterExceptions>
                <c15:categoryFilterException>
                  <c15:sqref>'Ticket Issue Client Dashboard'!$G$27</c15:sqref>
                  <c15:invertIfNegative val="0"/>
                  <c15:bubble3D val="0"/>
                </c15:categoryFilterException>
              </c15:categoryFilterExceptions>
            </c:ext>
            <c:ext xmlns:c16="http://schemas.microsoft.com/office/drawing/2014/chart" uri="{C3380CC4-5D6E-409C-BE32-E72D297353CC}">
              <c16:uniqueId val="{0000001C-3277-134E-BA65-65523338154F}"/>
            </c:ext>
          </c:extLst>
        </c:ser>
        <c:dLbls>
          <c:dLblPos val="outEnd"/>
          <c:showLegendKey val="0"/>
          <c:showVal val="1"/>
          <c:showCatName val="0"/>
          <c:showSerName val="0"/>
          <c:showPercent val="0"/>
          <c:showBubbleSize val="0"/>
        </c:dLbls>
        <c:gapWidth val="444"/>
        <c:overlap val="-90"/>
        <c:axId val="-2139417400"/>
        <c:axId val="-2139589144"/>
      </c:barChart>
      <c:catAx>
        <c:axId val="-2139417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39589144"/>
        <c:crosses val="autoZero"/>
        <c:auto val="1"/>
        <c:lblAlgn val="ctr"/>
        <c:lblOffset val="100"/>
        <c:noMultiLvlLbl val="0"/>
      </c:catAx>
      <c:valAx>
        <c:axId val="-2139589144"/>
        <c:scaling>
          <c:orientation val="minMax"/>
        </c:scaling>
        <c:delete val="1"/>
        <c:axPos val="l"/>
        <c:numFmt formatCode="General" sourceLinked="1"/>
        <c:majorTickMark val="none"/>
        <c:minorTickMark val="none"/>
        <c:tickLblPos val="nextTo"/>
        <c:crossAx val="-2139417400"/>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r>
              <a:rPr lang="en-US"/>
              <a:t>ISSUE BY CLIENT</a:t>
            </a:r>
          </a:p>
        </c:rich>
      </c:tx>
      <c:layout>
        <c:manualLayout>
          <c:xMode val="edge"/>
          <c:yMode val="edge"/>
          <c:x val="0.32234434508681975"/>
          <c:y val="2.4213393515393644E-2"/>
        </c:manualLayout>
      </c:layout>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endParaRPr lang="en-US"/>
        </a:p>
      </c:txPr>
    </c:title>
    <c:autoTitleDeleted val="0"/>
    <c:plotArea>
      <c:layout>
        <c:manualLayout>
          <c:layoutTarget val="inner"/>
          <c:xMode val="edge"/>
          <c:yMode val="edge"/>
          <c:x val="5.68528802320762E-2"/>
          <c:y val="0.15806815096388799"/>
          <c:w val="0.63616272965879295"/>
          <c:h val="0.78149300841705105"/>
        </c:manualLayout>
      </c:layout>
      <c:pieChart>
        <c:varyColors val="1"/>
        <c:ser>
          <c:idx val="0"/>
          <c:order val="0"/>
          <c:spPr>
            <a:ln>
              <a:noFill/>
            </a:ln>
          </c:spPr>
          <c:dPt>
            <c:idx val="0"/>
            <c:bubble3D val="0"/>
            <c:spPr>
              <a:solidFill>
                <a:schemeClr val="accent5"/>
              </a:solidFill>
              <a:ln w="19050">
                <a:noFill/>
              </a:ln>
              <a:effectLst/>
            </c:spPr>
            <c:extLst>
              <c:ext xmlns:c16="http://schemas.microsoft.com/office/drawing/2014/chart" uri="{C3380CC4-5D6E-409C-BE32-E72D297353CC}">
                <c16:uniqueId val="{00000001-5095-CA48-A5D1-0F0CA592F6B9}"/>
              </c:ext>
            </c:extLst>
          </c:dPt>
          <c:dPt>
            <c:idx val="1"/>
            <c:bubble3D val="0"/>
            <c:spPr>
              <a:solidFill>
                <a:srgbClr val="E3DAFF"/>
              </a:solidFill>
              <a:ln w="19050">
                <a:noFill/>
              </a:ln>
              <a:effectLst/>
            </c:spPr>
            <c:extLst>
              <c:ext xmlns:c16="http://schemas.microsoft.com/office/drawing/2014/chart" uri="{C3380CC4-5D6E-409C-BE32-E72D297353CC}">
                <c16:uniqueId val="{00000003-5095-CA48-A5D1-0F0CA592F6B9}"/>
              </c:ext>
            </c:extLst>
          </c:dPt>
          <c:dPt>
            <c:idx val="2"/>
            <c:bubble3D val="0"/>
            <c:spPr>
              <a:solidFill>
                <a:srgbClr val="00B050"/>
              </a:solidFill>
              <a:ln w="19050">
                <a:noFill/>
              </a:ln>
              <a:effectLst/>
            </c:spPr>
            <c:extLst>
              <c:ext xmlns:c16="http://schemas.microsoft.com/office/drawing/2014/chart" uri="{C3380CC4-5D6E-409C-BE32-E72D297353CC}">
                <c16:uniqueId val="{00000005-5095-CA48-A5D1-0F0CA592F6B9}"/>
              </c:ext>
            </c:extLst>
          </c:dPt>
          <c:dPt>
            <c:idx val="3"/>
            <c:bubble3D val="0"/>
            <c:spPr>
              <a:solidFill>
                <a:schemeClr val="accent4"/>
              </a:solidFill>
              <a:ln w="19050">
                <a:noFill/>
              </a:ln>
              <a:effectLst/>
            </c:spPr>
            <c:extLst>
              <c:ext xmlns:c16="http://schemas.microsoft.com/office/drawing/2014/chart" uri="{C3380CC4-5D6E-409C-BE32-E72D297353CC}">
                <c16:uniqueId val="{00000007-5095-CA48-A5D1-0F0CA592F6B9}"/>
              </c:ext>
            </c:extLst>
          </c:dPt>
          <c:dPt>
            <c:idx val="4"/>
            <c:bubble3D val="0"/>
            <c:spPr>
              <a:solidFill>
                <a:srgbClr val="FF0000"/>
              </a:solidFill>
              <a:ln w="19050">
                <a:noFill/>
              </a:ln>
              <a:effectLst/>
            </c:spPr>
            <c:extLst>
              <c:ext xmlns:c16="http://schemas.microsoft.com/office/drawing/2014/chart" uri="{C3380CC4-5D6E-409C-BE32-E72D297353CC}">
                <c16:uniqueId val="{00000009-5095-CA48-A5D1-0F0CA592F6B9}"/>
              </c:ext>
            </c:extLst>
          </c:dPt>
          <c:dPt>
            <c:idx val="5"/>
            <c:bubble3D val="0"/>
            <c:spPr>
              <a:solidFill>
                <a:srgbClr val="92D050"/>
              </a:solidFill>
              <a:ln w="19050">
                <a:noFill/>
              </a:ln>
              <a:effectLst/>
            </c:spPr>
            <c:extLst>
              <c:ext xmlns:c16="http://schemas.microsoft.com/office/drawing/2014/chart" uri="{C3380CC4-5D6E-409C-BE32-E72D297353CC}">
                <c16:uniqueId val="{0000000B-5095-CA48-A5D1-0F0CA592F6B9}"/>
              </c:ext>
            </c:extLst>
          </c:dPt>
          <c:dPt>
            <c:idx val="6"/>
            <c:bubble3D val="0"/>
            <c:spPr>
              <a:solidFill>
                <a:srgbClr val="EE57AD"/>
              </a:solidFill>
              <a:ln w="19050">
                <a:noFill/>
              </a:ln>
              <a:effectLst/>
            </c:spPr>
            <c:extLst>
              <c:ext xmlns:c16="http://schemas.microsoft.com/office/drawing/2014/chart" uri="{C3380CC4-5D6E-409C-BE32-E72D297353CC}">
                <c16:uniqueId val="{0000000D-5095-CA48-A5D1-0F0CA592F6B9}"/>
              </c:ext>
            </c:extLst>
          </c:dPt>
          <c:dPt>
            <c:idx val="7"/>
            <c:bubble3D val="0"/>
            <c:spPr>
              <a:solidFill>
                <a:schemeClr val="accent6">
                  <a:lumMod val="75000"/>
                </a:schemeClr>
              </a:solidFill>
              <a:ln w="19050">
                <a:noFill/>
              </a:ln>
              <a:effectLst/>
            </c:spPr>
            <c:extLst>
              <c:ext xmlns:c16="http://schemas.microsoft.com/office/drawing/2014/chart" uri="{C3380CC4-5D6E-409C-BE32-E72D297353CC}">
                <c16:uniqueId val="{00000011-7A7B-4DBB-B242-7ACD24EC55A1}"/>
              </c:ext>
            </c:extLst>
          </c:dPt>
          <c:dPt>
            <c:idx val="8"/>
            <c:bubble3D val="0"/>
            <c:spPr>
              <a:solidFill>
                <a:srgbClr val="00B0F0"/>
              </a:solidFill>
              <a:ln w="19050">
                <a:noFill/>
              </a:ln>
              <a:effectLst/>
            </c:spPr>
            <c:extLst>
              <c:ext xmlns:c16="http://schemas.microsoft.com/office/drawing/2014/chart" uri="{C3380CC4-5D6E-409C-BE32-E72D297353CC}">
                <c16:uniqueId val="{00000013-7A7B-4DBB-B242-7ACD24EC55A1}"/>
              </c:ext>
            </c:extLst>
          </c:dPt>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Century Gothic" panose="020B0502020202020204" pitchFamily="34" charset="0"/>
                    <a:ea typeface="Arial" charset="0"/>
                    <a:cs typeface="Arial" charset="0"/>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'Ticket Issue Client Dashboard'!$B$20:$B$33</c15:sqref>
                  </c15:fullRef>
                </c:ext>
              </c:extLst>
              <c:f>('Ticket Issue Client Dashboard'!$B$20:$B$26,'Ticket Issue Client Dashboard'!$B$28:$B$29)</c:f>
              <c:strCache>
                <c:ptCount val="9"/>
                <c:pt idx="0">
                  <c:v>FRIM</c:v>
                </c:pt>
                <c:pt idx="1">
                  <c:v>MTIB</c:v>
                </c:pt>
                <c:pt idx="2">
                  <c:v>MPOB</c:v>
                </c:pt>
                <c:pt idx="3">
                  <c:v>LKTN</c:v>
                </c:pt>
                <c:pt idx="4">
                  <c:v>LAM</c:v>
                </c:pt>
                <c:pt idx="5">
                  <c:v>ISN</c:v>
                </c:pt>
                <c:pt idx="6">
                  <c:v>MSN</c:v>
                </c:pt>
                <c:pt idx="7">
                  <c:v>KHTP (KTPC)</c:v>
                </c:pt>
                <c:pt idx="8">
                  <c:v>KUIPS (Warranty)</c:v>
                </c:pt>
              </c:strCache>
            </c:strRef>
          </c:cat>
          <c:val>
            <c:numRef>
              <c:extLst>
                <c:ext xmlns:c15="http://schemas.microsoft.com/office/drawing/2012/chart" uri="{02D57815-91ED-43cb-92C2-25804820EDAC}">
                  <c15:fullRef>
                    <c15:sqref>'Ticket Issue Client Dashboard'!$G$20:$G$33</c15:sqref>
                  </c15:fullRef>
                </c:ext>
              </c:extLst>
              <c:f>('Ticket Issue Client Dashboard'!$G$20:$G$26,'Ticket Issue Client Dashboard'!$G$28:$G$29)</c:f>
              <c:numCache>
                <c:formatCode>General</c:formatCode>
                <c:ptCount val="9"/>
                <c:pt idx="0">
                  <c:v>104</c:v>
                </c:pt>
                <c:pt idx="1">
                  <c:v>52</c:v>
                </c:pt>
                <c:pt idx="2">
                  <c:v>206</c:v>
                </c:pt>
                <c:pt idx="3">
                  <c:v>15</c:v>
                </c:pt>
                <c:pt idx="4">
                  <c:v>21</c:v>
                </c:pt>
                <c:pt idx="5">
                  <c:v>25</c:v>
                </c:pt>
                <c:pt idx="6">
                  <c:v>9</c:v>
                </c:pt>
                <c:pt idx="7">
                  <c:v>9</c:v>
                </c:pt>
                <c:pt idx="8">
                  <c:v>32</c:v>
                </c:pt>
              </c:numCache>
            </c:numRef>
          </c:val>
          <c:extLst>
            <c:ext xmlns:c15="http://schemas.microsoft.com/office/drawing/2012/chart" uri="{02D57815-91ED-43cb-92C2-25804820EDAC}">
              <c15:categoryFilterExceptions>
                <c15:categoryFilterException>
                  <c15:sqref>'Ticket Issue Client Dashboard'!$G$27</c15:sqref>
                  <c15:spPr xmlns:c15="http://schemas.microsoft.com/office/drawing/2012/chart">
                    <a:solidFill>
                      <a:schemeClr val="accent2">
                        <a:lumMod val="60000"/>
                      </a:schemeClr>
                    </a:solidFill>
                    <a:ln w="19050">
                      <a:noFill/>
                    </a:ln>
                    <a:effectLst/>
                  </c15:spPr>
                  <c15:bubble3D val="0"/>
                </c15:categoryFilterException>
                <c15:categoryFilterException>
                  <c15:sqref>'Ticket Issue Client Dashboard'!$G$30</c15:sqref>
                  <c15:spPr xmlns:c15="http://schemas.microsoft.com/office/drawing/2012/chart">
                    <a:solidFill>
                      <a:srgbClr val="C00000"/>
                    </a:solidFill>
                    <a:ln w="19050">
                      <a:noFill/>
                    </a:ln>
                    <a:effectLst/>
                  </c15:spPr>
                  <c15:bubble3D val="0"/>
                </c15:categoryFilterException>
                <c15:categoryFilterException>
                  <c15:sqref>'Ticket Issue Client Dashboard'!$G$31</c15:sqref>
                  <c15:spPr xmlns:c15="http://schemas.microsoft.com/office/drawing/2012/chart">
                    <a:solidFill>
                      <a:schemeClr val="accent2">
                        <a:lumMod val="75000"/>
                      </a:schemeClr>
                    </a:solidFill>
                    <a:ln w="19050">
                      <a:noFill/>
                    </a:ln>
                    <a:effectLst/>
                  </c15:spPr>
                  <c15:bubble3D val="0"/>
                </c15:categoryFilterException>
                <c15:categoryFilterException>
                  <c15:sqref>'Ticket Issue Client Dashboard'!$G$32</c15:sqref>
                  <c15:spPr xmlns:c15="http://schemas.microsoft.com/office/drawing/2012/chart">
                    <a:solidFill>
                      <a:schemeClr val="accent1">
                        <a:lumMod val="60000"/>
                        <a:lumOff val="40000"/>
                      </a:schemeClr>
                    </a:solidFill>
                    <a:ln w="19050">
                      <a:noFill/>
                    </a:ln>
                    <a:effectLst/>
                  </c15:spPr>
                  <c15:bubble3D val="0"/>
                </c15:categoryFilterException>
                <c15:categoryFilterException>
                  <c15:sqref>'Ticket Issue Client Dashboard'!$G$33</c15:sqref>
                  <c15:spPr xmlns:c15="http://schemas.microsoft.com/office/drawing/2012/chart">
                    <a:solidFill>
                      <a:srgbClr val="FFC000"/>
                    </a:solidFill>
                    <a:ln w="19050">
                      <a:noFill/>
                    </a:ln>
                    <a:effectLst/>
                  </c15:spPr>
                  <c15:bubble3D val="0"/>
                </c15:categoryFilterException>
              </c15:categoryFilterExceptions>
            </c:ext>
            <c:ext xmlns:c16="http://schemas.microsoft.com/office/drawing/2014/chart" uri="{C3380CC4-5D6E-409C-BE32-E72D297353CC}">
              <c16:uniqueId val="{0000001C-5095-CA48-A5D1-0F0CA592F6B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7161377821083399"/>
          <c:y val="1.9434564213956E-2"/>
          <c:w val="0.201630368946357"/>
          <c:h val="0.9805654357860440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legend>
    <c:plotVisOnly val="1"/>
    <c:dispBlanksAs val="zero"/>
    <c:showDLblsOverMax val="0"/>
  </c:chart>
  <c:spPr>
    <a:solidFill>
      <a:schemeClr val="bg1"/>
    </a:solidFill>
    <a:ln w="9525" cap="flat" cmpd="sng" algn="ctr">
      <a:noFill/>
      <a:round/>
    </a:ln>
    <a:effectLst/>
  </c:spPr>
  <c:txPr>
    <a:bodyPr/>
    <a:lstStyle/>
    <a:p>
      <a:pPr>
        <a:defRPr sz="1100">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'Ticket Issue Client Dashboard'!$H$19</c:f>
              <c:strCache>
                <c:ptCount val="1"/>
                <c:pt idx="0">
                  <c:v>1-30 DAYS</c:v>
                </c:pt>
              </c:strCache>
            </c:strRef>
          </c:tx>
          <c:spPr>
            <a:solidFill>
              <a:srgbClr val="FFC11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entury Gothic" panose="020B0502020202020204" pitchFamily="34" charset="0"/>
                    <a:ea typeface="Arial" charset="0"/>
                    <a:cs typeface="Arial"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'Ticket Issue Client Dashboard'!$B$20:$B$33</c15:sqref>
                  </c15:fullRef>
                </c:ext>
              </c:extLst>
              <c:f>('Ticket Issue Client Dashboard'!$B$20:$B$26,'Ticket Issue Client Dashboard'!$B$28:$B$29)</c:f>
              <c:strCache>
                <c:ptCount val="9"/>
                <c:pt idx="0">
                  <c:v>FRIM</c:v>
                </c:pt>
                <c:pt idx="1">
                  <c:v>MTIB</c:v>
                </c:pt>
                <c:pt idx="2">
                  <c:v>MPOB</c:v>
                </c:pt>
                <c:pt idx="3">
                  <c:v>LKTN</c:v>
                </c:pt>
                <c:pt idx="4">
                  <c:v>LAM</c:v>
                </c:pt>
                <c:pt idx="5">
                  <c:v>ISN</c:v>
                </c:pt>
                <c:pt idx="6">
                  <c:v>MSN</c:v>
                </c:pt>
                <c:pt idx="7">
                  <c:v>KHTP (KTPC)</c:v>
                </c:pt>
                <c:pt idx="8">
                  <c:v>KUIPS (Warranty)</c:v>
                </c:pt>
              </c:strCache>
            </c:strRef>
          </c:cat>
          <c:val>
            <c:numRef>
              <c:extLst>
                <c:ext xmlns:c15="http://schemas.microsoft.com/office/drawing/2012/chart" uri="{02D57815-91ED-43cb-92C2-25804820EDAC}">
                  <c15:fullRef>
                    <c15:sqref>'Ticket Issue Client Dashboard'!$H$20:$H$33</c15:sqref>
                  </c15:fullRef>
                </c:ext>
              </c:extLst>
              <c:f>('Ticket Issue Client Dashboard'!$H$20:$H$26,'Ticket Issue Client Dashboard'!$H$28:$H$29)</c:f>
              <c:numCache>
                <c:formatCode>0</c:formatCode>
                <c:ptCount val="9"/>
                <c:pt idx="0">
                  <c:v>7</c:v>
                </c:pt>
                <c:pt idx="1">
                  <c:v>2</c:v>
                </c:pt>
                <c:pt idx="2">
                  <c:v>0</c:v>
                </c:pt>
                <c:pt idx="3">
                  <c:v>2</c:v>
                </c:pt>
                <c:pt idx="4">
                  <c:v>1</c:v>
                </c:pt>
                <c:pt idx="5">
                  <c:v>6</c:v>
                </c:pt>
                <c:pt idx="6">
                  <c:v>0</c:v>
                </c:pt>
                <c:pt idx="7">
                  <c:v>0</c:v>
                </c:pt>
                <c:pt idx="8">
                  <c:v>23</c:v>
                </c:pt>
              </c:numCache>
            </c:numRef>
          </c:val>
          <c:extLst>
            <c:ext xmlns:c16="http://schemas.microsoft.com/office/drawing/2014/chart" uri="{C3380CC4-5D6E-409C-BE32-E72D297353CC}">
              <c16:uniqueId val="{00000000-7008-5045-8661-AA5DFAEDAA29}"/>
            </c:ext>
          </c:extLst>
        </c:ser>
        <c:ser>
          <c:idx val="1"/>
          <c:order val="1"/>
          <c:tx>
            <c:strRef>
              <c:f>'Ticket Issue Client Dashboard'!$I$19</c:f>
              <c:strCache>
                <c:ptCount val="1"/>
                <c:pt idx="0">
                  <c:v>31-60 DAYS</c:v>
                </c:pt>
              </c:strCache>
            </c:strRef>
          </c:tx>
          <c:spPr>
            <a:solidFill>
              <a:srgbClr val="6A3A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entury Gothic" panose="020B0502020202020204" pitchFamily="34" charset="0"/>
                    <a:ea typeface="Arial" charset="0"/>
                    <a:cs typeface="Arial"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'Ticket Issue Client Dashboard'!$B$20:$B$33</c15:sqref>
                  </c15:fullRef>
                </c:ext>
              </c:extLst>
              <c:f>('Ticket Issue Client Dashboard'!$B$20:$B$26,'Ticket Issue Client Dashboard'!$B$28:$B$29)</c:f>
              <c:strCache>
                <c:ptCount val="9"/>
                <c:pt idx="0">
                  <c:v>FRIM</c:v>
                </c:pt>
                <c:pt idx="1">
                  <c:v>MTIB</c:v>
                </c:pt>
                <c:pt idx="2">
                  <c:v>MPOB</c:v>
                </c:pt>
                <c:pt idx="3">
                  <c:v>LKTN</c:v>
                </c:pt>
                <c:pt idx="4">
                  <c:v>LAM</c:v>
                </c:pt>
                <c:pt idx="5">
                  <c:v>ISN</c:v>
                </c:pt>
                <c:pt idx="6">
                  <c:v>MSN</c:v>
                </c:pt>
                <c:pt idx="7">
                  <c:v>KHTP (KTPC)</c:v>
                </c:pt>
                <c:pt idx="8">
                  <c:v>KUIPS (Warranty)</c:v>
                </c:pt>
              </c:strCache>
            </c:strRef>
          </c:cat>
          <c:val>
            <c:numRef>
              <c:extLst>
                <c:ext xmlns:c15="http://schemas.microsoft.com/office/drawing/2012/chart" uri="{02D57815-91ED-43cb-92C2-25804820EDAC}">
                  <c15:fullRef>
                    <c15:sqref>'Ticket Issue Client Dashboard'!$I$20:$I$33</c15:sqref>
                  </c15:fullRef>
                </c:ext>
              </c:extLst>
              <c:f>('Ticket Issue Client Dashboard'!$I$20:$I$26,'Ticket Issue Client Dashboard'!$I$28:$I$29)</c:f>
              <c:numCache>
                <c:formatCode>0</c:formatCode>
                <c:ptCount val="9"/>
                <c:pt idx="0">
                  <c:v>6</c:v>
                </c:pt>
                <c:pt idx="1">
                  <c:v>6</c:v>
                </c:pt>
                <c:pt idx="2">
                  <c:v>11</c:v>
                </c:pt>
                <c:pt idx="3">
                  <c:v>2</c:v>
                </c:pt>
                <c:pt idx="4">
                  <c:v>2</c:v>
                </c:pt>
                <c:pt idx="5">
                  <c:v>1</c:v>
                </c:pt>
                <c:pt idx="6">
                  <c:v>0</c:v>
                </c:pt>
                <c:pt idx="7">
                  <c:v>0</c:v>
                </c:pt>
                <c:pt idx="8">
                  <c:v>0</c:v>
                </c:pt>
              </c:numCache>
            </c:numRef>
          </c:val>
          <c:extLst>
            <c:ext xmlns:c16="http://schemas.microsoft.com/office/drawing/2014/chart" uri="{C3380CC4-5D6E-409C-BE32-E72D297353CC}">
              <c16:uniqueId val="{00000001-7008-5045-8661-AA5DFAEDAA29}"/>
            </c:ext>
          </c:extLst>
        </c:ser>
        <c:ser>
          <c:idx val="2"/>
          <c:order val="2"/>
          <c:tx>
            <c:strRef>
              <c:f>'Ticket Issue Client Dashboard'!$J$19</c:f>
              <c:strCache>
                <c:ptCount val="1"/>
                <c:pt idx="0">
                  <c:v>&gt; 60 DAYS</c:v>
                </c:pt>
              </c:strCache>
            </c:strRef>
          </c:tx>
          <c:spPr>
            <a:solidFill>
              <a:srgbClr val="FF0000"/>
            </a:solidFill>
            <a:ln>
              <a:noFill/>
            </a:ln>
            <a:effectLst/>
          </c:spPr>
          <c:invertIfNegative val="0"/>
          <c:dLbls>
            <c:dLbl>
              <c:idx val="0"/>
              <c:tx>
                <c:rich>
                  <a:bodyPr/>
                  <a:lstStyle/>
                  <a:p>
                    <a:endParaRPr lang="en-US" baseline="0"/>
                  </a:p>
                  <a:p>
                    <a:fld id="{80E2941B-D57D-4B01-85BB-ACC36A8B785B}" type="VALUE">
                      <a:rPr lang="en-US" baseline="0"/>
                      <a:pPr/>
                      <a:t>[VALUE]</a:t>
                    </a:fld>
                    <a:endParaRPr lang="en-GB"/>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4554-4B23-B5ED-30A38758F7C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entury Gothic" panose="020B0502020202020204" pitchFamily="34" charset="0"/>
                    <a:ea typeface="Arial" charset="0"/>
                    <a:cs typeface="Arial"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extLst>
                <c:ext xmlns:c15="http://schemas.microsoft.com/office/drawing/2012/chart" uri="{02D57815-91ED-43cb-92C2-25804820EDAC}">
                  <c15:fullRef>
                    <c15:sqref>'Ticket Issue Client Dashboard'!$B$20:$B$33</c15:sqref>
                  </c15:fullRef>
                </c:ext>
              </c:extLst>
              <c:f>('Ticket Issue Client Dashboard'!$B$20:$B$26,'Ticket Issue Client Dashboard'!$B$28:$B$29)</c:f>
              <c:strCache>
                <c:ptCount val="9"/>
                <c:pt idx="0">
                  <c:v>FRIM</c:v>
                </c:pt>
                <c:pt idx="1">
                  <c:v>MTIB</c:v>
                </c:pt>
                <c:pt idx="2">
                  <c:v>MPOB</c:v>
                </c:pt>
                <c:pt idx="3">
                  <c:v>LKTN</c:v>
                </c:pt>
                <c:pt idx="4">
                  <c:v>LAM</c:v>
                </c:pt>
                <c:pt idx="5">
                  <c:v>ISN</c:v>
                </c:pt>
                <c:pt idx="6">
                  <c:v>MSN</c:v>
                </c:pt>
                <c:pt idx="7">
                  <c:v>KHTP (KTPC)</c:v>
                </c:pt>
                <c:pt idx="8">
                  <c:v>KUIPS (Warranty)</c:v>
                </c:pt>
              </c:strCache>
            </c:strRef>
          </c:cat>
          <c:val>
            <c:numRef>
              <c:extLst>
                <c:ext xmlns:c15="http://schemas.microsoft.com/office/drawing/2012/chart" uri="{02D57815-91ED-43cb-92C2-25804820EDAC}">
                  <c15:fullRef>
                    <c15:sqref>'Ticket Issue Client Dashboard'!$J$20:$J$33</c15:sqref>
                  </c15:fullRef>
                </c:ext>
              </c:extLst>
              <c:f>('Ticket Issue Client Dashboard'!$J$20:$J$26,'Ticket Issue Client Dashboard'!$J$28:$J$29)</c:f>
              <c:numCache>
                <c:formatCode>0</c:formatCode>
                <c:ptCount val="9"/>
                <c:pt idx="0">
                  <c:v>17</c:v>
                </c:pt>
                <c:pt idx="1">
                  <c:v>7</c:v>
                </c:pt>
                <c:pt idx="2">
                  <c:v>26</c:v>
                </c:pt>
                <c:pt idx="3">
                  <c:v>0</c:v>
                </c:pt>
                <c:pt idx="4">
                  <c:v>1</c:v>
                </c:pt>
                <c:pt idx="5">
                  <c:v>2</c:v>
                </c:pt>
                <c:pt idx="6">
                  <c:v>3</c:v>
                </c:pt>
                <c:pt idx="7">
                  <c:v>0</c:v>
                </c:pt>
                <c:pt idx="8">
                  <c:v>0</c:v>
                </c:pt>
              </c:numCache>
            </c:numRef>
          </c:val>
          <c:extLst>
            <c:ext xmlns:c16="http://schemas.microsoft.com/office/drawing/2014/chart" uri="{C3380CC4-5D6E-409C-BE32-E72D297353CC}">
              <c16:uniqueId val="{00000002-7008-5045-8661-AA5DFAEDAA29}"/>
            </c:ext>
          </c:extLst>
        </c:ser>
        <c:dLbls>
          <c:showLegendKey val="0"/>
          <c:showVal val="0"/>
          <c:showCatName val="0"/>
          <c:showSerName val="0"/>
          <c:showPercent val="0"/>
          <c:showBubbleSize val="0"/>
        </c:dLbls>
        <c:gapWidth val="219"/>
        <c:axId val="2125951816"/>
        <c:axId val="2125891320"/>
      </c:barChart>
      <c:catAx>
        <c:axId val="2125951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25891320"/>
        <c:crosses val="autoZero"/>
        <c:auto val="1"/>
        <c:lblAlgn val="ctr"/>
        <c:lblOffset val="100"/>
        <c:noMultiLvlLbl val="0"/>
      </c:catAx>
      <c:valAx>
        <c:axId val="2125891320"/>
        <c:scaling>
          <c:orientation val="minMax"/>
          <c:max val="10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2595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r>
              <a:rPr lang="en-US"/>
              <a:t>SLA EXCEED</a:t>
            </a:r>
            <a:r>
              <a:rPr lang="en-US" baseline="0"/>
              <a:t> TOTAL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endParaRPr lang="en-US"/>
        </a:p>
      </c:txPr>
    </c:title>
    <c:autoTitleDeleted val="0"/>
    <c:plotArea>
      <c:layout/>
      <c:barChart>
        <c:barDir val="bar"/>
        <c:grouping val="clustered"/>
        <c:varyColors val="0"/>
        <c:ser>
          <c:idx val="1"/>
          <c:order val="0"/>
          <c:spPr>
            <a:solidFill>
              <a:schemeClr val="accent2"/>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477D-AF45-B6B0-14854788928A}"/>
              </c:ext>
            </c:extLst>
          </c:dPt>
          <c:dPt>
            <c:idx val="1"/>
            <c:invertIfNegative val="0"/>
            <c:bubble3D val="0"/>
            <c:spPr>
              <a:solidFill>
                <a:srgbClr val="6A3AFF"/>
              </a:solidFill>
              <a:ln>
                <a:noFill/>
              </a:ln>
              <a:effectLst/>
            </c:spPr>
            <c:extLst>
              <c:ext xmlns:c16="http://schemas.microsoft.com/office/drawing/2014/chart" uri="{C3380CC4-5D6E-409C-BE32-E72D297353CC}">
                <c16:uniqueId val="{00000003-477D-AF45-B6B0-14854788928A}"/>
              </c:ext>
            </c:extLst>
          </c:dPt>
          <c:dPt>
            <c:idx val="2"/>
            <c:invertIfNegative val="0"/>
            <c:bubble3D val="0"/>
            <c:spPr>
              <a:solidFill>
                <a:srgbClr val="FF0000"/>
              </a:solidFill>
              <a:ln>
                <a:noFill/>
              </a:ln>
              <a:effectLst/>
            </c:spPr>
            <c:extLst>
              <c:ext xmlns:c16="http://schemas.microsoft.com/office/drawing/2014/chart" uri="{C3380CC4-5D6E-409C-BE32-E72D297353CC}">
                <c16:uniqueId val="{00000005-477D-AF45-B6B0-14854788928A}"/>
              </c:ext>
            </c:extLst>
          </c:dPt>
          <c:cat>
            <c:strRef>
              <c:f>'Ticket Issue Client Dashboard'!$H$19:$J$19</c:f>
              <c:strCache>
                <c:ptCount val="3"/>
                <c:pt idx="0">
                  <c:v>1-30 DAYS</c:v>
                </c:pt>
                <c:pt idx="1">
                  <c:v>31-60 DAYS</c:v>
                </c:pt>
                <c:pt idx="2">
                  <c:v>&gt; 60 DAYS</c:v>
                </c:pt>
              </c:strCache>
            </c:strRef>
          </c:cat>
          <c:val>
            <c:numRef>
              <c:f>'Ticket Issue Client Dashboard'!$H$34:$J$34</c:f>
              <c:numCache>
                <c:formatCode>0</c:formatCode>
                <c:ptCount val="3"/>
                <c:pt idx="0">
                  <c:v>41</c:v>
                </c:pt>
                <c:pt idx="1">
                  <c:v>28</c:v>
                </c:pt>
                <c:pt idx="2">
                  <c:v>56</c:v>
                </c:pt>
              </c:numCache>
            </c:numRef>
          </c:val>
          <c:extLst>
            <c:ext xmlns:c16="http://schemas.microsoft.com/office/drawing/2014/chart" uri="{C3380CC4-5D6E-409C-BE32-E72D297353CC}">
              <c16:uniqueId val="{00000006-477D-AF45-B6B0-14854788928A}"/>
            </c:ext>
          </c:extLst>
        </c:ser>
        <c:ser>
          <c:idx val="0"/>
          <c:order val="1"/>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8-477D-AF45-B6B0-14854788928A}"/>
              </c:ext>
            </c:extLst>
          </c:dPt>
          <c:dPt>
            <c:idx val="1"/>
            <c:invertIfNegative val="0"/>
            <c:bubble3D val="0"/>
            <c:spPr>
              <a:solidFill>
                <a:srgbClr val="6A3AFF"/>
              </a:solidFill>
              <a:ln>
                <a:noFill/>
              </a:ln>
              <a:effectLst/>
            </c:spPr>
            <c:extLst>
              <c:ext xmlns:c16="http://schemas.microsoft.com/office/drawing/2014/chart" uri="{C3380CC4-5D6E-409C-BE32-E72D297353CC}">
                <c16:uniqueId val="{0000000A-477D-AF45-B6B0-14854788928A}"/>
              </c:ext>
            </c:extLst>
          </c:dPt>
          <c:dPt>
            <c:idx val="2"/>
            <c:invertIfNegative val="0"/>
            <c:bubble3D val="0"/>
            <c:spPr>
              <a:solidFill>
                <a:srgbClr val="FF0000"/>
              </a:solidFill>
              <a:ln>
                <a:noFill/>
              </a:ln>
              <a:effectLst/>
            </c:spPr>
            <c:extLst>
              <c:ext xmlns:c16="http://schemas.microsoft.com/office/drawing/2014/chart" uri="{C3380CC4-5D6E-409C-BE32-E72D297353CC}">
                <c16:uniqueId val="{0000000C-477D-AF45-B6B0-14854788928A}"/>
              </c:ext>
            </c:extLst>
          </c:dPt>
          <c:dLbls>
            <c:spPr>
              <a:noFill/>
              <a:ln>
                <a:noFill/>
              </a:ln>
              <a:effectLst/>
            </c:spPr>
            <c:txPr>
              <a:bodyPr rot="0" spcFirstLastPara="1" vertOverflow="ellipsis" vert="horz" wrap="square" anchor="ctr" anchorCtr="1"/>
              <a:lstStyle/>
              <a:p>
                <a:pPr>
                  <a:defRPr sz="900" b="1" i="0" u="none" strike="noStrike" kern="1200" baseline="0">
                    <a:solidFill>
                      <a:srgbClr val="FFDCE4"/>
                    </a:solidFill>
                    <a:latin typeface="Century Gothic" panose="020B0502020202020204" pitchFamily="34" charset="0"/>
                    <a:ea typeface="Arial" charset="0"/>
                    <a:cs typeface="Arial"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'Ticket Issue Client Dashboard'!$H$19:$J$19</c:f>
              <c:strCache>
                <c:ptCount val="3"/>
                <c:pt idx="0">
                  <c:v>1-30 DAYS</c:v>
                </c:pt>
                <c:pt idx="1">
                  <c:v>31-60 DAYS</c:v>
                </c:pt>
                <c:pt idx="2">
                  <c:v>&gt; 60 DAYS</c:v>
                </c:pt>
              </c:strCache>
            </c:strRef>
          </c:cat>
          <c:val>
            <c:numRef>
              <c:f>'Ticket Issue Client Dashboard'!$H$34:$J$34</c:f>
              <c:numCache>
                <c:formatCode>0</c:formatCode>
                <c:ptCount val="3"/>
                <c:pt idx="0">
                  <c:v>41</c:v>
                </c:pt>
                <c:pt idx="1">
                  <c:v>28</c:v>
                </c:pt>
                <c:pt idx="2">
                  <c:v>56</c:v>
                </c:pt>
              </c:numCache>
            </c:numRef>
          </c:val>
          <c:extLst>
            <c:ext xmlns:c16="http://schemas.microsoft.com/office/drawing/2014/chart" uri="{C3380CC4-5D6E-409C-BE32-E72D297353CC}">
              <c16:uniqueId val="{0000000D-477D-AF45-B6B0-14854788928A}"/>
            </c:ext>
          </c:extLst>
        </c:ser>
        <c:dLbls>
          <c:showLegendKey val="0"/>
          <c:showVal val="0"/>
          <c:showCatName val="0"/>
          <c:showSerName val="0"/>
          <c:showPercent val="0"/>
          <c:showBubbleSize val="0"/>
        </c:dLbls>
        <c:gapWidth val="50"/>
        <c:axId val="2125899112"/>
        <c:axId val="-2102169416"/>
      </c:barChart>
      <c:catAx>
        <c:axId val="2125899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02169416"/>
        <c:crosses val="autoZero"/>
        <c:auto val="1"/>
        <c:lblAlgn val="ctr"/>
        <c:lblOffset val="100"/>
        <c:noMultiLvlLbl val="0"/>
      </c:catAx>
      <c:valAx>
        <c:axId val="-2102169416"/>
        <c:scaling>
          <c:orientation val="minMax"/>
          <c:max val="100"/>
          <c:min val="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25899112"/>
        <c:crosses val="autoZero"/>
        <c:crossBetween val="between"/>
        <c:majorUnit val="5"/>
        <c:min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OPEN ISSUES</c:v>
          </c:tx>
          <c:spPr>
            <a:solidFill>
              <a:srgbClr val="92D050"/>
            </a:solid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'Ticket Issue Client Dashboard'!$B$20:$B$33</c15:sqref>
                  </c15:fullRef>
                </c:ext>
              </c:extLst>
              <c:f>('Ticket Issue Client Dashboard'!$B$20:$B$26,'Ticket Issue Client Dashboard'!$B$28:$B$29)</c:f>
              <c:strCache>
                <c:ptCount val="9"/>
                <c:pt idx="0">
                  <c:v>FRIM</c:v>
                </c:pt>
                <c:pt idx="1">
                  <c:v>MTIB</c:v>
                </c:pt>
                <c:pt idx="2">
                  <c:v>MPOB</c:v>
                </c:pt>
                <c:pt idx="3">
                  <c:v>LKTN</c:v>
                </c:pt>
                <c:pt idx="4">
                  <c:v>LAM</c:v>
                </c:pt>
                <c:pt idx="5">
                  <c:v>ISN</c:v>
                </c:pt>
                <c:pt idx="6">
                  <c:v>MSN</c:v>
                </c:pt>
                <c:pt idx="7">
                  <c:v>KHTP (KTPC)</c:v>
                </c:pt>
                <c:pt idx="8">
                  <c:v>KUIPS (Warranty)</c:v>
                </c:pt>
              </c:strCache>
            </c:strRef>
          </c:cat>
          <c:val>
            <c:numRef>
              <c:extLst>
                <c:ext xmlns:c15="http://schemas.microsoft.com/office/drawing/2012/chart" uri="{02D57815-91ED-43cb-92C2-25804820EDAC}">
                  <c15:fullRef>
                    <c15:sqref>'Ticket Issue Client Dashboard'!$K$20:$K$33</c15:sqref>
                  </c15:fullRef>
                </c:ext>
              </c:extLst>
              <c:f>('Ticket Issue Client Dashboard'!$K$20:$K$26,'Ticket Issue Client Dashboard'!$K$28:$K$29)</c:f>
              <c:numCache>
                <c:formatCode>0</c:formatCode>
                <c:ptCount val="9"/>
                <c:pt idx="0">
                  <c:v>0</c:v>
                </c:pt>
                <c:pt idx="1">
                  <c:v>1</c:v>
                </c:pt>
                <c:pt idx="2">
                  <c:v>9</c:v>
                </c:pt>
                <c:pt idx="3">
                  <c:v>0</c:v>
                </c:pt>
                <c:pt idx="4">
                  <c:v>0</c:v>
                </c:pt>
                <c:pt idx="5">
                  <c:v>2</c:v>
                </c:pt>
                <c:pt idx="6">
                  <c:v>1</c:v>
                </c:pt>
                <c:pt idx="7">
                  <c:v>0</c:v>
                </c:pt>
                <c:pt idx="8">
                  <c:v>0</c:v>
                </c:pt>
              </c:numCache>
            </c:numRef>
          </c:val>
          <c:extLst>
            <c:ext xmlns:c16="http://schemas.microsoft.com/office/drawing/2014/chart" uri="{C3380CC4-5D6E-409C-BE32-E72D297353CC}">
              <c16:uniqueId val="{00000000-81F1-418B-ADA7-EC0587B6059A}"/>
            </c:ext>
          </c:extLst>
        </c:ser>
        <c:ser>
          <c:idx val="1"/>
          <c:order val="1"/>
          <c:tx>
            <c:v>PENDING</c:v>
          </c:tx>
          <c:spPr>
            <a:solidFill>
              <a:srgbClr val="FF0000"/>
            </a:solid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'Ticket Issue Client Dashboard'!$B$20:$B$33</c15:sqref>
                  </c15:fullRef>
                </c:ext>
              </c:extLst>
              <c:f>('Ticket Issue Client Dashboard'!$B$20:$B$26,'Ticket Issue Client Dashboard'!$B$28:$B$29)</c:f>
              <c:strCache>
                <c:ptCount val="9"/>
                <c:pt idx="0">
                  <c:v>FRIM</c:v>
                </c:pt>
                <c:pt idx="1">
                  <c:v>MTIB</c:v>
                </c:pt>
                <c:pt idx="2">
                  <c:v>MPOB</c:v>
                </c:pt>
                <c:pt idx="3">
                  <c:v>LKTN</c:v>
                </c:pt>
                <c:pt idx="4">
                  <c:v>LAM</c:v>
                </c:pt>
                <c:pt idx="5">
                  <c:v>ISN</c:v>
                </c:pt>
                <c:pt idx="6">
                  <c:v>MSN</c:v>
                </c:pt>
                <c:pt idx="7">
                  <c:v>KHTP (KTPC)</c:v>
                </c:pt>
                <c:pt idx="8">
                  <c:v>KUIPS (Warranty)</c:v>
                </c:pt>
              </c:strCache>
            </c:strRef>
          </c:cat>
          <c:val>
            <c:numRef>
              <c:extLst>
                <c:ext xmlns:c15="http://schemas.microsoft.com/office/drawing/2012/chart" uri="{02D57815-91ED-43cb-92C2-25804820EDAC}">
                  <c15:fullRef>
                    <c15:sqref>'Ticket Issue Client Dashboard'!$L$20:$L$33</c15:sqref>
                  </c15:fullRef>
                </c:ext>
              </c:extLst>
              <c:f>('Ticket Issue Client Dashboard'!$L$20:$L$26,'Ticket Issue Client Dashboard'!$L$28:$L$29)</c:f>
              <c:numCache>
                <c:formatCode>0</c:formatCode>
                <c:ptCount val="9"/>
                <c:pt idx="0">
                  <c:v>30</c:v>
                </c:pt>
                <c:pt idx="1">
                  <c:v>15</c:v>
                </c:pt>
                <c:pt idx="2">
                  <c:v>29</c:v>
                </c:pt>
                <c:pt idx="3">
                  <c:v>4</c:v>
                </c:pt>
                <c:pt idx="4">
                  <c:v>4</c:v>
                </c:pt>
                <c:pt idx="5">
                  <c:v>7</c:v>
                </c:pt>
                <c:pt idx="6">
                  <c:v>2</c:v>
                </c:pt>
                <c:pt idx="7">
                  <c:v>0</c:v>
                </c:pt>
                <c:pt idx="8">
                  <c:v>23</c:v>
                </c:pt>
              </c:numCache>
            </c:numRef>
          </c:val>
          <c:extLst>
            <c:ext xmlns:c16="http://schemas.microsoft.com/office/drawing/2014/chart" uri="{C3380CC4-5D6E-409C-BE32-E72D297353CC}">
              <c16:uniqueId val="{00000001-81F1-418B-ADA7-EC0587B6059A}"/>
            </c:ext>
          </c:extLst>
        </c:ser>
        <c:ser>
          <c:idx val="3"/>
          <c:order val="3"/>
          <c:tx>
            <c:strRef>
              <c:f>'Ticket Issue Client Dashboard'!$M$18:$M$19</c:f>
              <c:strCache>
                <c:ptCount val="2"/>
                <c:pt idx="0">
                  <c:v>COMPLETED / CLOSED</c:v>
                </c:pt>
              </c:strCache>
            </c:strRef>
          </c:tx>
          <c:spPr>
            <a:solidFill>
              <a:srgbClr val="FFFF00"/>
            </a:solidFill>
            <a:ln>
              <a:noFill/>
            </a:ln>
            <a:effectLst>
              <a:innerShdw blurRad="114300">
                <a:schemeClr val="accent4"/>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'Ticket Issue Client Dashboard'!$B$20:$B$33</c15:sqref>
                  </c15:fullRef>
                </c:ext>
              </c:extLst>
              <c:f>('Ticket Issue Client Dashboard'!$B$20:$B$26,'Ticket Issue Client Dashboard'!$B$28:$B$29)</c:f>
              <c:strCache>
                <c:ptCount val="9"/>
                <c:pt idx="0">
                  <c:v>FRIM</c:v>
                </c:pt>
                <c:pt idx="1">
                  <c:v>MTIB</c:v>
                </c:pt>
                <c:pt idx="2">
                  <c:v>MPOB</c:v>
                </c:pt>
                <c:pt idx="3">
                  <c:v>LKTN</c:v>
                </c:pt>
                <c:pt idx="4">
                  <c:v>LAM</c:v>
                </c:pt>
                <c:pt idx="5">
                  <c:v>ISN</c:v>
                </c:pt>
                <c:pt idx="6">
                  <c:v>MSN</c:v>
                </c:pt>
                <c:pt idx="7">
                  <c:v>KHTP (KTPC)</c:v>
                </c:pt>
                <c:pt idx="8">
                  <c:v>KUIPS (Warranty)</c:v>
                </c:pt>
              </c:strCache>
            </c:strRef>
          </c:cat>
          <c:val>
            <c:numRef>
              <c:extLst>
                <c:ext xmlns:c15="http://schemas.microsoft.com/office/drawing/2012/chart" uri="{02D57815-91ED-43cb-92C2-25804820EDAC}">
                  <c15:fullRef>
                    <c15:sqref>'Ticket Issue Client Dashboard'!$M$20:$M$33</c15:sqref>
                  </c15:fullRef>
                </c:ext>
              </c:extLst>
              <c:f>('Ticket Issue Client Dashboard'!$M$20:$M$26,'Ticket Issue Client Dashboard'!$M$28:$M$29)</c:f>
              <c:numCache>
                <c:formatCode>0</c:formatCode>
                <c:ptCount val="9"/>
                <c:pt idx="0">
                  <c:v>74</c:v>
                </c:pt>
                <c:pt idx="1">
                  <c:v>36</c:v>
                </c:pt>
                <c:pt idx="2">
                  <c:v>168</c:v>
                </c:pt>
                <c:pt idx="3">
                  <c:v>11</c:v>
                </c:pt>
                <c:pt idx="4">
                  <c:v>17</c:v>
                </c:pt>
                <c:pt idx="5">
                  <c:v>16</c:v>
                </c:pt>
                <c:pt idx="6">
                  <c:v>6</c:v>
                </c:pt>
                <c:pt idx="7">
                  <c:v>9</c:v>
                </c:pt>
                <c:pt idx="8">
                  <c:v>9</c:v>
                </c:pt>
              </c:numCache>
            </c:numRef>
          </c:val>
          <c:extLst>
            <c:ext xmlns:c16="http://schemas.microsoft.com/office/drawing/2014/chart" uri="{C3380CC4-5D6E-409C-BE32-E72D297353CC}">
              <c16:uniqueId val="{00000002-81F1-418B-ADA7-EC0587B6059A}"/>
            </c:ext>
          </c:extLst>
        </c:ser>
        <c:dLbls>
          <c:dLblPos val="outEnd"/>
          <c:showLegendKey val="0"/>
          <c:showVal val="1"/>
          <c:showCatName val="0"/>
          <c:showSerName val="0"/>
          <c:showPercent val="0"/>
          <c:showBubbleSize val="0"/>
        </c:dLbls>
        <c:gapWidth val="164"/>
        <c:overlap val="-22"/>
        <c:axId val="-2101824104"/>
        <c:axId val="-2102104328"/>
        <c:extLst>
          <c:ext xmlns:c15="http://schemas.microsoft.com/office/drawing/2012/chart" uri="{02D57815-91ED-43cb-92C2-25804820EDAC}">
            <c15:filteredBarSeries>
              <c15:ser>
                <c:idx val="2"/>
                <c:order val="2"/>
                <c:tx>
                  <c:v>PENDING ACTIONS</c:v>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a:solidFill>
                              <a:schemeClr val="tx1">
                                <a:lumMod val="35000"/>
                                <a:lumOff val="65000"/>
                              </a:schemeClr>
                            </a:solidFill>
                          </a:ln>
                          <a:effectLst/>
                        </c:spPr>
                      </c15:leaderLines>
                    </c:ext>
                  </c:extLst>
                </c:dLbls>
                <c:cat>
                  <c:strRef>
                    <c:extLst>
                      <c:ext uri="{02D57815-91ED-43cb-92C2-25804820EDAC}">
                        <c15:fullRef>
                          <c15:sqref>'Ticket Issue Client Dashboard'!$B$20:$B$33</c15:sqref>
                        </c15:fullRef>
                        <c15:formulaRef>
                          <c15:sqref>('Ticket Issue Client Dashboard'!$B$20:$B$26,'Ticket Issue Client Dashboard'!$B$28:$B$29)</c15:sqref>
                        </c15:formulaRef>
                      </c:ext>
                    </c:extLst>
                    <c:strCache>
                      <c:ptCount val="9"/>
                      <c:pt idx="0">
                        <c:v>FRIM</c:v>
                      </c:pt>
                      <c:pt idx="1">
                        <c:v>MTIB</c:v>
                      </c:pt>
                      <c:pt idx="2">
                        <c:v>MPOB</c:v>
                      </c:pt>
                      <c:pt idx="3">
                        <c:v>LKTN</c:v>
                      </c:pt>
                      <c:pt idx="4">
                        <c:v>LAM</c:v>
                      </c:pt>
                      <c:pt idx="5">
                        <c:v>ISN</c:v>
                      </c:pt>
                      <c:pt idx="6">
                        <c:v>MSN</c:v>
                      </c:pt>
                      <c:pt idx="7">
                        <c:v>KHTP (KTPC)</c:v>
                      </c:pt>
                      <c:pt idx="8">
                        <c:v>KUIPS (Warranty)</c:v>
                      </c:pt>
                    </c:strCache>
                  </c:strRef>
                </c:cat>
                <c:val>
                  <c:numRef>
                    <c:extLst>
                      <c:ext uri="{02D57815-91ED-43cb-92C2-25804820EDAC}">
                        <c15:fullRef>
                          <c15:sqref>'Ticket Issue Client Dashboard'!$M$20:$M$33</c15:sqref>
                        </c15:fullRef>
                        <c15:formulaRef>
                          <c15:sqref>('Ticket Issue Client Dashboard'!$M$20:$M$26,'Ticket Issue Client Dashboard'!$M$28:$M$29)</c15:sqref>
                        </c15:formulaRef>
                      </c:ext>
                    </c:extLst>
                    <c:numCache>
                      <c:formatCode>0</c:formatCode>
                      <c:ptCount val="9"/>
                      <c:pt idx="0">
                        <c:v>74</c:v>
                      </c:pt>
                      <c:pt idx="1">
                        <c:v>36</c:v>
                      </c:pt>
                      <c:pt idx="2">
                        <c:v>168</c:v>
                      </c:pt>
                      <c:pt idx="3">
                        <c:v>11</c:v>
                      </c:pt>
                      <c:pt idx="4">
                        <c:v>17</c:v>
                      </c:pt>
                      <c:pt idx="5">
                        <c:v>16</c:v>
                      </c:pt>
                      <c:pt idx="6">
                        <c:v>6</c:v>
                      </c:pt>
                      <c:pt idx="7">
                        <c:v>9</c:v>
                      </c:pt>
                      <c:pt idx="8">
                        <c:v>9</c:v>
                      </c:pt>
                    </c:numCache>
                  </c:numRef>
                </c:val>
                <c:extLst>
                  <c:ext xmlns:c16="http://schemas.microsoft.com/office/drawing/2014/chart" uri="{C3380CC4-5D6E-409C-BE32-E72D297353CC}">
                    <c16:uniqueId val="{00000003-81F1-418B-ADA7-EC0587B6059A}"/>
                  </c:ext>
                </c:extLst>
              </c15:ser>
            </c15:filteredBarSeries>
          </c:ext>
        </c:extLst>
      </c:barChart>
      <c:catAx>
        <c:axId val="-210182410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104328"/>
        <c:crosses val="autoZero"/>
        <c:auto val="1"/>
        <c:lblAlgn val="ctr"/>
        <c:lblOffset val="100"/>
        <c:noMultiLvlLbl val="0"/>
      </c:catAx>
      <c:valAx>
        <c:axId val="-2102104328"/>
        <c:scaling>
          <c:orientation val="minMax"/>
          <c:max val="300"/>
          <c:min val="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824104"/>
        <c:crosses val="autoZero"/>
        <c:crossBetween val="between"/>
        <c:majorUnit val="10"/>
        <c:minorUnit val="5"/>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r>
              <a:rPr lang="en-US"/>
              <a:t>ACTION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endParaRPr lang="en-US"/>
        </a:p>
      </c:txPr>
    </c:title>
    <c:autoTitleDeleted val="0"/>
    <c:plotArea>
      <c:layout>
        <c:manualLayout>
          <c:layoutTarget val="inner"/>
          <c:xMode val="edge"/>
          <c:yMode val="edge"/>
          <c:x val="0.13180188630694201"/>
          <c:y val="0.222382584529875"/>
          <c:w val="0.84044351906067205"/>
          <c:h val="0.64364705882352902"/>
        </c:manualLayout>
      </c:layout>
      <c:barChart>
        <c:barDir val="bar"/>
        <c:grouping val="clustered"/>
        <c:varyColors val="0"/>
        <c:ser>
          <c:idx val="1"/>
          <c:order val="1"/>
          <c:tx>
            <c:strRef>
              <c:f>'Ticket Issue Client Dashboard'!$K$19</c:f>
              <c:strCache>
                <c:ptCount val="1"/>
                <c:pt idx="0">
                  <c:v>INPROGRESS</c:v>
                </c:pt>
              </c:strCache>
            </c:strRef>
          </c:tx>
          <c:spPr>
            <a:solidFill>
              <a:srgbClr val="92D050"/>
            </a:solidFill>
            <a:ln>
              <a:noFill/>
            </a:ln>
            <a:effectLst/>
          </c:spPr>
          <c:invertIfNegative val="0"/>
          <c:cat>
            <c:strRef>
              <c:extLst>
                <c:ext xmlns:c15="http://schemas.microsoft.com/office/drawing/2012/chart" uri="{02D57815-91ED-43cb-92C2-25804820EDAC}">
                  <c15:fullRef>
                    <c15:sqref>'Ticket Issue Client Dashboard'!$K$19</c15:sqref>
                  </c15:fullRef>
                </c:ext>
              </c:extLst>
              <c:f>'Ticket Issue Client Dashboard'!$K$19</c:f>
              <c:strCache>
                <c:ptCount val="1"/>
                <c:pt idx="0">
                  <c:v>INPROGRESS</c:v>
                </c:pt>
              </c:strCache>
            </c:strRef>
          </c:cat>
          <c:val>
            <c:numRef>
              <c:extLst>
                <c:ext xmlns:c15="http://schemas.microsoft.com/office/drawing/2012/chart" uri="{02D57815-91ED-43cb-92C2-25804820EDAC}">
                  <c15:fullRef>
                    <c15:sqref>'Ticket Issue Client Dashboard'!$K$34</c15:sqref>
                  </c15:fullRef>
                </c:ext>
              </c:extLst>
              <c:f>'Ticket Issue Client Dashboard'!$K$34</c:f>
              <c:numCache>
                <c:formatCode>0</c:formatCode>
                <c:ptCount val="1"/>
                <c:pt idx="0">
                  <c:v>13</c:v>
                </c:pt>
              </c:numCache>
            </c:numRef>
          </c:val>
          <c:extLst>
            <c:ext xmlns:c16="http://schemas.microsoft.com/office/drawing/2014/chart" uri="{C3380CC4-5D6E-409C-BE32-E72D297353CC}">
              <c16:uniqueId val="{00000000-2D8A-49FF-BC91-4131459FD81A}"/>
            </c:ext>
          </c:extLst>
        </c:ser>
        <c:ser>
          <c:idx val="2"/>
          <c:order val="2"/>
          <c:tx>
            <c:strRef>
              <c:f>'Ticket Issue Client Dashboard'!$L$19</c:f>
              <c:strCache>
                <c:ptCount val="1"/>
                <c:pt idx="0">
                  <c:v>PENDING</c:v>
                </c:pt>
              </c:strCache>
            </c:strRef>
          </c:tx>
          <c:spPr>
            <a:solidFill>
              <a:srgbClr val="FF0000"/>
            </a:solidFill>
            <a:ln>
              <a:noFill/>
            </a:ln>
            <a:effectLst/>
          </c:spPr>
          <c:invertIfNegative val="0"/>
          <c:cat>
            <c:strRef>
              <c:extLst>
                <c:ext xmlns:c15="http://schemas.microsoft.com/office/drawing/2012/chart" uri="{02D57815-91ED-43cb-92C2-25804820EDAC}">
                  <c15:fullRef>
                    <c15:sqref>'Ticket Issue Client Dashboard'!$K$19</c15:sqref>
                  </c15:fullRef>
                </c:ext>
              </c:extLst>
              <c:f>'Ticket Issue Client Dashboard'!$K$19</c:f>
              <c:strCache>
                <c:ptCount val="1"/>
                <c:pt idx="0">
                  <c:v>INPROGRESS</c:v>
                </c:pt>
              </c:strCache>
            </c:strRef>
          </c:cat>
          <c:val>
            <c:numRef>
              <c:extLst>
                <c:ext xmlns:c15="http://schemas.microsoft.com/office/drawing/2012/chart" uri="{02D57815-91ED-43cb-92C2-25804820EDAC}">
                  <c15:fullRef>
                    <c15:sqref>'Ticket Issue Client Dashboard'!$L$34</c15:sqref>
                  </c15:fullRef>
                </c:ext>
              </c:extLst>
              <c:f>'Ticket Issue Client Dashboard'!$L$34</c:f>
              <c:numCache>
                <c:formatCode>0</c:formatCode>
                <c:ptCount val="1"/>
                <c:pt idx="0">
                  <c:v>114</c:v>
                </c:pt>
              </c:numCache>
            </c:numRef>
          </c:val>
          <c:extLst>
            <c:ext xmlns:c16="http://schemas.microsoft.com/office/drawing/2014/chart" uri="{C3380CC4-5D6E-409C-BE32-E72D297353CC}">
              <c16:uniqueId val="{00000001-2D8A-49FF-BC91-4131459FD81A}"/>
            </c:ext>
          </c:extLst>
        </c:ser>
        <c:ser>
          <c:idx val="3"/>
          <c:order val="3"/>
          <c:tx>
            <c:strRef>
              <c:f>'Ticket Issue Client Dashboard'!$M$18:$M$19</c:f>
              <c:strCache>
                <c:ptCount val="1"/>
                <c:pt idx="0">
                  <c:v>COMPLETED / CLOSED</c:v>
                </c:pt>
              </c:strCache>
            </c:strRef>
          </c:tx>
          <c:spPr>
            <a:solidFill>
              <a:srgbClr val="FFC000"/>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6-89AC-4F17-B82E-E4F036CCED91}"/>
              </c:ext>
            </c:extLst>
          </c:dPt>
          <c:cat>
            <c:strRef>
              <c:extLst>
                <c:ext xmlns:c15="http://schemas.microsoft.com/office/drawing/2012/chart" uri="{02D57815-91ED-43cb-92C2-25804820EDAC}">
                  <c15:fullRef>
                    <c15:sqref>'Ticket Issue Client Dashboard'!$K$19</c15:sqref>
                  </c15:fullRef>
                </c:ext>
              </c:extLst>
              <c:f>'Ticket Issue Client Dashboard'!$K$19</c:f>
              <c:strCache>
                <c:ptCount val="1"/>
                <c:pt idx="0">
                  <c:v>INPROGRESS</c:v>
                </c:pt>
              </c:strCache>
            </c:strRef>
          </c:cat>
          <c:val>
            <c:numRef>
              <c:extLst>
                <c:ext xmlns:c15="http://schemas.microsoft.com/office/drawing/2012/chart" uri="{02D57815-91ED-43cb-92C2-25804820EDAC}">
                  <c15:fullRef>
                    <c15:sqref>'Ticket Issue Client Dashboard'!$M$34</c15:sqref>
                  </c15:fullRef>
                </c:ext>
              </c:extLst>
              <c:f>'Ticket Issue Client Dashboard'!$M$34</c:f>
              <c:numCache>
                <c:formatCode>0</c:formatCode>
                <c:ptCount val="1"/>
                <c:pt idx="0">
                  <c:v>346</c:v>
                </c:pt>
              </c:numCache>
            </c:numRef>
          </c:val>
          <c:extLst>
            <c:ext xmlns:c16="http://schemas.microsoft.com/office/drawing/2014/chart" uri="{C3380CC4-5D6E-409C-BE32-E72D297353CC}">
              <c16:uniqueId val="{00000002-2D8A-49FF-BC91-4131459FD81A}"/>
            </c:ext>
          </c:extLst>
        </c:ser>
        <c:dLbls>
          <c:showLegendKey val="0"/>
          <c:showVal val="0"/>
          <c:showCatName val="0"/>
          <c:showSerName val="0"/>
          <c:showPercent val="0"/>
          <c:showBubbleSize val="0"/>
        </c:dLbls>
        <c:gapWidth val="50"/>
        <c:axId val="2116180808"/>
        <c:axId val="2139877704"/>
        <c:extLst>
          <c:ext xmlns:c15="http://schemas.microsoft.com/office/drawing/2012/chart" uri="{02D57815-91ED-43cb-92C2-25804820EDAC}">
            <c15:filteredBarSeries>
              <c15:ser>
                <c:idx val="0"/>
                <c:order val="0"/>
                <c:spPr>
                  <a:solidFill>
                    <a:schemeClr val="accent1"/>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4-2D8A-49FF-BC91-4131459FD81A}"/>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entury Gothic" panose="020B0502020202020204" pitchFamily="34" charset="0"/>
                          <a:ea typeface="Arial" charset="0"/>
                          <a:cs typeface="Arial" charset="0"/>
                        </a:defRPr>
                      </a:pPr>
                      <a:endParaRPr lang="en-US"/>
                    </a:p>
                  </c:txPr>
                  <c:dLblPos val="in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'Ticket Issue Client Dashboard'!$K$19</c15:sqref>
                        </c15:fullRef>
                        <c15:formulaRef>
                          <c15:sqref>'Ticket Issue Client Dashboard'!$K$19</c15:sqref>
                        </c15:formulaRef>
                      </c:ext>
                    </c:extLst>
                    <c:strCache>
                      <c:ptCount val="1"/>
                      <c:pt idx="0">
                        <c:v>INPROGRESS</c:v>
                      </c:pt>
                    </c:strCache>
                  </c:strRef>
                </c:cat>
                <c:val>
                  <c:numRef>
                    <c:extLst>
                      <c:ext uri="{02D57815-91ED-43cb-92C2-25804820EDAC}">
                        <c15:fullRef>
                          <c15:sqref>'Ticket Issue Client Dashboard'!$K$34:$M$34</c15:sqref>
                        </c15:fullRef>
                        <c15:formulaRef>
                          <c15:sqref>'Ticket Issue Client Dashboard'!$K$34</c15:sqref>
                        </c15:formulaRef>
                      </c:ext>
                    </c:extLst>
                    <c:numCache>
                      <c:formatCode>0</c:formatCode>
                      <c:ptCount val="1"/>
                      <c:pt idx="0">
                        <c:v>13</c:v>
                      </c:pt>
                    </c:numCache>
                  </c:numRef>
                </c:val>
                <c:extLst>
                  <c:ext uri="{02D57815-91ED-43cb-92C2-25804820EDAC}">
                    <c15:categoryFilterExceptions>
                      <c15:categoryFilterException>
                        <c15:sqref>'Ticket Issue Client Dashboard'!$L$34</c15:sqref>
                        <c15:spPr xmlns:c15="http://schemas.microsoft.com/office/drawing/2012/chart">
                          <a:solidFill>
                            <a:srgbClr val="ED7C00"/>
                          </a:solidFill>
                          <a:ln>
                            <a:noFill/>
                          </a:ln>
                          <a:effectLst/>
                        </c15:spPr>
                        <c15:invertIfNegative val="0"/>
                        <c15:bubble3D val="0"/>
                      </c15:categoryFilterException>
                      <c15:categoryFilterException>
                        <c15:sqref>'Ticket Issue Client Dashboard'!$M$34</c15:sqref>
                        <c15:spPr xmlns:c15="http://schemas.microsoft.com/office/drawing/2012/chart">
                          <a:solidFill>
                            <a:srgbClr val="FFFF00"/>
                          </a:solidFill>
                          <a:ln>
                            <a:noFill/>
                          </a:ln>
                          <a:effectLst/>
                        </c15:spPr>
                        <c15:invertIfNegative val="0"/>
                        <c15:bubble3D val="0"/>
                      </c15:categoryFilterException>
                    </c15:categoryFilterExceptions>
                  </c:ext>
                  <c:ext xmlns:c16="http://schemas.microsoft.com/office/drawing/2014/chart" uri="{C3380CC4-5D6E-409C-BE32-E72D297353CC}">
                    <c16:uniqueId val="{00000005-2D8A-49FF-BC91-4131459FD81A}"/>
                  </c:ext>
                </c:extLst>
              </c15:ser>
            </c15:filteredBarSeries>
          </c:ext>
        </c:extLst>
      </c:barChart>
      <c:catAx>
        <c:axId val="2116180808"/>
        <c:scaling>
          <c:orientation val="minMax"/>
        </c:scaling>
        <c:delete val="1"/>
        <c:axPos val="l"/>
        <c:numFmt formatCode="General" sourceLinked="1"/>
        <c:majorTickMark val="none"/>
        <c:minorTickMark val="none"/>
        <c:tickLblPos val="nextTo"/>
        <c:crossAx val="2139877704"/>
        <c:crosses val="autoZero"/>
        <c:auto val="1"/>
        <c:lblAlgn val="ctr"/>
        <c:lblOffset val="100"/>
        <c:noMultiLvlLbl val="0"/>
      </c:catAx>
      <c:valAx>
        <c:axId val="2139877704"/>
        <c:scaling>
          <c:orientation val="minMax"/>
          <c:max val="400"/>
          <c:min val="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cross"/>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16180808"/>
        <c:crosses val="autoZero"/>
        <c:crossBetween val="between"/>
        <c:majorUnit val="10"/>
        <c:minorUnit val="1"/>
      </c:valAx>
      <c:spPr>
        <a:noFill/>
        <a:ln>
          <a:noFill/>
        </a:ln>
        <a:effectLst/>
      </c:spPr>
    </c:plotArea>
    <c:plotVisOnly val="1"/>
    <c:dispBlanksAs val="gap"/>
    <c:showDLblsOverMax val="0"/>
  </c:chart>
  <c:spPr>
    <a:solidFill>
      <a:schemeClr val="bg1"/>
    </a:solidFill>
    <a:ln w="9525" cap="flat" cmpd="sng" algn="ctr">
      <a:noFill/>
      <a:round/>
    </a:ln>
    <a:effectLst/>
  </c:spPr>
  <c:txPr>
    <a:bodyPr rot="0" vert="horz"/>
    <a:lstStyle/>
    <a:p>
      <a:pPr>
        <a:defRPr>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hyperlink" Target="https://www.smartsheet.com/try-it?trp=12400&amp;utm_source=template-excel&amp;utm_medium=content&amp;utm_campaign=SEO" TargetMode="Externa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127000</xdr:rowOff>
    </xdr:from>
    <xdr:to>
      <xdr:col>10</xdr:col>
      <xdr:colOff>812800</xdr:colOff>
      <xdr:row>3</xdr:row>
      <xdr:rowOff>4838700</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4</xdr:row>
      <xdr:rowOff>38100</xdr:rowOff>
    </xdr:from>
    <xdr:to>
      <xdr:col>6</xdr:col>
      <xdr:colOff>444500</xdr:colOff>
      <xdr:row>4</xdr:row>
      <xdr:rowOff>3604260</xdr:rowOff>
    </xdr:to>
    <xdr:graphicFrame macro="">
      <xdr:nvGraphicFramePr>
        <xdr:cNvPr id="5" name="Chart 4">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495300</xdr:colOff>
      <xdr:row>4</xdr:row>
      <xdr:rowOff>38100</xdr:rowOff>
    </xdr:from>
    <xdr:to>
      <xdr:col>10</xdr:col>
      <xdr:colOff>812800</xdr:colOff>
      <xdr:row>4</xdr:row>
      <xdr:rowOff>3604260</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7</xdr:row>
      <xdr:rowOff>38100</xdr:rowOff>
    </xdr:from>
    <xdr:to>
      <xdr:col>10</xdr:col>
      <xdr:colOff>809244</xdr:colOff>
      <xdr:row>7</xdr:row>
      <xdr:rowOff>4826000</xdr:rowOff>
    </xdr:to>
    <xdr:graphicFrame macro="">
      <xdr:nvGraphicFramePr>
        <xdr:cNvPr id="8" name="Chart 7">
          <a:extLst>
            <a:ext uri="{FF2B5EF4-FFF2-40B4-BE49-F238E27FC236}">
              <a16:creationId xmlns:a16="http://schemas.microsoft.com/office/drawing/2014/main" i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10</xdr:row>
      <xdr:rowOff>76200</xdr:rowOff>
    </xdr:from>
    <xdr:to>
      <xdr:col>10</xdr:col>
      <xdr:colOff>809244</xdr:colOff>
      <xdr:row>10</xdr:row>
      <xdr:rowOff>2882900</xdr:rowOff>
    </xdr:to>
    <xdr:graphicFrame macro="">
      <xdr:nvGraphicFramePr>
        <xdr:cNvPr id="9" name="Chart 8">
          <a:extLst>
            <a:ext uri="{FF2B5EF4-FFF2-40B4-BE49-F238E27FC236}">
              <a16:creationId xmlns:a16="http://schemas.microsoft.com/office/drawing/2014/main" i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12</xdr:row>
      <xdr:rowOff>63500</xdr:rowOff>
    </xdr:from>
    <xdr:to>
      <xdr:col>10</xdr:col>
      <xdr:colOff>809244</xdr:colOff>
      <xdr:row>13</xdr:row>
      <xdr:rowOff>12700</xdr:rowOff>
    </xdr:to>
    <xdr:graphicFrame macro="">
      <xdr:nvGraphicFramePr>
        <xdr:cNvPr id="10" name="Chart 9">
          <a:extLst>
            <a:ext uri="{FF2B5EF4-FFF2-40B4-BE49-F238E27FC236}">
              <a16:creationId xmlns:a16="http://schemas.microsoft.com/office/drawing/2014/main" i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15</xdr:row>
      <xdr:rowOff>76200</xdr:rowOff>
    </xdr:from>
    <xdr:to>
      <xdr:col>10</xdr:col>
      <xdr:colOff>809244</xdr:colOff>
      <xdr:row>15</xdr:row>
      <xdr:rowOff>2819400</xdr:rowOff>
    </xdr:to>
    <xdr:graphicFrame macro="">
      <xdr:nvGraphicFramePr>
        <xdr:cNvPr id="12" name="Chart 11">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0</xdr:colOff>
      <xdr:row>17</xdr:row>
      <xdr:rowOff>63500</xdr:rowOff>
    </xdr:from>
    <xdr:to>
      <xdr:col>10</xdr:col>
      <xdr:colOff>809244</xdr:colOff>
      <xdr:row>17</xdr:row>
      <xdr:rowOff>2197100</xdr:rowOff>
    </xdr:to>
    <xdr:graphicFrame macro="">
      <xdr:nvGraphicFramePr>
        <xdr:cNvPr id="13" name="Chart 12">
          <a:extLst>
            <a:ext uri="{FF2B5EF4-FFF2-40B4-BE49-F238E27FC236}">
              <a16:creationId xmlns:a16="http://schemas.microsoft.com/office/drawing/2014/main" id="{00000000-0008-0000-00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0</xdr:row>
      <xdr:rowOff>0</xdr:rowOff>
    </xdr:from>
    <xdr:to>
      <xdr:col>10</xdr:col>
      <xdr:colOff>190500</xdr:colOff>
      <xdr:row>1</xdr:row>
      <xdr:rowOff>42528</xdr:rowOff>
    </xdr:to>
    <xdr:pic>
      <xdr:nvPicPr>
        <xdr:cNvPr id="14" name="Рисунок 2">
          <a:hlinkClick xmlns:r="http://schemas.openxmlformats.org/officeDocument/2006/relationships" r:id="rId9"/>
          <a:extLst>
            <a:ext uri="{FF2B5EF4-FFF2-40B4-BE49-F238E27FC236}">
              <a16:creationId xmlns:a16="http://schemas.microsoft.com/office/drawing/2014/main" id="{26F18249-74A7-AE48-A422-328893E3E749}"/>
            </a:ext>
          </a:extLst>
        </xdr:cNvPr>
        <xdr:cNvPicPr>
          <a:picLocks noChangeAspect="1"/>
        </xdr:cNvPicPr>
      </xdr:nvPicPr>
      <xdr:blipFill>
        <a:blip xmlns:r="http://schemas.openxmlformats.org/officeDocument/2006/relationships" r:embed="rId10"/>
        <a:stretch>
          <a:fillRect/>
        </a:stretch>
      </xdr:blipFill>
      <xdr:spPr>
        <a:xfrm>
          <a:off x="0" y="0"/>
          <a:ext cx="9080500" cy="2417428"/>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0.00617</cdr:x>
      <cdr:y>0.25294</cdr:y>
    </cdr:from>
    <cdr:to>
      <cdr:x>0.13719</cdr:x>
      <cdr:y>0.85294</cdr:y>
    </cdr:to>
    <cdr:sp macro="" textlink="">
      <cdr:nvSpPr>
        <cdr:cNvPr id="2" name="TextBox 1"/>
        <cdr:cNvSpPr txBox="1"/>
      </cdr:nvSpPr>
      <cdr:spPr>
        <a:xfrm xmlns:a="http://schemas.openxmlformats.org/drawingml/2006/main">
          <a:off x="50800" y="546100"/>
          <a:ext cx="1079500" cy="1295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0.01696</cdr:x>
      <cdr:y>0.25294</cdr:y>
    </cdr:from>
    <cdr:to>
      <cdr:x>0.1187</cdr:x>
      <cdr:y>0.89412</cdr:y>
    </cdr:to>
    <cdr:sp macro="" textlink="">
      <cdr:nvSpPr>
        <cdr:cNvPr id="3" name="TextBox 2"/>
        <cdr:cNvSpPr txBox="1"/>
      </cdr:nvSpPr>
      <cdr:spPr>
        <a:xfrm xmlns:a="http://schemas.openxmlformats.org/drawingml/2006/main">
          <a:off x="139700" y="546100"/>
          <a:ext cx="838200" cy="1384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US" sz="900">
              <a:latin typeface="Century Gothic" panose="020B0502020202020204" pitchFamily="34" charset="0"/>
              <a:ea typeface="Arial" charset="0"/>
              <a:cs typeface="Arial" charset="0"/>
            </a:rPr>
            <a:t>PENDING</a:t>
          </a:r>
          <a:r>
            <a:rPr lang="en-US" sz="900" baseline="0">
              <a:latin typeface="Century Gothic" panose="020B0502020202020204" pitchFamily="34" charset="0"/>
              <a:ea typeface="Arial" charset="0"/>
              <a:cs typeface="Arial" charset="0"/>
            </a:rPr>
            <a:t> ACTIONS</a:t>
          </a:r>
        </a:p>
        <a:p xmlns:a="http://schemas.openxmlformats.org/drawingml/2006/main">
          <a:pPr algn="r"/>
          <a:endParaRPr lang="en-US" sz="900" baseline="0">
            <a:latin typeface="Century Gothic" panose="020B0502020202020204" pitchFamily="34" charset="0"/>
            <a:ea typeface="Arial" charset="0"/>
            <a:cs typeface="Arial" charset="0"/>
          </a:endParaRPr>
        </a:p>
        <a:p xmlns:a="http://schemas.openxmlformats.org/drawingml/2006/main">
          <a:pPr algn="r"/>
          <a:endParaRPr lang="en-US" sz="900" baseline="0">
            <a:latin typeface="Century Gothic" panose="020B0502020202020204" pitchFamily="34" charset="0"/>
            <a:ea typeface="Arial" charset="0"/>
            <a:cs typeface="Arial" charset="0"/>
          </a:endParaRPr>
        </a:p>
        <a:p xmlns:a="http://schemas.openxmlformats.org/drawingml/2006/main">
          <a:pPr algn="r"/>
          <a:r>
            <a:rPr lang="en-US" sz="900" baseline="0">
              <a:latin typeface="Century Gothic" panose="020B0502020202020204" pitchFamily="34" charset="0"/>
              <a:ea typeface="Arial" charset="0"/>
              <a:cs typeface="Arial" charset="0"/>
            </a:rPr>
            <a:t>REVISIONS</a:t>
          </a:r>
        </a:p>
        <a:p xmlns:a="http://schemas.openxmlformats.org/drawingml/2006/main">
          <a:pPr algn="r"/>
          <a:endParaRPr lang="en-US" sz="900" baseline="0">
            <a:latin typeface="Century Gothic" panose="020B0502020202020204" pitchFamily="34" charset="0"/>
            <a:ea typeface="Arial" charset="0"/>
            <a:cs typeface="Arial" charset="0"/>
          </a:endParaRPr>
        </a:p>
        <a:p xmlns:a="http://schemas.openxmlformats.org/drawingml/2006/main">
          <a:pPr algn="r"/>
          <a:endParaRPr lang="en-US" sz="900" baseline="0">
            <a:latin typeface="Century Gothic" panose="020B0502020202020204" pitchFamily="34" charset="0"/>
            <a:ea typeface="Arial" charset="0"/>
            <a:cs typeface="Arial" charset="0"/>
          </a:endParaRPr>
        </a:p>
        <a:p xmlns:a="http://schemas.openxmlformats.org/drawingml/2006/main">
          <a:pPr algn="r"/>
          <a:r>
            <a:rPr lang="en-US" sz="900" baseline="0">
              <a:latin typeface="Century Gothic" panose="020B0502020202020204" pitchFamily="34" charset="0"/>
              <a:ea typeface="Arial" charset="0"/>
              <a:cs typeface="Arial" charset="0"/>
            </a:rPr>
            <a:t>OPEN ISSUES</a:t>
          </a:r>
          <a:endParaRPr lang="en-US" sz="900">
            <a:latin typeface="Century Gothic" panose="020B0502020202020204" pitchFamily="34" charset="0"/>
            <a:ea typeface="Arial" charset="0"/>
            <a:cs typeface="Arial"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1</xdr:col>
      <xdr:colOff>0</xdr:colOff>
      <xdr:row>3</xdr:row>
      <xdr:rowOff>127000</xdr:rowOff>
    </xdr:from>
    <xdr:to>
      <xdr:col>7</xdr:col>
      <xdr:colOff>617220</xdr:colOff>
      <xdr:row>3</xdr:row>
      <xdr:rowOff>4838700</xdr:rowOff>
    </xdr:to>
    <xdr:graphicFrame macro="">
      <xdr:nvGraphicFramePr>
        <xdr:cNvPr id="2" name="Chart 1">
          <a:extLst>
            <a:ext uri="{FF2B5EF4-FFF2-40B4-BE49-F238E27FC236}">
              <a16:creationId xmlns:a16="http://schemas.microsoft.com/office/drawing/2014/main" id="{76163BAF-A7E3-8542-B2E3-030E24E6A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4</xdr:row>
      <xdr:rowOff>38100</xdr:rowOff>
    </xdr:from>
    <xdr:to>
      <xdr:col>7</xdr:col>
      <xdr:colOff>601980</xdr:colOff>
      <xdr:row>4</xdr:row>
      <xdr:rowOff>3604260</xdr:rowOff>
    </xdr:to>
    <xdr:graphicFrame macro="">
      <xdr:nvGraphicFramePr>
        <xdr:cNvPr id="3" name="Chart 2">
          <a:extLst>
            <a:ext uri="{FF2B5EF4-FFF2-40B4-BE49-F238E27FC236}">
              <a16:creationId xmlns:a16="http://schemas.microsoft.com/office/drawing/2014/main" id="{6187E261-A487-0A40-AF68-A7B4E0D89A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708658</xdr:colOff>
      <xdr:row>3</xdr:row>
      <xdr:rowOff>3505200</xdr:rowOff>
    </xdr:from>
    <xdr:to>
      <xdr:col>16</xdr:col>
      <xdr:colOff>57150</xdr:colOff>
      <xdr:row>4</xdr:row>
      <xdr:rowOff>3596640</xdr:rowOff>
    </xdr:to>
    <xdr:graphicFrame macro="">
      <xdr:nvGraphicFramePr>
        <xdr:cNvPr id="4" name="Chart 3">
          <a:extLst>
            <a:ext uri="{FF2B5EF4-FFF2-40B4-BE49-F238E27FC236}">
              <a16:creationId xmlns:a16="http://schemas.microsoft.com/office/drawing/2014/main" id="{1649C195-BE79-3B4A-85D0-B1A282540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11</xdr:row>
      <xdr:rowOff>76200</xdr:rowOff>
    </xdr:from>
    <xdr:to>
      <xdr:col>10</xdr:col>
      <xdr:colOff>809244</xdr:colOff>
      <xdr:row>11</xdr:row>
      <xdr:rowOff>2882900</xdr:rowOff>
    </xdr:to>
    <xdr:graphicFrame macro="">
      <xdr:nvGraphicFramePr>
        <xdr:cNvPr id="6" name="Chart 5">
          <a:extLst>
            <a:ext uri="{FF2B5EF4-FFF2-40B4-BE49-F238E27FC236}">
              <a16:creationId xmlns:a16="http://schemas.microsoft.com/office/drawing/2014/main" id="{811AA428-E67E-1F46-ACEF-8CE82509E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13</xdr:row>
      <xdr:rowOff>63500</xdr:rowOff>
    </xdr:from>
    <xdr:to>
      <xdr:col>10</xdr:col>
      <xdr:colOff>809244</xdr:colOff>
      <xdr:row>14</xdr:row>
      <xdr:rowOff>0</xdr:rowOff>
    </xdr:to>
    <xdr:graphicFrame macro="">
      <xdr:nvGraphicFramePr>
        <xdr:cNvPr id="7" name="Chart 6">
          <a:extLst>
            <a:ext uri="{FF2B5EF4-FFF2-40B4-BE49-F238E27FC236}">
              <a16:creationId xmlns:a16="http://schemas.microsoft.com/office/drawing/2014/main" id="{79666907-5F9D-BD4A-8E07-3F972E44B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6</xdr:row>
      <xdr:rowOff>0</xdr:rowOff>
    </xdr:from>
    <xdr:to>
      <xdr:col>11</xdr:col>
      <xdr:colOff>144780</xdr:colOff>
      <xdr:row>6</xdr:row>
      <xdr:rowOff>4502728</xdr:rowOff>
    </xdr:to>
    <xdr:graphicFrame macro="">
      <xdr:nvGraphicFramePr>
        <xdr:cNvPr id="10" name="Chart 9">
          <a:extLst>
            <a:ext uri="{FF2B5EF4-FFF2-40B4-BE49-F238E27FC236}">
              <a16:creationId xmlns:a16="http://schemas.microsoft.com/office/drawing/2014/main" id="{AC00868D-9587-49C4-AF2D-7D2E2751EE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7</xdr:row>
      <xdr:rowOff>0</xdr:rowOff>
    </xdr:from>
    <xdr:to>
      <xdr:col>14</xdr:col>
      <xdr:colOff>694182</xdr:colOff>
      <xdr:row>7</xdr:row>
      <xdr:rowOff>2133600</xdr:rowOff>
    </xdr:to>
    <xdr:graphicFrame macro="">
      <xdr:nvGraphicFramePr>
        <xdr:cNvPr id="15" name="Chart 14">
          <a:extLst>
            <a:ext uri="{FF2B5EF4-FFF2-40B4-BE49-F238E27FC236}">
              <a16:creationId xmlns:a16="http://schemas.microsoft.com/office/drawing/2014/main" id="{D778E825-3FDC-4107-B61B-A7645FAE3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0.00617</cdr:x>
      <cdr:y>0.25294</cdr:y>
    </cdr:from>
    <cdr:to>
      <cdr:x>0.13719</cdr:x>
      <cdr:y>0.85294</cdr:y>
    </cdr:to>
    <cdr:sp macro="" textlink="">
      <cdr:nvSpPr>
        <cdr:cNvPr id="2" name="TextBox 1"/>
        <cdr:cNvSpPr txBox="1"/>
      </cdr:nvSpPr>
      <cdr:spPr>
        <a:xfrm xmlns:a="http://schemas.openxmlformats.org/drawingml/2006/main">
          <a:off x="50800" y="546100"/>
          <a:ext cx="1079500" cy="1295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0.01696</cdr:x>
      <cdr:y>0.25294</cdr:y>
    </cdr:from>
    <cdr:to>
      <cdr:x>0.1187</cdr:x>
      <cdr:y>0.89412</cdr:y>
    </cdr:to>
    <cdr:sp macro="" textlink="">
      <cdr:nvSpPr>
        <cdr:cNvPr id="3" name="TextBox 2"/>
        <cdr:cNvSpPr txBox="1"/>
      </cdr:nvSpPr>
      <cdr:spPr>
        <a:xfrm xmlns:a="http://schemas.openxmlformats.org/drawingml/2006/main">
          <a:off x="139700" y="546100"/>
          <a:ext cx="838200" cy="1384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algn="r" defTabSz="914400" eaLnBrk="1" fontAlgn="auto" latinLnBrk="0" hangingPunct="1">
            <a:lnSpc>
              <a:spcPct val="100000"/>
            </a:lnSpc>
            <a:spcBef>
              <a:spcPts val="0"/>
            </a:spcBef>
            <a:spcAft>
              <a:spcPts val="0"/>
            </a:spcAft>
            <a:buClrTx/>
            <a:buSzTx/>
            <a:buFontTx/>
            <a:buNone/>
            <a:tabLst/>
            <a:defRPr/>
          </a:pPr>
          <a:r>
            <a:rPr lang="en-US" sz="1100" baseline="0">
              <a:effectLst/>
              <a:latin typeface="+mn-lt"/>
              <a:ea typeface="+mn-ea"/>
              <a:cs typeface="+mn-cs"/>
            </a:rPr>
            <a:t>COMPLETED / CLOSED</a:t>
          </a:r>
          <a:endParaRPr lang="en-GB" sz="900">
            <a:effectLst/>
          </a:endParaRPr>
        </a:p>
        <a:p xmlns:a="http://schemas.openxmlformats.org/drawingml/2006/main">
          <a:pPr algn="r"/>
          <a:endParaRPr lang="en-US" sz="900" baseline="0">
            <a:latin typeface="Century Gothic" panose="020B0502020202020204" pitchFamily="34" charset="0"/>
            <a:ea typeface="Arial" charset="0"/>
            <a:cs typeface="Arial" charset="0"/>
          </a:endParaRPr>
        </a:p>
        <a:p xmlns:a="http://schemas.openxmlformats.org/drawingml/2006/main">
          <a:pPr algn="r"/>
          <a:r>
            <a:rPr lang="en-US" sz="900" baseline="0">
              <a:latin typeface="Century Gothic" panose="020B0502020202020204" pitchFamily="34" charset="0"/>
              <a:ea typeface="Arial" charset="0"/>
              <a:cs typeface="Arial" charset="0"/>
            </a:rPr>
            <a:t>PENDING</a:t>
          </a:r>
        </a:p>
        <a:p xmlns:a="http://schemas.openxmlformats.org/drawingml/2006/main">
          <a:pPr algn="r"/>
          <a:endParaRPr lang="en-US" sz="900" baseline="0">
            <a:latin typeface="Century Gothic" panose="020B0502020202020204" pitchFamily="34" charset="0"/>
            <a:ea typeface="Arial" charset="0"/>
            <a:cs typeface="Arial" charset="0"/>
          </a:endParaRPr>
        </a:p>
        <a:p xmlns:a="http://schemas.openxmlformats.org/drawingml/2006/main">
          <a:pPr algn="r"/>
          <a:endParaRPr lang="en-US" sz="900" baseline="0">
            <a:latin typeface="Century Gothic" panose="020B0502020202020204" pitchFamily="34" charset="0"/>
            <a:ea typeface="Arial" charset="0"/>
            <a:cs typeface="Arial" charset="0"/>
          </a:endParaRPr>
        </a:p>
        <a:p xmlns:a="http://schemas.openxmlformats.org/drawingml/2006/main">
          <a:pPr algn="r"/>
          <a:r>
            <a:rPr lang="en-US" sz="900" baseline="0">
              <a:latin typeface="Century Gothic" panose="020B0502020202020204" pitchFamily="34" charset="0"/>
              <a:ea typeface="Arial" charset="0"/>
              <a:cs typeface="Arial" charset="0"/>
            </a:rPr>
            <a:t>INPROGRESS</a:t>
          </a:r>
          <a:endParaRPr lang="en-US" sz="900">
            <a:latin typeface="Century Gothic" panose="020B0502020202020204" pitchFamily="34" charset="0"/>
            <a:ea typeface="Arial" charset="0"/>
            <a:cs typeface="Arial" charset="0"/>
          </a:endParaRPr>
        </a:p>
      </cdr:txBody>
    </cdr: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IC-Service-Marketing-Plan-Template25"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IC-Business-Meeting-Agenda-Template33"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swwizards-my.sharepoint.com/personal/syafiq_softwarewizards_my/Documents/Ticket%20list%20all%20client.xlsx" TargetMode="External"/><Relationship Id="rId1" Type="http://schemas.openxmlformats.org/officeDocument/2006/relationships/externalLinkPath" Target="https://swwizards-my.sharepoint.com/personal/syafiq_softwarewizards_my/Documents/Ticket%20list%20all%20cli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vice Marketing Plan"/>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siness Meeting Agenda"/>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ll clients"/>
      <sheetName val="FRIM"/>
      <sheetName val="MTIB"/>
      <sheetName val="MPOB"/>
      <sheetName val="LKTN"/>
      <sheetName val="LAM"/>
      <sheetName val="ISN"/>
      <sheetName val="MSN"/>
      <sheetName val="YIPS"/>
      <sheetName val="KHTP"/>
      <sheetName val="KUIPS"/>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2">
          <cell r="A2">
            <v>46023</v>
          </cell>
        </row>
        <row r="3">
          <cell r="A3">
            <v>46055</v>
          </cell>
        </row>
        <row r="4">
          <cell r="A4">
            <v>46070</v>
          </cell>
        </row>
        <row r="5">
          <cell r="A5">
            <v>46071</v>
          </cell>
        </row>
        <row r="6">
          <cell r="A6">
            <v>46104</v>
          </cell>
        </row>
        <row r="7">
          <cell r="A7">
            <v>46112</v>
          </cell>
        </row>
        <row r="8">
          <cell r="A8">
            <v>46113</v>
          </cell>
        </row>
        <row r="9">
          <cell r="A9">
            <v>46143</v>
          </cell>
        </row>
        <row r="10">
          <cell r="A10">
            <v>46154</v>
          </cell>
        </row>
        <row r="11">
          <cell r="A11">
            <v>46175</v>
          </cell>
        </row>
        <row r="12">
          <cell r="A12">
            <v>46180</v>
          </cell>
        </row>
        <row r="13">
          <cell r="A13">
            <v>46200</v>
          </cell>
        </row>
        <row r="14">
          <cell r="A14">
            <v>46265</v>
          </cell>
        </row>
        <row r="15">
          <cell r="A15">
            <v>46266</v>
          </cell>
        </row>
        <row r="16">
          <cell r="A16">
            <v>46270</v>
          </cell>
        </row>
        <row r="17">
          <cell r="A17">
            <v>46281</v>
          </cell>
        </row>
        <row r="18">
          <cell r="A18">
            <v>46315</v>
          </cell>
        </row>
        <row r="19">
          <cell r="A19">
            <v>46367</v>
          </cell>
        </row>
        <row r="20">
          <cell r="A20">
            <v>46381</v>
          </cell>
        </row>
        <row r="21">
          <cell r="A21">
            <v>46023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smartsheet.com/try-it?trp=12400&amp;utm_source=template-excel&amp;utm_medium=content&amp;utm_campaign=SE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8" tint="0.59999389629810485"/>
    <pageSetUpPr fitToPage="1"/>
  </sheetPr>
  <dimension ref="A1:DN57"/>
  <sheetViews>
    <sheetView showGridLines="0" workbookViewId="0">
      <pane ySplit="1" topLeftCell="A5" activePane="bottomLeft" state="frozen"/>
      <selection pane="bottomLeft" activeCell="B66" sqref="B66"/>
    </sheetView>
  </sheetViews>
  <sheetFormatPr defaultColWidth="10.8984375" defaultRowHeight="15" x14ac:dyDescent="0.25"/>
  <cols>
    <col min="1" max="1" width="3.3984375" style="1" customWidth="1"/>
    <col min="2" max="2" width="20.8984375" style="1" customWidth="1"/>
    <col min="3" max="3" width="10.8984375" style="1"/>
    <col min="4" max="8" width="12" style="1" customWidth="1"/>
    <col min="9" max="16" width="10.8984375" style="1"/>
    <col min="17" max="17" width="3.3984375" style="1" customWidth="1"/>
    <col min="18" max="16384" width="10.8984375" style="1"/>
  </cols>
  <sheetData>
    <row r="1" spans="2:118" ht="186.9" customHeight="1" x14ac:dyDescent="0.25"/>
    <row r="2" spans="2:118" s="31" customFormat="1" ht="45" customHeight="1" x14ac:dyDescent="0.3">
      <c r="B2" s="44" t="s">
        <v>46</v>
      </c>
      <c r="C2" s="32"/>
      <c r="D2" s="33"/>
      <c r="E2" s="33"/>
      <c r="F2" s="34"/>
      <c r="G2" s="33"/>
      <c r="H2" s="33"/>
      <c r="I2" s="33"/>
      <c r="J2" s="33"/>
      <c r="K2" s="33"/>
      <c r="L2" s="33"/>
      <c r="M2" s="34"/>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c r="CW2" s="33"/>
      <c r="CX2" s="33"/>
      <c r="CY2" s="33"/>
      <c r="CZ2" s="33"/>
      <c r="DA2" s="33"/>
      <c r="DB2" s="33"/>
      <c r="DC2" s="33"/>
      <c r="DD2" s="33"/>
      <c r="DE2" s="33"/>
      <c r="DF2" s="33"/>
      <c r="DG2" s="33"/>
      <c r="DH2" s="33"/>
      <c r="DI2" s="33"/>
      <c r="DJ2" s="33"/>
      <c r="DK2" s="33"/>
      <c r="DL2" s="33"/>
      <c r="DM2" s="33"/>
      <c r="DN2" s="33"/>
    </row>
    <row r="3" spans="2:118" ht="24" customHeight="1" x14ac:dyDescent="0.25">
      <c r="B3" s="40" t="s">
        <v>34</v>
      </c>
      <c r="C3" s="40"/>
      <c r="D3" s="40"/>
      <c r="E3" s="40"/>
      <c r="F3" s="40"/>
      <c r="G3" s="40"/>
      <c r="H3" s="40"/>
      <c r="I3" s="40"/>
      <c r="J3" s="40"/>
      <c r="K3" s="40"/>
    </row>
    <row r="4" spans="2:118" ht="387" customHeight="1" x14ac:dyDescent="0.25">
      <c r="B4" s="3"/>
    </row>
    <row r="5" spans="2:118" ht="290.10000000000002" customHeight="1" x14ac:dyDescent="0.25"/>
    <row r="7" spans="2:118" ht="24" customHeight="1" x14ac:dyDescent="0.25">
      <c r="B7" s="40" t="s">
        <v>33</v>
      </c>
      <c r="C7" s="40"/>
      <c r="D7" s="40"/>
      <c r="E7" s="40"/>
      <c r="F7" s="40"/>
      <c r="G7" s="40"/>
      <c r="H7" s="40"/>
      <c r="I7" s="40"/>
      <c r="J7" s="40"/>
      <c r="K7" s="40"/>
    </row>
    <row r="8" spans="2:118" ht="383.1" customHeight="1" x14ac:dyDescent="0.25"/>
    <row r="10" spans="2:118" ht="24" customHeight="1" x14ac:dyDescent="0.25">
      <c r="B10" s="40" t="s">
        <v>35</v>
      </c>
      <c r="C10" s="40"/>
      <c r="D10" s="40"/>
      <c r="E10" s="40"/>
      <c r="F10" s="40"/>
      <c r="G10" s="40"/>
      <c r="H10" s="40"/>
      <c r="I10" s="40"/>
      <c r="J10" s="40"/>
      <c r="K10" s="40"/>
    </row>
    <row r="11" spans="2:118" ht="228" customHeight="1" x14ac:dyDescent="0.25"/>
    <row r="13" spans="2:118" ht="183" customHeight="1" x14ac:dyDescent="0.25"/>
    <row r="15" spans="2:118" ht="24" customHeight="1" x14ac:dyDescent="0.25">
      <c r="B15" s="40" t="s">
        <v>36</v>
      </c>
      <c r="C15" s="40"/>
      <c r="D15" s="40"/>
      <c r="E15" s="40"/>
      <c r="F15" s="40"/>
      <c r="G15" s="40"/>
      <c r="H15" s="40"/>
      <c r="I15" s="40"/>
      <c r="J15" s="40"/>
      <c r="K15" s="40"/>
    </row>
    <row r="16" spans="2:118" ht="227.1" customHeight="1" x14ac:dyDescent="0.25"/>
    <row r="18" spans="2:11" ht="177" customHeight="1" x14ac:dyDescent="0.25"/>
    <row r="20" spans="2:11" ht="24" customHeight="1" x14ac:dyDescent="0.25">
      <c r="B20" s="40" t="s">
        <v>37</v>
      </c>
      <c r="C20" s="40"/>
      <c r="D20" s="40"/>
      <c r="E20" s="40"/>
      <c r="F20" s="40"/>
      <c r="G20" s="40"/>
      <c r="H20" s="40"/>
      <c r="I20" s="40"/>
      <c r="J20" s="40"/>
      <c r="K20" s="40"/>
    </row>
    <row r="21" spans="2:11" ht="6.9" customHeight="1" x14ac:dyDescent="0.25">
      <c r="B21" s="4"/>
      <c r="C21" s="4"/>
      <c r="D21" s="4"/>
      <c r="E21" s="4"/>
      <c r="F21" s="4"/>
      <c r="G21" s="4"/>
      <c r="H21" s="4"/>
      <c r="I21" s="4"/>
      <c r="J21" s="4"/>
      <c r="K21" s="4"/>
    </row>
    <row r="22" spans="2:11" ht="18" customHeight="1" x14ac:dyDescent="0.25">
      <c r="B22" s="28" t="s">
        <v>0</v>
      </c>
      <c r="C22" s="10" t="s">
        <v>38</v>
      </c>
      <c r="D22" s="10" t="s">
        <v>14</v>
      </c>
      <c r="E22" s="10" t="s">
        <v>39</v>
      </c>
      <c r="F22" s="10" t="s">
        <v>2</v>
      </c>
      <c r="G22" s="10" t="s">
        <v>7</v>
      </c>
      <c r="H22" s="128" t="s">
        <v>40</v>
      </c>
      <c r="I22" s="128"/>
      <c r="J22" s="128"/>
      <c r="K22" s="128"/>
    </row>
    <row r="23" spans="2:11" ht="18" customHeight="1" x14ac:dyDescent="0.25">
      <c r="B23" s="29" t="s">
        <v>18</v>
      </c>
      <c r="C23" s="30"/>
      <c r="D23" s="30"/>
      <c r="E23" s="30"/>
      <c r="F23" s="30"/>
      <c r="G23" s="30"/>
      <c r="H23" s="125"/>
      <c r="I23" s="126"/>
      <c r="J23" s="126"/>
      <c r="K23" s="127"/>
    </row>
    <row r="24" spans="2:11" ht="18" customHeight="1" x14ac:dyDescent="0.25">
      <c r="B24" s="29" t="s">
        <v>19</v>
      </c>
      <c r="C24" s="30"/>
      <c r="D24" s="30"/>
      <c r="E24" s="30"/>
      <c r="F24" s="30"/>
      <c r="G24" s="30"/>
      <c r="H24" s="125"/>
      <c r="I24" s="126"/>
      <c r="J24" s="126"/>
      <c r="K24" s="127"/>
    </row>
    <row r="25" spans="2:11" ht="18" customHeight="1" x14ac:dyDescent="0.25">
      <c r="B25" s="29" t="s">
        <v>20</v>
      </c>
      <c r="C25" s="30"/>
      <c r="D25" s="30"/>
      <c r="E25" s="30"/>
      <c r="F25" s="30"/>
      <c r="G25" s="30"/>
      <c r="H25" s="125"/>
      <c r="I25" s="126"/>
      <c r="J25" s="126"/>
      <c r="K25" s="127"/>
    </row>
    <row r="26" spans="2:11" ht="18" customHeight="1" x14ac:dyDescent="0.25">
      <c r="B26" s="29" t="s">
        <v>21</v>
      </c>
      <c r="C26" s="30"/>
      <c r="D26" s="30"/>
      <c r="E26" s="30"/>
      <c r="F26" s="30"/>
      <c r="G26" s="30"/>
      <c r="H26" s="125"/>
      <c r="I26" s="126"/>
      <c r="J26" s="126"/>
      <c r="K26" s="127"/>
    </row>
    <row r="27" spans="2:11" ht="18" customHeight="1" x14ac:dyDescent="0.25">
      <c r="B27" s="29" t="s">
        <v>22</v>
      </c>
      <c r="C27" s="30"/>
      <c r="D27" s="30"/>
      <c r="E27" s="30"/>
      <c r="F27" s="30"/>
      <c r="G27" s="30"/>
      <c r="H27" s="125"/>
      <c r="I27" s="126"/>
      <c r="J27" s="126"/>
      <c r="K27" s="127"/>
    </row>
    <row r="28" spans="2:11" ht="18" customHeight="1" x14ac:dyDescent="0.25">
      <c r="B28" s="29" t="s">
        <v>23</v>
      </c>
      <c r="C28" s="30"/>
      <c r="D28" s="30"/>
      <c r="E28" s="30"/>
      <c r="F28" s="30"/>
      <c r="G28" s="30"/>
      <c r="H28" s="125"/>
      <c r="I28" s="126"/>
      <c r="J28" s="126"/>
      <c r="K28" s="127"/>
    </row>
    <row r="29" spans="2:11" ht="18" customHeight="1" x14ac:dyDescent="0.25">
      <c r="B29" s="29" t="s">
        <v>24</v>
      </c>
      <c r="C29" s="30"/>
      <c r="D29" s="30"/>
      <c r="E29" s="30"/>
      <c r="F29" s="30"/>
      <c r="G29" s="30"/>
      <c r="H29" s="125"/>
      <c r="I29" s="126"/>
      <c r="J29" s="126"/>
      <c r="K29" s="127"/>
    </row>
    <row r="30" spans="2:11" ht="18" customHeight="1" x14ac:dyDescent="0.25">
      <c r="B30" s="29" t="s">
        <v>25</v>
      </c>
      <c r="C30" s="30"/>
      <c r="D30" s="30"/>
      <c r="E30" s="30"/>
      <c r="F30" s="30"/>
      <c r="G30" s="30"/>
      <c r="H30" s="125"/>
      <c r="I30" s="126"/>
      <c r="J30" s="126"/>
      <c r="K30" s="127"/>
    </row>
    <row r="31" spans="2:11" ht="18" customHeight="1" x14ac:dyDescent="0.25">
      <c r="B31" s="29" t="s">
        <v>26</v>
      </c>
      <c r="C31" s="30"/>
      <c r="D31" s="30"/>
      <c r="E31" s="30"/>
      <c r="F31" s="30"/>
      <c r="G31" s="30"/>
      <c r="H31" s="125"/>
      <c r="I31" s="126"/>
      <c r="J31" s="126"/>
      <c r="K31" s="127"/>
    </row>
    <row r="32" spans="2:11" ht="18" customHeight="1" x14ac:dyDescent="0.25">
      <c r="B32" s="29" t="s">
        <v>27</v>
      </c>
      <c r="C32" s="30"/>
      <c r="D32" s="30"/>
      <c r="E32" s="30"/>
      <c r="F32" s="30"/>
      <c r="G32" s="30"/>
      <c r="H32" s="125"/>
      <c r="I32" s="126"/>
      <c r="J32" s="126"/>
      <c r="K32" s="127"/>
    </row>
    <row r="33" spans="1:20" ht="18" customHeight="1" x14ac:dyDescent="0.25">
      <c r="B33" s="29" t="s">
        <v>28</v>
      </c>
      <c r="C33" s="30"/>
      <c r="D33" s="30"/>
      <c r="E33" s="30"/>
      <c r="F33" s="30"/>
      <c r="G33" s="30"/>
      <c r="H33" s="125"/>
      <c r="I33" s="126"/>
      <c r="J33" s="126"/>
      <c r="K33" s="127"/>
    </row>
    <row r="34" spans="1:20" ht="18" customHeight="1" x14ac:dyDescent="0.25">
      <c r="B34" s="29" t="s">
        <v>29</v>
      </c>
      <c r="C34" s="30"/>
      <c r="D34" s="30"/>
      <c r="E34" s="30"/>
      <c r="F34" s="30"/>
      <c r="G34" s="30"/>
      <c r="H34" s="125"/>
      <c r="I34" s="126"/>
      <c r="J34" s="126"/>
      <c r="K34" s="127"/>
    </row>
    <row r="35" spans="1:20" ht="18" customHeight="1" x14ac:dyDescent="0.25">
      <c r="B35" s="29" t="s">
        <v>30</v>
      </c>
      <c r="C35" s="30"/>
      <c r="D35" s="30"/>
      <c r="E35" s="30"/>
      <c r="F35" s="30"/>
      <c r="G35" s="30"/>
      <c r="H35" s="125"/>
      <c r="I35" s="126"/>
      <c r="J35" s="126"/>
      <c r="K35" s="127"/>
    </row>
    <row r="36" spans="1:20" ht="18" customHeight="1" x14ac:dyDescent="0.25">
      <c r="B36" s="29" t="s">
        <v>31</v>
      </c>
      <c r="C36" s="30"/>
      <c r="D36" s="30"/>
      <c r="E36" s="30"/>
      <c r="F36" s="30"/>
      <c r="G36" s="30"/>
      <c r="H36" s="125"/>
      <c r="I36" s="126"/>
      <c r="J36" s="126"/>
      <c r="K36" s="127"/>
    </row>
    <row r="38" spans="1:20" ht="39.9" customHeight="1" x14ac:dyDescent="0.25">
      <c r="B38" s="39" t="s">
        <v>43</v>
      </c>
      <c r="G38" s="38"/>
    </row>
    <row r="39" spans="1:20" ht="57" customHeight="1" x14ac:dyDescent="0.25">
      <c r="A39" s="2"/>
      <c r="B39" s="133" t="s">
        <v>0</v>
      </c>
      <c r="C39" s="134" t="s">
        <v>10</v>
      </c>
      <c r="D39" s="134"/>
      <c r="E39" s="134"/>
      <c r="F39" s="134"/>
      <c r="G39" s="135" t="s">
        <v>1</v>
      </c>
      <c r="H39" s="132" t="s">
        <v>14</v>
      </c>
      <c r="I39" s="132"/>
      <c r="J39" s="132"/>
      <c r="K39" s="136" t="s">
        <v>2</v>
      </c>
      <c r="L39" s="136"/>
      <c r="M39" s="136"/>
      <c r="N39" s="130" t="s">
        <v>6</v>
      </c>
      <c r="O39" s="130"/>
      <c r="P39" s="131" t="s">
        <v>9</v>
      </c>
      <c r="Q39" s="2"/>
      <c r="R39" s="2"/>
      <c r="S39" s="2"/>
      <c r="T39" s="2"/>
    </row>
    <row r="40" spans="1:20" ht="15.9" customHeight="1" x14ac:dyDescent="0.25">
      <c r="A40" s="2"/>
      <c r="B40" s="133"/>
      <c r="C40" s="12" t="s">
        <v>32</v>
      </c>
      <c r="D40" s="12" t="s">
        <v>11</v>
      </c>
      <c r="E40" s="12" t="s">
        <v>12</v>
      </c>
      <c r="F40" s="12" t="s">
        <v>13</v>
      </c>
      <c r="G40" s="135"/>
      <c r="H40" s="13" t="s">
        <v>15</v>
      </c>
      <c r="I40" s="13" t="s">
        <v>16</v>
      </c>
      <c r="J40" s="13" t="s">
        <v>17</v>
      </c>
      <c r="K40" s="14" t="s">
        <v>3</v>
      </c>
      <c r="L40" s="14" t="s">
        <v>4</v>
      </c>
      <c r="M40" s="14" t="s">
        <v>5</v>
      </c>
      <c r="N40" s="15" t="s">
        <v>7</v>
      </c>
      <c r="O40" s="15" t="s">
        <v>8</v>
      </c>
      <c r="P40" s="131"/>
      <c r="Q40" s="2"/>
      <c r="R40" s="2"/>
      <c r="S40" s="2"/>
      <c r="T40" s="2"/>
    </row>
    <row r="41" spans="1:20" x14ac:dyDescent="0.25">
      <c r="A41" s="2"/>
      <c r="B41" s="11" t="s">
        <v>18</v>
      </c>
      <c r="C41" s="16">
        <v>45778</v>
      </c>
      <c r="D41" s="16">
        <v>45782</v>
      </c>
      <c r="E41" s="16">
        <v>45839</v>
      </c>
      <c r="F41" s="17">
        <f t="shared" ref="F41:F54" si="0">E41-D41</f>
        <v>57</v>
      </c>
      <c r="G41" s="17">
        <v>10</v>
      </c>
      <c r="H41" s="18">
        <v>1000000</v>
      </c>
      <c r="I41" s="18">
        <v>880000</v>
      </c>
      <c r="J41" s="18">
        <f t="shared" ref="J41:J54" si="1">(H41-I41)</f>
        <v>120000</v>
      </c>
      <c r="K41" s="19">
        <v>1</v>
      </c>
      <c r="L41" s="19">
        <v>0</v>
      </c>
      <c r="M41" s="19">
        <v>4</v>
      </c>
      <c r="N41" s="19">
        <v>2</v>
      </c>
      <c r="O41" s="19">
        <v>0</v>
      </c>
      <c r="P41" s="19">
        <v>4</v>
      </c>
      <c r="Q41" s="2"/>
      <c r="R41" s="2"/>
      <c r="S41" s="2"/>
      <c r="T41" s="2"/>
    </row>
    <row r="42" spans="1:20" x14ac:dyDescent="0.25">
      <c r="A42" s="2"/>
      <c r="B42" s="20" t="s">
        <v>19</v>
      </c>
      <c r="C42" s="21">
        <v>45809</v>
      </c>
      <c r="D42" s="21">
        <v>45787</v>
      </c>
      <c r="E42" s="21">
        <v>45879</v>
      </c>
      <c r="F42" s="22">
        <f t="shared" si="0"/>
        <v>92</v>
      </c>
      <c r="G42" s="23">
        <v>5</v>
      </c>
      <c r="H42" s="24">
        <v>900000</v>
      </c>
      <c r="I42" s="24">
        <v>920000</v>
      </c>
      <c r="J42" s="24">
        <f t="shared" si="1"/>
        <v>-20000</v>
      </c>
      <c r="K42" s="25">
        <v>2</v>
      </c>
      <c r="L42" s="25">
        <v>3</v>
      </c>
      <c r="M42" s="25">
        <v>5</v>
      </c>
      <c r="N42" s="26">
        <v>1</v>
      </c>
      <c r="O42" s="26">
        <v>2</v>
      </c>
      <c r="P42" s="27">
        <v>3</v>
      </c>
      <c r="Q42" s="2"/>
      <c r="R42" s="2"/>
      <c r="S42" s="2"/>
      <c r="T42" s="2"/>
    </row>
    <row r="43" spans="1:20" x14ac:dyDescent="0.25">
      <c r="A43" s="2"/>
      <c r="B43" s="11" t="s">
        <v>20</v>
      </c>
      <c r="C43" s="16">
        <v>45839</v>
      </c>
      <c r="D43" s="16">
        <v>45818</v>
      </c>
      <c r="E43" s="16">
        <v>46082</v>
      </c>
      <c r="F43" s="17">
        <f t="shared" si="0"/>
        <v>264</v>
      </c>
      <c r="G43" s="17">
        <v>10</v>
      </c>
      <c r="H43" s="18">
        <v>860000</v>
      </c>
      <c r="I43" s="18">
        <v>850000</v>
      </c>
      <c r="J43" s="18">
        <f t="shared" si="1"/>
        <v>10000</v>
      </c>
      <c r="K43" s="19">
        <v>3</v>
      </c>
      <c r="L43" s="19">
        <v>4</v>
      </c>
      <c r="M43" s="19">
        <v>3</v>
      </c>
      <c r="N43" s="19">
        <v>2</v>
      </c>
      <c r="O43" s="19">
        <v>1</v>
      </c>
      <c r="P43" s="19">
        <v>2</v>
      </c>
      <c r="Q43" s="2"/>
      <c r="R43" s="2"/>
      <c r="S43" s="2"/>
      <c r="T43" s="2"/>
    </row>
    <row r="44" spans="1:20" x14ac:dyDescent="0.25">
      <c r="A44" s="2"/>
      <c r="B44" s="20" t="s">
        <v>21</v>
      </c>
      <c r="C44" s="21">
        <v>45870</v>
      </c>
      <c r="D44" s="21">
        <v>45830</v>
      </c>
      <c r="E44" s="21">
        <v>45873</v>
      </c>
      <c r="F44" s="22">
        <f t="shared" si="0"/>
        <v>43</v>
      </c>
      <c r="G44" s="23">
        <v>5</v>
      </c>
      <c r="H44" s="24">
        <v>1000000</v>
      </c>
      <c r="I44" s="24">
        <v>998050</v>
      </c>
      <c r="J44" s="24">
        <f t="shared" si="1"/>
        <v>1950</v>
      </c>
      <c r="K44" s="25">
        <v>5</v>
      </c>
      <c r="L44" s="25">
        <v>8</v>
      </c>
      <c r="M44" s="25">
        <v>1</v>
      </c>
      <c r="N44" s="26">
        <v>1</v>
      </c>
      <c r="O44" s="26">
        <v>0</v>
      </c>
      <c r="P44" s="27">
        <v>0</v>
      </c>
      <c r="Q44" s="2"/>
      <c r="R44" s="2"/>
      <c r="S44" s="2"/>
      <c r="T44" s="2"/>
    </row>
    <row r="45" spans="1:20" x14ac:dyDescent="0.25">
      <c r="A45" s="2"/>
      <c r="B45" s="11" t="s">
        <v>22</v>
      </c>
      <c r="C45" s="16">
        <v>45901</v>
      </c>
      <c r="D45" s="16">
        <v>45852</v>
      </c>
      <c r="E45" s="16">
        <v>45962</v>
      </c>
      <c r="F45" s="17">
        <f t="shared" si="0"/>
        <v>110</v>
      </c>
      <c r="G45" s="17">
        <v>10</v>
      </c>
      <c r="H45" s="18">
        <v>294000</v>
      </c>
      <c r="I45" s="18">
        <v>280000</v>
      </c>
      <c r="J45" s="18">
        <f t="shared" si="1"/>
        <v>14000</v>
      </c>
      <c r="K45" s="19">
        <v>8</v>
      </c>
      <c r="L45" s="19">
        <v>6</v>
      </c>
      <c r="M45" s="19">
        <v>4</v>
      </c>
      <c r="N45" s="19">
        <v>0</v>
      </c>
      <c r="O45" s="19">
        <v>3</v>
      </c>
      <c r="P45" s="19">
        <v>1</v>
      </c>
      <c r="Q45" s="2"/>
      <c r="R45" s="2"/>
      <c r="S45" s="2"/>
      <c r="T45" s="2"/>
    </row>
    <row r="46" spans="1:20" x14ac:dyDescent="0.25">
      <c r="A46" s="2"/>
      <c r="B46" s="20" t="s">
        <v>23</v>
      </c>
      <c r="C46" s="21">
        <v>45931</v>
      </c>
      <c r="D46" s="21">
        <v>45852</v>
      </c>
      <c r="E46" s="21">
        <v>46042</v>
      </c>
      <c r="F46" s="22">
        <f t="shared" si="0"/>
        <v>190</v>
      </c>
      <c r="G46" s="23">
        <v>5</v>
      </c>
      <c r="H46" s="24">
        <v>123400</v>
      </c>
      <c r="I46" s="24">
        <v>125000</v>
      </c>
      <c r="J46" s="24">
        <f t="shared" si="1"/>
        <v>-1600</v>
      </c>
      <c r="K46" s="25">
        <v>5</v>
      </c>
      <c r="L46" s="25">
        <v>0</v>
      </c>
      <c r="M46" s="25">
        <v>0</v>
      </c>
      <c r="N46" s="26">
        <v>2</v>
      </c>
      <c r="O46" s="26">
        <v>0</v>
      </c>
      <c r="P46" s="27">
        <v>2</v>
      </c>
      <c r="Q46" s="2"/>
      <c r="R46" s="2"/>
      <c r="S46" s="2"/>
      <c r="T46" s="2"/>
    </row>
    <row r="47" spans="1:20" x14ac:dyDescent="0.25">
      <c r="A47" s="2"/>
      <c r="B47" s="11" t="s">
        <v>24</v>
      </c>
      <c r="C47" s="16">
        <v>45962</v>
      </c>
      <c r="D47" s="16">
        <v>45870</v>
      </c>
      <c r="E47" s="16">
        <v>45931</v>
      </c>
      <c r="F47" s="17">
        <f t="shared" si="0"/>
        <v>61</v>
      </c>
      <c r="G47" s="17">
        <v>10</v>
      </c>
      <c r="H47" s="18">
        <v>250500</v>
      </c>
      <c r="I47" s="18">
        <v>246000</v>
      </c>
      <c r="J47" s="18">
        <f t="shared" si="1"/>
        <v>4500</v>
      </c>
      <c r="K47" s="19">
        <v>6</v>
      </c>
      <c r="L47" s="19">
        <v>4</v>
      </c>
      <c r="M47" s="19">
        <v>0</v>
      </c>
      <c r="N47" s="19">
        <v>1</v>
      </c>
      <c r="O47" s="19">
        <v>2</v>
      </c>
      <c r="P47" s="19">
        <v>3</v>
      </c>
      <c r="Q47" s="2"/>
      <c r="R47" s="2"/>
      <c r="S47" s="2"/>
      <c r="T47" s="2"/>
    </row>
    <row r="48" spans="1:20" x14ac:dyDescent="0.25">
      <c r="A48" s="2"/>
      <c r="B48" s="20" t="s">
        <v>25</v>
      </c>
      <c r="C48" s="21">
        <v>45992</v>
      </c>
      <c r="D48" s="21">
        <v>45883</v>
      </c>
      <c r="E48" s="21">
        <v>45899</v>
      </c>
      <c r="F48" s="22">
        <f t="shared" si="0"/>
        <v>16</v>
      </c>
      <c r="G48" s="23">
        <v>5</v>
      </c>
      <c r="H48" s="24">
        <v>127200</v>
      </c>
      <c r="I48" s="24">
        <v>126000</v>
      </c>
      <c r="J48" s="24">
        <f t="shared" si="1"/>
        <v>1200</v>
      </c>
      <c r="K48" s="25">
        <v>7</v>
      </c>
      <c r="L48" s="25">
        <v>3</v>
      </c>
      <c r="M48" s="25">
        <v>3</v>
      </c>
      <c r="N48" s="26">
        <v>0</v>
      </c>
      <c r="O48" s="26">
        <v>1</v>
      </c>
      <c r="P48" s="27">
        <v>4</v>
      </c>
      <c r="Q48" s="2"/>
      <c r="R48" s="2"/>
      <c r="S48" s="2"/>
      <c r="T48" s="2"/>
    </row>
    <row r="49" spans="1:20" x14ac:dyDescent="0.25">
      <c r="A49" s="2"/>
      <c r="B49" s="11" t="s">
        <v>26</v>
      </c>
      <c r="C49" s="16">
        <v>46023</v>
      </c>
      <c r="D49" s="16">
        <v>45901</v>
      </c>
      <c r="E49" s="16">
        <v>46001</v>
      </c>
      <c r="F49" s="17">
        <f t="shared" si="0"/>
        <v>100</v>
      </c>
      <c r="G49" s="17">
        <v>10</v>
      </c>
      <c r="H49" s="18">
        <v>80000</v>
      </c>
      <c r="I49" s="18">
        <v>79900</v>
      </c>
      <c r="J49" s="18">
        <f t="shared" si="1"/>
        <v>100</v>
      </c>
      <c r="K49" s="19">
        <v>0</v>
      </c>
      <c r="L49" s="19">
        <v>2</v>
      </c>
      <c r="M49" s="19">
        <v>4</v>
      </c>
      <c r="N49" s="19">
        <v>1</v>
      </c>
      <c r="O49" s="19">
        <v>3</v>
      </c>
      <c r="P49" s="19">
        <v>2</v>
      </c>
      <c r="Q49" s="2"/>
      <c r="R49" s="2"/>
      <c r="S49" s="2"/>
      <c r="T49" s="2"/>
    </row>
    <row r="50" spans="1:20" x14ac:dyDescent="0.25">
      <c r="A50" s="2"/>
      <c r="B50" s="20" t="s">
        <v>27</v>
      </c>
      <c r="C50" s="21">
        <v>46054</v>
      </c>
      <c r="D50" s="21">
        <v>45931</v>
      </c>
      <c r="E50" s="21">
        <v>45976</v>
      </c>
      <c r="F50" s="22">
        <f t="shared" si="0"/>
        <v>45</v>
      </c>
      <c r="G50" s="23">
        <v>5</v>
      </c>
      <c r="H50" s="24">
        <v>77000</v>
      </c>
      <c r="I50" s="24">
        <v>77000</v>
      </c>
      <c r="J50" s="24">
        <f t="shared" si="1"/>
        <v>0</v>
      </c>
      <c r="K50" s="25">
        <v>4</v>
      </c>
      <c r="L50" s="25">
        <v>4</v>
      </c>
      <c r="M50" s="25">
        <v>5</v>
      </c>
      <c r="N50" s="26">
        <v>2</v>
      </c>
      <c r="O50" s="26">
        <v>0</v>
      </c>
      <c r="P50" s="27">
        <v>0</v>
      </c>
      <c r="Q50" s="2"/>
      <c r="R50" s="2"/>
      <c r="S50" s="2"/>
      <c r="T50" s="2"/>
    </row>
    <row r="51" spans="1:20" x14ac:dyDescent="0.25">
      <c r="A51" s="2"/>
      <c r="B51" s="11" t="s">
        <v>28</v>
      </c>
      <c r="C51" s="16">
        <v>46082</v>
      </c>
      <c r="D51" s="16">
        <v>45931</v>
      </c>
      <c r="E51" s="16">
        <v>45992</v>
      </c>
      <c r="F51" s="17">
        <f t="shared" si="0"/>
        <v>61</v>
      </c>
      <c r="G51" s="17">
        <v>10</v>
      </c>
      <c r="H51" s="18">
        <v>65000</v>
      </c>
      <c r="I51" s="18">
        <v>65000</v>
      </c>
      <c r="J51" s="18">
        <f t="shared" si="1"/>
        <v>0</v>
      </c>
      <c r="K51" s="19">
        <v>3</v>
      </c>
      <c r="L51" s="19">
        <v>6</v>
      </c>
      <c r="M51" s="19">
        <v>4</v>
      </c>
      <c r="N51" s="19">
        <v>3</v>
      </c>
      <c r="O51" s="19">
        <v>2</v>
      </c>
      <c r="P51" s="19">
        <v>0</v>
      </c>
      <c r="Q51" s="2"/>
      <c r="R51" s="2"/>
      <c r="S51" s="2"/>
      <c r="T51" s="2"/>
    </row>
    <row r="52" spans="1:20" x14ac:dyDescent="0.25">
      <c r="A52" s="2"/>
      <c r="B52" s="20" t="s">
        <v>29</v>
      </c>
      <c r="C52" s="21">
        <v>46113</v>
      </c>
      <c r="D52" s="21">
        <v>45962</v>
      </c>
      <c r="E52" s="21">
        <v>45992</v>
      </c>
      <c r="F52" s="22">
        <f t="shared" si="0"/>
        <v>30</v>
      </c>
      <c r="G52" s="23">
        <v>5</v>
      </c>
      <c r="H52" s="24">
        <v>550000</v>
      </c>
      <c r="I52" s="24">
        <v>551000</v>
      </c>
      <c r="J52" s="24">
        <f t="shared" si="1"/>
        <v>-1000</v>
      </c>
      <c r="K52" s="25">
        <v>2</v>
      </c>
      <c r="L52" s="25">
        <v>3</v>
      </c>
      <c r="M52" s="25">
        <v>6</v>
      </c>
      <c r="N52" s="26">
        <v>0</v>
      </c>
      <c r="O52" s="26">
        <v>1</v>
      </c>
      <c r="P52" s="27">
        <v>1</v>
      </c>
      <c r="Q52" s="2"/>
      <c r="R52" s="2"/>
      <c r="S52" s="2"/>
      <c r="T52" s="2"/>
    </row>
    <row r="53" spans="1:20" x14ac:dyDescent="0.25">
      <c r="A53" s="2"/>
      <c r="B53" s="11" t="s">
        <v>30</v>
      </c>
      <c r="C53" s="16">
        <v>46143</v>
      </c>
      <c r="D53" s="16">
        <v>45971</v>
      </c>
      <c r="E53" s="16">
        <v>46001</v>
      </c>
      <c r="F53" s="17">
        <f t="shared" si="0"/>
        <v>30</v>
      </c>
      <c r="G53" s="17">
        <v>10</v>
      </c>
      <c r="H53" s="18">
        <v>45000</v>
      </c>
      <c r="I53" s="18">
        <v>42000</v>
      </c>
      <c r="J53" s="18">
        <f t="shared" si="1"/>
        <v>3000</v>
      </c>
      <c r="K53" s="19">
        <v>1</v>
      </c>
      <c r="L53" s="19">
        <v>1</v>
      </c>
      <c r="M53" s="19">
        <v>7</v>
      </c>
      <c r="N53" s="19">
        <v>1</v>
      </c>
      <c r="O53" s="19">
        <v>0</v>
      </c>
      <c r="P53" s="19">
        <v>2</v>
      </c>
      <c r="Q53" s="2"/>
      <c r="R53" s="2"/>
      <c r="S53" s="2"/>
      <c r="T53" s="2"/>
    </row>
    <row r="54" spans="1:20" x14ac:dyDescent="0.25">
      <c r="A54" s="2"/>
      <c r="B54" s="20" t="s">
        <v>31</v>
      </c>
      <c r="C54" s="21">
        <v>46174</v>
      </c>
      <c r="D54" s="21">
        <v>45992</v>
      </c>
      <c r="E54" s="21">
        <v>46063</v>
      </c>
      <c r="F54" s="22">
        <f t="shared" si="0"/>
        <v>71</v>
      </c>
      <c r="G54" s="23">
        <v>5</v>
      </c>
      <c r="H54" s="24">
        <v>32500</v>
      </c>
      <c r="I54" s="24">
        <v>33000</v>
      </c>
      <c r="J54" s="24">
        <f t="shared" si="1"/>
        <v>-500</v>
      </c>
      <c r="K54" s="25">
        <v>5</v>
      </c>
      <c r="L54" s="25">
        <v>0</v>
      </c>
      <c r="M54" s="25">
        <v>2</v>
      </c>
      <c r="N54" s="26">
        <v>2</v>
      </c>
      <c r="O54" s="26">
        <v>1</v>
      </c>
      <c r="P54" s="27">
        <v>3</v>
      </c>
      <c r="Q54" s="2"/>
      <c r="R54" s="2"/>
      <c r="S54" s="2"/>
      <c r="T54" s="2"/>
    </row>
    <row r="55" spans="1:20" ht="23.1" customHeight="1" x14ac:dyDescent="0.25">
      <c r="A55" s="2"/>
      <c r="B55" s="2"/>
      <c r="C55" s="2"/>
      <c r="D55" s="2"/>
      <c r="E55" s="2"/>
      <c r="F55" s="2"/>
      <c r="G55" s="5"/>
      <c r="H55" s="6">
        <f t="shared" ref="H55:P55" si="2">SUM(H41:H54)</f>
        <v>5404600</v>
      </c>
      <c r="I55" s="6">
        <f t="shared" si="2"/>
        <v>5272950</v>
      </c>
      <c r="J55" s="6">
        <f t="shared" si="2"/>
        <v>131650</v>
      </c>
      <c r="K55" s="7">
        <f t="shared" si="2"/>
        <v>52</v>
      </c>
      <c r="L55" s="7">
        <f t="shared" si="2"/>
        <v>44</v>
      </c>
      <c r="M55" s="7">
        <f t="shared" si="2"/>
        <v>48</v>
      </c>
      <c r="N55" s="8">
        <f t="shared" si="2"/>
        <v>18</v>
      </c>
      <c r="O55" s="8">
        <f t="shared" si="2"/>
        <v>16</v>
      </c>
      <c r="P55" s="9">
        <f t="shared" si="2"/>
        <v>27</v>
      </c>
      <c r="Q55" s="2"/>
      <c r="R55" s="2"/>
      <c r="S55" s="2"/>
      <c r="T55" s="2"/>
    </row>
    <row r="57" spans="1:20" s="35" customFormat="1" ht="50.1" customHeight="1" x14ac:dyDescent="0.25">
      <c r="B57" s="129" t="s">
        <v>41</v>
      </c>
      <c r="C57" s="129"/>
      <c r="D57" s="129"/>
      <c r="E57" s="129"/>
      <c r="F57" s="129"/>
      <c r="G57" s="129"/>
      <c r="H57" s="129"/>
      <c r="I57" s="129"/>
      <c r="J57" s="129"/>
      <c r="K57" s="129"/>
      <c r="L57" s="129"/>
      <c r="M57" s="129"/>
      <c r="N57" s="129"/>
      <c r="O57" s="129"/>
      <c r="P57" s="129"/>
    </row>
  </sheetData>
  <mergeCells count="23">
    <mergeCell ref="H36:K36"/>
    <mergeCell ref="B57:P57"/>
    <mergeCell ref="H25:K25"/>
    <mergeCell ref="H26:K26"/>
    <mergeCell ref="H27:K27"/>
    <mergeCell ref="H28:K28"/>
    <mergeCell ref="H29:K29"/>
    <mergeCell ref="N39:O39"/>
    <mergeCell ref="P39:P40"/>
    <mergeCell ref="H39:J39"/>
    <mergeCell ref="B39:B40"/>
    <mergeCell ref="C39:F39"/>
    <mergeCell ref="G39:G40"/>
    <mergeCell ref="K39:M39"/>
    <mergeCell ref="H31:K31"/>
    <mergeCell ref="H32:K32"/>
    <mergeCell ref="H33:K33"/>
    <mergeCell ref="H34:K34"/>
    <mergeCell ref="H35:K35"/>
    <mergeCell ref="H30:K30"/>
    <mergeCell ref="H22:K22"/>
    <mergeCell ref="H24:K24"/>
    <mergeCell ref="H23:K23"/>
  </mergeCells>
  <phoneticPr fontId="2" type="noConversion"/>
  <hyperlinks>
    <hyperlink ref="B57:P57" r:id="rId1" display="CLICK HERE TO CREATE IN SMARTSHEET" xr:uid="{1A43BC5D-C8B2-C74E-AD03-5E40467A2492}"/>
  </hyperlinks>
  <pageMargins left="0.3" right="0.3" top="0.3" bottom="0.3" header="0" footer="0"/>
  <pageSetup scale="69" fitToHeight="0" orientation="landscape" horizontalDpi="4294967292" verticalDpi="4294967292"/>
  <rowBreaks count="2" manualBreakCount="2">
    <brk id="6" max="16383" man="1"/>
    <brk id="37" max="16383" man="1"/>
  </rowBreaks>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3C4B-C82B-8546-8474-D329E515D58C}">
  <sheetPr>
    <tabColor theme="1" tint="0.34998626667073579"/>
  </sheetPr>
  <dimension ref="B2"/>
  <sheetViews>
    <sheetView showGridLines="0" workbookViewId="0">
      <selection activeCell="O70" sqref="O70"/>
    </sheetView>
  </sheetViews>
  <sheetFormatPr defaultColWidth="10.8984375" defaultRowHeight="14.4" x14ac:dyDescent="0.3"/>
  <cols>
    <col min="1" max="1" width="3.3984375" style="36" customWidth="1"/>
    <col min="2" max="2" width="88.3984375" style="36" customWidth="1"/>
    <col min="3" max="16384" width="10.8984375" style="36"/>
  </cols>
  <sheetData>
    <row r="2" spans="2:2" ht="90" x14ac:dyDescent="0.3">
      <c r="B2" s="37" t="s">
        <v>42</v>
      </c>
    </row>
  </sheetData>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F0D73-79D4-BB44-84C5-464BB5ACD800}">
  <sheetPr>
    <tabColor theme="8" tint="0.79998168889431442"/>
    <pageSetUpPr fitToPage="1"/>
  </sheetPr>
  <dimension ref="A1:DN63"/>
  <sheetViews>
    <sheetView showGridLines="0" topLeftCell="A4" zoomScale="90" zoomScaleNormal="90" workbookViewId="0">
      <selection activeCell="M14" sqref="M14"/>
    </sheetView>
  </sheetViews>
  <sheetFormatPr defaultColWidth="10.8984375" defaultRowHeight="15" x14ac:dyDescent="0.25"/>
  <cols>
    <col min="1" max="1" width="3.3984375" style="1" customWidth="1"/>
    <col min="2" max="2" width="20.8984375" style="1" customWidth="1"/>
    <col min="3" max="3" width="10.8984375" style="1"/>
    <col min="4" max="8" width="12" style="1" customWidth="1"/>
    <col min="9" max="13" width="10.8984375" style="1"/>
    <col min="14" max="14" width="12.09765625" style="1" customWidth="1"/>
    <col min="15" max="15" width="11.796875" style="1" customWidth="1"/>
    <col min="16" max="16" width="13.296875" style="1" customWidth="1"/>
    <col min="17" max="17" width="3.3984375" style="1" customWidth="1"/>
    <col min="18" max="16384" width="10.8984375" style="1"/>
  </cols>
  <sheetData>
    <row r="1" spans="2:118" s="31" customFormat="1" ht="45" customHeight="1" x14ac:dyDescent="0.3">
      <c r="B1" s="41" t="s">
        <v>1378</v>
      </c>
      <c r="C1" s="32"/>
      <c r="D1" s="33"/>
      <c r="E1" s="33"/>
      <c r="F1" s="34"/>
      <c r="G1" s="33"/>
      <c r="H1" s="42"/>
      <c r="I1" s="42"/>
      <c r="J1" s="42"/>
      <c r="K1" s="42"/>
      <c r="L1" s="42"/>
      <c r="M1" s="42"/>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c r="CW1" s="33"/>
      <c r="CX1" s="33"/>
      <c r="CY1" s="33"/>
      <c r="CZ1" s="33"/>
      <c r="DA1" s="33"/>
      <c r="DB1" s="33"/>
      <c r="DC1" s="33"/>
      <c r="DD1" s="33"/>
      <c r="DE1" s="33"/>
      <c r="DF1" s="33"/>
      <c r="DG1" s="33"/>
      <c r="DH1" s="33"/>
      <c r="DI1" s="33"/>
      <c r="DJ1" s="33"/>
      <c r="DK1" s="33"/>
      <c r="DL1" s="33"/>
      <c r="DM1" s="33"/>
      <c r="DN1" s="33"/>
    </row>
    <row r="2" spans="2:118" s="31" customFormat="1" ht="34.5" customHeight="1" x14ac:dyDescent="0.3">
      <c r="B2" s="43"/>
      <c r="C2" s="32"/>
      <c r="D2" s="33"/>
      <c r="E2" s="33"/>
      <c r="F2" s="34"/>
      <c r="G2" s="33"/>
      <c r="H2" s="42"/>
      <c r="I2" s="42"/>
      <c r="J2" s="42"/>
      <c r="K2" s="42"/>
      <c r="L2" s="42"/>
      <c r="M2" s="42"/>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c r="CW2" s="33"/>
      <c r="CX2" s="33"/>
      <c r="CY2" s="33"/>
      <c r="CZ2" s="33"/>
      <c r="DA2" s="33"/>
      <c r="DB2" s="33"/>
      <c r="DC2" s="33"/>
      <c r="DD2" s="33"/>
      <c r="DE2" s="33"/>
      <c r="DF2" s="33"/>
      <c r="DG2" s="33"/>
      <c r="DH2" s="33"/>
      <c r="DI2" s="33"/>
      <c r="DJ2" s="33"/>
      <c r="DK2" s="33"/>
      <c r="DL2" s="33"/>
      <c r="DM2" s="33"/>
      <c r="DN2" s="33"/>
    </row>
    <row r="3" spans="2:118" ht="24" customHeight="1" x14ac:dyDescent="0.25">
      <c r="B3" s="40" t="s">
        <v>362</v>
      </c>
      <c r="C3" s="40"/>
      <c r="D3" s="40"/>
      <c r="E3" s="40"/>
      <c r="F3" s="40"/>
      <c r="G3" s="40"/>
      <c r="H3" s="40"/>
      <c r="I3" s="40"/>
      <c r="J3" s="40"/>
      <c r="K3" s="40"/>
    </row>
    <row r="4" spans="2:118" ht="387" customHeight="1" x14ac:dyDescent="0.25">
      <c r="B4" s="3"/>
    </row>
    <row r="5" spans="2:118" ht="290.10000000000002" customHeight="1" x14ac:dyDescent="0.25"/>
    <row r="6" spans="2:118" ht="22.2" customHeight="1" x14ac:dyDescent="0.25">
      <c r="B6" s="1" t="s">
        <v>1074</v>
      </c>
    </row>
    <row r="7" spans="2:118" ht="358.2" customHeight="1" x14ac:dyDescent="0.25"/>
    <row r="8" spans="2:118" ht="180" customHeight="1" x14ac:dyDescent="0.25"/>
    <row r="11" spans="2:118" ht="24" customHeight="1" x14ac:dyDescent="0.25">
      <c r="B11" s="40" t="s">
        <v>984</v>
      </c>
      <c r="C11" s="40"/>
      <c r="D11" s="40"/>
      <c r="E11" s="40"/>
      <c r="F11" s="40"/>
      <c r="G11" s="40"/>
      <c r="H11" s="40"/>
      <c r="I11" s="40"/>
      <c r="J11" s="40"/>
      <c r="K11" s="40"/>
    </row>
    <row r="12" spans="2:118" ht="228" customHeight="1" x14ac:dyDescent="0.25"/>
    <row r="14" spans="2:118" ht="183" customHeight="1" x14ac:dyDescent="0.25"/>
    <row r="15" spans="2:118" ht="43.8" customHeight="1" x14ac:dyDescent="0.25"/>
    <row r="17" spans="1:17" ht="39.9" customHeight="1" x14ac:dyDescent="0.25">
      <c r="B17" s="39" t="s">
        <v>43</v>
      </c>
      <c r="G17" s="38" t="s">
        <v>44</v>
      </c>
    </row>
    <row r="18" spans="1:17" ht="57" customHeight="1" x14ac:dyDescent="0.25">
      <c r="A18" s="2"/>
      <c r="B18" s="133" t="s">
        <v>0</v>
      </c>
      <c r="C18" s="134" t="s">
        <v>363</v>
      </c>
      <c r="D18" s="134"/>
      <c r="E18" s="134"/>
      <c r="F18" s="134"/>
      <c r="G18" s="135" t="s">
        <v>352</v>
      </c>
      <c r="H18" s="136" t="s">
        <v>1335</v>
      </c>
      <c r="I18" s="136"/>
      <c r="J18" s="136"/>
      <c r="K18" s="138" t="s">
        <v>6</v>
      </c>
      <c r="L18" s="138"/>
      <c r="M18" s="137" t="s">
        <v>355</v>
      </c>
      <c r="N18" s="2"/>
      <c r="O18" s="2"/>
      <c r="P18" s="2"/>
      <c r="Q18" s="2"/>
    </row>
    <row r="19" spans="1:17" ht="15.9" customHeight="1" x14ac:dyDescent="0.25">
      <c r="A19" s="2"/>
      <c r="B19" s="133"/>
      <c r="C19" s="12" t="s">
        <v>32</v>
      </c>
      <c r="D19" s="12" t="s">
        <v>11</v>
      </c>
      <c r="E19" s="12" t="s">
        <v>12</v>
      </c>
      <c r="F19" s="12" t="s">
        <v>13</v>
      </c>
      <c r="G19" s="135"/>
      <c r="H19" s="73" t="s">
        <v>349</v>
      </c>
      <c r="I19" s="72" t="s">
        <v>350</v>
      </c>
      <c r="J19" s="14" t="s">
        <v>351</v>
      </c>
      <c r="K19" s="71" t="s">
        <v>354</v>
      </c>
      <c r="L19" s="71" t="s">
        <v>353</v>
      </c>
      <c r="M19" s="137"/>
      <c r="N19" s="2"/>
      <c r="O19" s="2"/>
      <c r="P19" s="2"/>
      <c r="Q19" s="2"/>
    </row>
    <row r="20" spans="1:17" x14ac:dyDescent="0.25">
      <c r="A20" s="2"/>
      <c r="B20" s="11" t="s">
        <v>47</v>
      </c>
      <c r="C20" s="74">
        <v>46023</v>
      </c>
      <c r="D20" s="75">
        <v>46023</v>
      </c>
      <c r="E20" s="74">
        <v>46387</v>
      </c>
      <c r="F20" s="17">
        <f>E20-D20+1</f>
        <v>365</v>
      </c>
      <c r="G20" s="17">
        <f>FRIM!C1</f>
        <v>104</v>
      </c>
      <c r="H20" s="19">
        <f ca="1">FRIM!T9</f>
        <v>7</v>
      </c>
      <c r="I20" s="19">
        <f ca="1">FRIM!U9</f>
        <v>6</v>
      </c>
      <c r="J20" s="19">
        <f ca="1">FRIM!V9</f>
        <v>17</v>
      </c>
      <c r="K20" s="19">
        <f>FRIM!T4</f>
        <v>0</v>
      </c>
      <c r="L20" s="19">
        <f>FRIM!T3</f>
        <v>30</v>
      </c>
      <c r="M20" s="19">
        <f>FRIM!G1</f>
        <v>74</v>
      </c>
      <c r="N20" s="2"/>
      <c r="O20" s="2"/>
      <c r="P20" s="2"/>
      <c r="Q20" s="2"/>
    </row>
    <row r="21" spans="1:17" x14ac:dyDescent="0.25">
      <c r="A21" s="2"/>
      <c r="B21" s="20" t="s">
        <v>357</v>
      </c>
      <c r="C21" s="74">
        <v>46023</v>
      </c>
      <c r="D21" s="75">
        <v>45962</v>
      </c>
      <c r="E21" s="74">
        <v>46326</v>
      </c>
      <c r="F21" s="22">
        <f t="shared" ref="F21:F33" si="0">E21-D21+1</f>
        <v>365</v>
      </c>
      <c r="G21" s="23">
        <f>MTIB!C1</f>
        <v>52</v>
      </c>
      <c r="H21" s="25">
        <f ca="1">MTIB!T9</f>
        <v>2</v>
      </c>
      <c r="I21" s="25">
        <f ca="1">MTIB!U9</f>
        <v>6</v>
      </c>
      <c r="J21" s="25">
        <f ca="1">MTIB!V9</f>
        <v>7</v>
      </c>
      <c r="K21" s="26">
        <f>MTIB!T4</f>
        <v>1</v>
      </c>
      <c r="L21" s="26">
        <f>MTIB!T3</f>
        <v>15</v>
      </c>
      <c r="M21" s="27">
        <f>MTIB!G1</f>
        <v>36</v>
      </c>
      <c r="N21" s="2"/>
      <c r="O21" s="2"/>
      <c r="P21" s="2"/>
      <c r="Q21" s="2"/>
    </row>
    <row r="22" spans="1:17" x14ac:dyDescent="0.25">
      <c r="A22" s="2"/>
      <c r="B22" s="11" t="s">
        <v>356</v>
      </c>
      <c r="C22" s="74">
        <v>46023</v>
      </c>
      <c r="D22" s="75">
        <v>46023</v>
      </c>
      <c r="E22" s="74">
        <v>46387</v>
      </c>
      <c r="F22" s="17">
        <f t="shared" si="0"/>
        <v>365</v>
      </c>
      <c r="G22" s="17">
        <f>MPOB!C1</f>
        <v>206</v>
      </c>
      <c r="H22" s="19">
        <f ca="1">MPOB!T9</f>
        <v>0</v>
      </c>
      <c r="I22" s="19">
        <f ca="1">MPOB!U9</f>
        <v>11</v>
      </c>
      <c r="J22" s="19">
        <f ca="1">MPOB!V9</f>
        <v>26</v>
      </c>
      <c r="K22" s="19">
        <f>MPOB!T4</f>
        <v>9</v>
      </c>
      <c r="L22" s="19">
        <f>MPOB!T3</f>
        <v>29</v>
      </c>
      <c r="M22" s="19">
        <f>MPOB!G1</f>
        <v>168</v>
      </c>
      <c r="N22" s="2"/>
      <c r="O22" s="2"/>
      <c r="P22" s="2"/>
      <c r="Q22" s="2"/>
    </row>
    <row r="23" spans="1:17" x14ac:dyDescent="0.25">
      <c r="A23" s="2"/>
      <c r="B23" s="20" t="s">
        <v>358</v>
      </c>
      <c r="C23" s="74">
        <v>46023</v>
      </c>
      <c r="D23" s="75">
        <v>46023</v>
      </c>
      <c r="E23" s="74">
        <v>46387</v>
      </c>
      <c r="F23" s="22">
        <f t="shared" si="0"/>
        <v>365</v>
      </c>
      <c r="G23" s="23">
        <f>LKTN!C1</f>
        <v>15</v>
      </c>
      <c r="H23" s="25">
        <f ca="1">LKTN!T9</f>
        <v>2</v>
      </c>
      <c r="I23" s="25">
        <f ca="1">LKTN!U9</f>
        <v>2</v>
      </c>
      <c r="J23" s="25">
        <f ca="1">LKTN!V9</f>
        <v>0</v>
      </c>
      <c r="K23" s="26">
        <f>LKTN!T4</f>
        <v>0</v>
      </c>
      <c r="L23" s="26">
        <f>LKTN!T3</f>
        <v>4</v>
      </c>
      <c r="M23" s="27">
        <f>LKTN!G1</f>
        <v>11</v>
      </c>
      <c r="N23" s="2"/>
      <c r="O23" s="2"/>
      <c r="P23" s="2"/>
      <c r="Q23" s="2"/>
    </row>
    <row r="24" spans="1:17" x14ac:dyDescent="0.25">
      <c r="A24" s="2"/>
      <c r="B24" s="11" t="s">
        <v>359</v>
      </c>
      <c r="C24" s="74">
        <v>45931</v>
      </c>
      <c r="D24" s="75">
        <v>45931</v>
      </c>
      <c r="E24" s="74">
        <v>46295</v>
      </c>
      <c r="F24" s="17">
        <f t="shared" si="0"/>
        <v>365</v>
      </c>
      <c r="G24" s="17">
        <f>LAM!C1</f>
        <v>21</v>
      </c>
      <c r="H24" s="19">
        <f ca="1">LAM!T9</f>
        <v>1</v>
      </c>
      <c r="I24" s="19">
        <f ca="1">LAM!U9</f>
        <v>2</v>
      </c>
      <c r="J24" s="19">
        <f ca="1">LAM!V9</f>
        <v>1</v>
      </c>
      <c r="K24" s="19">
        <f>LAM!T4</f>
        <v>0</v>
      </c>
      <c r="L24" s="19">
        <f>LAM!T3</f>
        <v>4</v>
      </c>
      <c r="M24" s="19">
        <f>LAM!G1</f>
        <v>17</v>
      </c>
      <c r="N24" s="2"/>
      <c r="O24" s="2"/>
      <c r="P24" s="2"/>
      <c r="Q24" s="2"/>
    </row>
    <row r="25" spans="1:17" x14ac:dyDescent="0.25">
      <c r="A25" s="2"/>
      <c r="B25" s="20" t="s">
        <v>360</v>
      </c>
      <c r="C25" s="74">
        <v>46023</v>
      </c>
      <c r="D25" s="75">
        <v>46023</v>
      </c>
      <c r="E25" s="74">
        <v>46387</v>
      </c>
      <c r="F25" s="22">
        <f t="shared" si="0"/>
        <v>365</v>
      </c>
      <c r="G25" s="23">
        <f>ISN!C1</f>
        <v>25</v>
      </c>
      <c r="H25" s="25">
        <f ca="1">ISN!T9</f>
        <v>6</v>
      </c>
      <c r="I25" s="25">
        <f ca="1">ISN!U9</f>
        <v>1</v>
      </c>
      <c r="J25" s="25">
        <f ca="1">ISN!V9</f>
        <v>2</v>
      </c>
      <c r="K25" s="26">
        <f>ISN!T4</f>
        <v>2</v>
      </c>
      <c r="L25" s="26">
        <f>ISN!T3</f>
        <v>7</v>
      </c>
      <c r="M25" s="27">
        <f>ISN!G1</f>
        <v>16</v>
      </c>
      <c r="N25" s="2"/>
      <c r="O25" s="2"/>
      <c r="P25" s="2"/>
      <c r="Q25" s="2"/>
    </row>
    <row r="26" spans="1:17" x14ac:dyDescent="0.25">
      <c r="A26" s="2"/>
      <c r="B26" s="11" t="s">
        <v>361</v>
      </c>
      <c r="C26" s="74">
        <v>46023</v>
      </c>
      <c r="D26" s="75">
        <v>45809</v>
      </c>
      <c r="E26" s="74">
        <v>46173</v>
      </c>
      <c r="F26" s="17">
        <f t="shared" si="0"/>
        <v>365</v>
      </c>
      <c r="G26" s="17">
        <f>MSN!C1</f>
        <v>9</v>
      </c>
      <c r="H26" s="19">
        <f ca="1">MSN!T9</f>
        <v>0</v>
      </c>
      <c r="I26" s="19">
        <f ca="1">MSN!U9</f>
        <v>0</v>
      </c>
      <c r="J26" s="19">
        <f ca="1">MSN!V9</f>
        <v>3</v>
      </c>
      <c r="K26" s="19">
        <f>MSN!T4</f>
        <v>1</v>
      </c>
      <c r="L26" s="19">
        <f>MSN!T3</f>
        <v>2</v>
      </c>
      <c r="M26" s="19">
        <f>MSN!G1</f>
        <v>6</v>
      </c>
      <c r="N26" s="2"/>
      <c r="O26" s="2"/>
      <c r="P26" s="2"/>
      <c r="Q26" s="2"/>
    </row>
    <row r="27" spans="1:17" x14ac:dyDescent="0.25">
      <c r="A27" s="2"/>
      <c r="B27" s="20"/>
      <c r="C27" s="74">
        <v>46023</v>
      </c>
      <c r="D27" s="75">
        <v>46023</v>
      </c>
      <c r="E27" s="74">
        <v>46387</v>
      </c>
      <c r="F27" s="22">
        <f t="shared" si="0"/>
        <v>365</v>
      </c>
      <c r="G27" s="23">
        <v>0</v>
      </c>
      <c r="H27" s="25">
        <v>0</v>
      </c>
      <c r="I27" s="25">
        <v>0</v>
      </c>
      <c r="J27" s="25">
        <v>0</v>
      </c>
      <c r="K27" s="26">
        <v>0</v>
      </c>
      <c r="L27" s="26">
        <v>0</v>
      </c>
      <c r="M27" s="27">
        <v>0</v>
      </c>
      <c r="N27" s="2"/>
      <c r="O27" s="2"/>
      <c r="P27" s="2"/>
      <c r="Q27" s="2"/>
    </row>
    <row r="28" spans="1:17" x14ac:dyDescent="0.25">
      <c r="A28" s="2"/>
      <c r="B28" s="20" t="s">
        <v>1076</v>
      </c>
      <c r="C28" s="74">
        <v>46023</v>
      </c>
      <c r="D28" s="75">
        <v>45927</v>
      </c>
      <c r="E28" s="74">
        <v>46291</v>
      </c>
      <c r="F28" s="17">
        <f t="shared" si="0"/>
        <v>365</v>
      </c>
      <c r="G28" s="17">
        <f>KTPC!C1</f>
        <v>9</v>
      </c>
      <c r="H28" s="19">
        <f ca="1">KTPC!T9</f>
        <v>0</v>
      </c>
      <c r="I28" s="19">
        <f ca="1">KTPC!U9</f>
        <v>0</v>
      </c>
      <c r="J28" s="19">
        <f ca="1">KTPC!V9</f>
        <v>0</v>
      </c>
      <c r="K28" s="19">
        <f>KTPC!T4</f>
        <v>0</v>
      </c>
      <c r="L28" s="19">
        <f>KTPC!T3</f>
        <v>0</v>
      </c>
      <c r="M28" s="19">
        <f>KTPC!G1</f>
        <v>9</v>
      </c>
      <c r="N28" s="2"/>
      <c r="O28" s="2"/>
      <c r="P28" s="2"/>
      <c r="Q28" s="2"/>
    </row>
    <row r="29" spans="1:17" x14ac:dyDescent="0.25">
      <c r="A29" s="2"/>
      <c r="B29" s="20" t="s">
        <v>1077</v>
      </c>
      <c r="C29" s="74">
        <v>46023</v>
      </c>
      <c r="D29" s="75">
        <v>46023</v>
      </c>
      <c r="E29" s="74">
        <v>46752</v>
      </c>
      <c r="F29" s="22">
        <f t="shared" si="0"/>
        <v>730</v>
      </c>
      <c r="G29" s="23">
        <f>KUIPS!C1</f>
        <v>32</v>
      </c>
      <c r="H29" s="25">
        <f ca="1">KUIPS!T9</f>
        <v>23</v>
      </c>
      <c r="I29" s="25">
        <f ca="1">KUIPS!U9</f>
        <v>0</v>
      </c>
      <c r="J29" s="25">
        <f ca="1">KUIPS!V9</f>
        <v>0</v>
      </c>
      <c r="K29" s="26">
        <f>KUIPS!T4</f>
        <v>0</v>
      </c>
      <c r="L29" s="26">
        <f>KUIPS!T3</f>
        <v>23</v>
      </c>
      <c r="M29" s="27">
        <f>KUIPS!G1</f>
        <v>9</v>
      </c>
      <c r="N29" s="2"/>
      <c r="O29" s="2"/>
      <c r="P29" s="2"/>
      <c r="Q29" s="2"/>
    </row>
    <row r="30" spans="1:17" x14ac:dyDescent="0.25">
      <c r="A30" s="2"/>
      <c r="B30" s="11"/>
      <c r="C30" s="74"/>
      <c r="D30" s="75"/>
      <c r="E30" s="74"/>
      <c r="F30" s="17">
        <f t="shared" si="0"/>
        <v>1</v>
      </c>
      <c r="G30" s="17"/>
      <c r="H30" s="19"/>
      <c r="I30" s="19"/>
      <c r="J30" s="19"/>
      <c r="K30" s="19"/>
      <c r="L30" s="19"/>
      <c r="M30" s="19"/>
      <c r="N30" s="2"/>
      <c r="O30" s="2"/>
      <c r="P30" s="2"/>
      <c r="Q30" s="2"/>
    </row>
    <row r="31" spans="1:17" x14ac:dyDescent="0.25">
      <c r="A31" s="2"/>
      <c r="B31" s="20"/>
      <c r="C31" s="74"/>
      <c r="D31" s="75"/>
      <c r="E31" s="74"/>
      <c r="F31" s="22">
        <f t="shared" si="0"/>
        <v>1</v>
      </c>
      <c r="G31" s="23"/>
      <c r="H31" s="25"/>
      <c r="I31" s="25"/>
      <c r="J31" s="25"/>
      <c r="K31" s="26"/>
      <c r="L31" s="26"/>
      <c r="M31" s="27"/>
      <c r="N31" s="2"/>
      <c r="O31" s="2"/>
      <c r="P31" s="2"/>
      <c r="Q31" s="2"/>
    </row>
    <row r="32" spans="1:17" x14ac:dyDescent="0.25">
      <c r="A32" s="2"/>
      <c r="B32" s="11"/>
      <c r="C32" s="74"/>
      <c r="D32" s="75"/>
      <c r="E32" s="74"/>
      <c r="F32" s="17">
        <f t="shared" si="0"/>
        <v>1</v>
      </c>
      <c r="G32" s="17"/>
      <c r="H32" s="19"/>
      <c r="I32" s="19"/>
      <c r="J32" s="19"/>
      <c r="K32" s="19"/>
      <c r="L32" s="19"/>
      <c r="M32" s="19"/>
      <c r="N32" s="2"/>
      <c r="O32" s="2"/>
      <c r="P32" s="2"/>
      <c r="Q32" s="2"/>
    </row>
    <row r="33" spans="1:20" x14ac:dyDescent="0.25">
      <c r="A33" s="2"/>
      <c r="B33" s="20"/>
      <c r="C33" s="74"/>
      <c r="D33" s="75"/>
      <c r="E33" s="74"/>
      <c r="F33" s="22">
        <f t="shared" si="0"/>
        <v>1</v>
      </c>
      <c r="G33" s="23"/>
      <c r="H33" s="25"/>
      <c r="I33" s="25"/>
      <c r="J33" s="25"/>
      <c r="K33" s="26"/>
      <c r="L33" s="26"/>
      <c r="M33" s="27"/>
      <c r="N33" s="2"/>
      <c r="O33" s="2"/>
      <c r="P33" s="2"/>
      <c r="Q33" s="2"/>
    </row>
    <row r="34" spans="1:20" ht="23.1" customHeight="1" x14ac:dyDescent="0.25">
      <c r="A34" s="2"/>
      <c r="B34" s="2"/>
      <c r="C34" s="2"/>
      <c r="D34" s="2"/>
      <c r="E34" s="2"/>
      <c r="F34" s="2"/>
      <c r="G34" s="5"/>
      <c r="H34" s="7">
        <f t="shared" ref="H34:M34" ca="1" si="1">SUM(H20:H33)</f>
        <v>41</v>
      </c>
      <c r="I34" s="7">
        <f t="shared" ca="1" si="1"/>
        <v>28</v>
      </c>
      <c r="J34" s="7">
        <f t="shared" ca="1" si="1"/>
        <v>56</v>
      </c>
      <c r="K34" s="8">
        <f t="shared" si="1"/>
        <v>13</v>
      </c>
      <c r="L34" s="8">
        <f t="shared" si="1"/>
        <v>114</v>
      </c>
      <c r="M34" s="9">
        <f t="shared" si="1"/>
        <v>346</v>
      </c>
      <c r="Q34" s="2"/>
      <c r="R34" s="2"/>
      <c r="S34" s="2"/>
      <c r="T34" s="2"/>
    </row>
    <row r="63" spans="2:2" x14ac:dyDescent="0.25">
      <c r="B63" s="1" t="s">
        <v>45</v>
      </c>
    </row>
  </sheetData>
  <mergeCells count="6">
    <mergeCell ref="B18:B19"/>
    <mergeCell ref="C18:F18"/>
    <mergeCell ref="G18:G19"/>
    <mergeCell ref="H18:J18"/>
    <mergeCell ref="M18:M19"/>
    <mergeCell ref="K18:L18"/>
  </mergeCells>
  <pageMargins left="0.3" right="0.3" top="0.3" bottom="0.3" header="0" footer="0"/>
  <pageSetup scale="58" fitToHeight="0" orientation="landscape" horizontalDpi="4294967292" verticalDpi="4294967292" r:id="rId1"/>
  <rowBreaks count="2" manualBreakCount="2">
    <brk id="5" min="1" max="18" man="1"/>
    <brk id="12" min="1" max="18"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547AD-6893-4735-9DDA-BF27F3F168E1}">
  <dimension ref="A1:AV83"/>
  <sheetViews>
    <sheetView tabSelected="1" topLeftCell="D2" zoomScale="70" zoomScaleNormal="70" workbookViewId="0">
      <selection activeCell="J3" sqref="J3"/>
    </sheetView>
  </sheetViews>
  <sheetFormatPr defaultRowHeight="15.6" x14ac:dyDescent="0.3"/>
  <cols>
    <col min="1" max="1" width="3.5" style="115" customWidth="1"/>
    <col min="2" max="2" width="10.3984375" style="118" customWidth="1"/>
    <col min="3" max="3" width="15" style="115" customWidth="1"/>
    <col min="4" max="4" width="19.5" style="115" customWidth="1"/>
    <col min="5" max="5" width="46.3984375" style="115" customWidth="1"/>
    <col min="6" max="6" width="11.8984375" style="88" customWidth="1"/>
    <col min="7" max="7" width="3.796875" customWidth="1"/>
    <col min="8" max="8" width="5.19921875" style="115" customWidth="1"/>
    <col min="9" max="9" width="10.19921875" style="119" customWidth="1"/>
    <col min="10" max="11" width="15.796875" style="115" customWidth="1"/>
    <col min="12" max="12" width="44.5" style="115" customWidth="1"/>
    <col min="13" max="13" width="12.19921875" style="88" customWidth="1"/>
    <col min="14" max="14" width="3.5" customWidth="1"/>
    <col min="15" max="15" width="5.09765625" style="115" customWidth="1"/>
    <col min="16" max="16" width="10.59765625" style="120" customWidth="1"/>
    <col min="17" max="17" width="14.296875" style="115" customWidth="1"/>
    <col min="18" max="18" width="15.19921875" style="115" customWidth="1"/>
    <col min="19" max="19" width="45.09765625" style="115" customWidth="1"/>
    <col min="20" max="20" width="12.59765625" style="88" customWidth="1"/>
    <col min="21" max="21" width="4.19921875" customWidth="1"/>
    <col min="22" max="22" width="5.19921875" style="115" customWidth="1"/>
    <col min="23" max="23" width="10.796875" style="121" customWidth="1"/>
    <col min="24" max="24" width="13.59765625" style="115" customWidth="1"/>
    <col min="25" max="25" width="17.19921875" style="115" customWidth="1"/>
    <col min="26" max="26" width="36.296875" style="115" customWidth="1"/>
    <col min="27" max="27" width="10.296875" style="64" customWidth="1"/>
    <col min="28" max="28" width="4.19921875" customWidth="1"/>
    <col min="29" max="29" width="5.3984375" style="115" customWidth="1"/>
    <col min="30" max="30" width="9.5" style="122" customWidth="1"/>
    <col min="31" max="31" width="13.796875" style="115" customWidth="1"/>
    <col min="32" max="32" width="14.19921875" style="115" customWidth="1"/>
    <col min="33" max="33" width="31.3984375" style="115" customWidth="1"/>
    <col min="34" max="34" width="12.296875" style="64" customWidth="1"/>
    <col min="35" max="35" width="3.5" customWidth="1"/>
    <col min="36" max="36" width="4.796875" style="115" customWidth="1"/>
    <col min="37" max="37" width="10.09765625" style="123" customWidth="1"/>
    <col min="38" max="38" width="13.59765625" style="115" customWidth="1"/>
    <col min="39" max="39" width="14.296875" style="115" customWidth="1"/>
    <col min="40" max="40" width="29.69921875" style="115" customWidth="1"/>
    <col min="41" max="41" width="10.3984375" style="64" customWidth="1"/>
    <col min="42" max="42" width="3.796875" customWidth="1"/>
    <col min="43" max="43" width="5.5" style="115" customWidth="1"/>
    <col min="44" max="44" width="8.796875" style="124"/>
    <col min="45" max="45" width="13.8984375" style="115" customWidth="1"/>
    <col min="46" max="46" width="17.69921875" style="115" customWidth="1"/>
    <col min="47" max="47" width="33.8984375" style="115" customWidth="1"/>
    <col min="48" max="48" width="10.19921875" style="64" customWidth="1"/>
  </cols>
  <sheetData>
    <row r="1" spans="1:48" ht="24.6" customHeight="1" x14ac:dyDescent="0.3">
      <c r="A1" s="106" t="s">
        <v>52</v>
      </c>
      <c r="B1" s="106" t="s">
        <v>56</v>
      </c>
      <c r="C1" s="106" t="s">
        <v>53</v>
      </c>
      <c r="D1" s="106" t="s">
        <v>55</v>
      </c>
      <c r="E1" s="106" t="s">
        <v>58</v>
      </c>
      <c r="F1" s="117" t="s">
        <v>68</v>
      </c>
      <c r="H1" s="106" t="s">
        <v>52</v>
      </c>
      <c r="I1" s="106" t="s">
        <v>56</v>
      </c>
      <c r="J1" s="106" t="s">
        <v>53</v>
      </c>
      <c r="K1" s="106" t="s">
        <v>55</v>
      </c>
      <c r="L1" s="106" t="s">
        <v>58</v>
      </c>
      <c r="M1" s="117" t="s">
        <v>68</v>
      </c>
      <c r="O1" s="106" t="s">
        <v>52</v>
      </c>
      <c r="P1" s="106" t="s">
        <v>56</v>
      </c>
      <c r="Q1" s="106" t="s">
        <v>53</v>
      </c>
      <c r="R1" s="106" t="s">
        <v>55</v>
      </c>
      <c r="S1" s="106" t="s">
        <v>58</v>
      </c>
      <c r="T1" s="117" t="s">
        <v>68</v>
      </c>
      <c r="V1" s="106" t="s">
        <v>52</v>
      </c>
      <c r="W1" s="106" t="s">
        <v>56</v>
      </c>
      <c r="X1" s="106" t="s">
        <v>53</v>
      </c>
      <c r="Y1" s="106" t="s">
        <v>55</v>
      </c>
      <c r="Z1" s="106" t="s">
        <v>58</v>
      </c>
      <c r="AA1" s="117" t="s">
        <v>68</v>
      </c>
      <c r="AC1" s="106" t="s">
        <v>52</v>
      </c>
      <c r="AD1" s="106" t="s">
        <v>56</v>
      </c>
      <c r="AE1" s="106" t="s">
        <v>53</v>
      </c>
      <c r="AF1" s="106" t="s">
        <v>55</v>
      </c>
      <c r="AG1" s="106" t="s">
        <v>58</v>
      </c>
      <c r="AH1" s="117" t="s">
        <v>68</v>
      </c>
      <c r="AJ1" s="106" t="s">
        <v>52</v>
      </c>
      <c r="AK1" s="106" t="s">
        <v>56</v>
      </c>
      <c r="AL1" s="106" t="s">
        <v>53</v>
      </c>
      <c r="AM1" s="106" t="s">
        <v>55</v>
      </c>
      <c r="AN1" s="106" t="s">
        <v>58</v>
      </c>
      <c r="AO1" s="117" t="s">
        <v>68</v>
      </c>
      <c r="AQ1" s="106" t="s">
        <v>52</v>
      </c>
      <c r="AR1" s="106" t="s">
        <v>56</v>
      </c>
      <c r="AS1" s="106" t="s">
        <v>53</v>
      </c>
      <c r="AT1" s="106" t="s">
        <v>55</v>
      </c>
      <c r="AU1" s="106" t="s">
        <v>58</v>
      </c>
      <c r="AV1" s="117" t="s">
        <v>68</v>
      </c>
    </row>
    <row r="2" spans="1:48" ht="280.8" x14ac:dyDescent="0.3">
      <c r="A2" s="115">
        <v>1</v>
      </c>
      <c r="B2" s="118" t="str" cm="1">
        <f t="array" aca="1" ref="B2" ca="1">IFERROR(INDEX(FRIM!$E$3:$E$1000,
SMALL(IF(FRIM!$Q$3:$Q$1000&lt;&gt;"",
ROW(FRIM!$Q$3:$Q$1000)-ROW(FRIM!$Q$3)+1),
ROWS(A$2:A2))),"")</f>
        <v>FRIM</v>
      </c>
      <c r="C2" s="116" t="str" cm="1">
        <f t="array" aca="1" ref="C2" ca="1">IFERROR(INDEX(FRIM!$B$3:$B$1000,
SMALL(IF(FRIM!$Q$3:$Q$1000&lt;&gt;"",
ROW(FRIM!$Q$3:$Q$1000)-ROW(FRIM!$Q$3)+1),
ROWS(A$2:A2))),"")</f>
        <v>T/2026/00060</v>
      </c>
      <c r="D2" s="116" t="str" cm="1">
        <f t="array" aca="1" ref="D2" ca="1">IFERROR(INDEX(FRIM!$D$3:$D$1000,
SMALL(IF(FRIM!$Q$3:$Q$1000&lt;&gt;"",
ROW(FRIM!$Q$3:$Q$1000)-ROW(FRIM!$Q$3)+1),
ROWS(A$2:A2))),"")</f>
        <v>MYPROCUREMENT</v>
      </c>
      <c r="E2" s="116" t="str" cm="1">
        <f t="array" aca="1" ref="E2" ca="1">IFERROR(INDEX(FRIM!$G$3:$G$1000,
SMALL(IF(FRIM!$Q$3:$Q$1000&lt;&gt;"",
ROW(FRIM!$Q$3:$Q$1000)-ROW(FRIM!$Q$3)+1),
ROWS(A$2:A2))),"")</f>
        <v>No Aduan: W2488 Name: NUR SYAQIRAH BINTI MOHAMED FOZI Date: 07/01/2026 Desc: PADA DEFINISI TEMPOH TUTUP RO MOHON UNTUK TUTUP JUGA SISTEM BAGI PELULUS DAN PENYOKONG VOT SEPERTIMANA TEMPOH YANG DITETAPKAN.</v>
      </c>
      <c r="F2" s="88" t="str" cm="1">
        <f t="array" aca="1" ref="F2" ca="1">IFERROR(INDEX(FRIM!$Q$3:$Q$1000,
SMALL(IF(FRIM!$Q$3:$Q$1000&lt;&gt;"",
ROW(FRIM!$Q$3:$Q$1000)-ROW(FRIM!$Q$3)+1),
ROWS(A$2:A2))),"")</f>
        <v>&gt;60 Days</v>
      </c>
      <c r="H2" s="115">
        <v>1</v>
      </c>
      <c r="I2" s="119" t="str" cm="1">
        <f t="array" aca="1" ref="I2" ca="1">IFERROR(INDEX(MTIB!$E$3:$E$1000,
SMALL(
IF((MTIB!$Q$3:$Q$1000&lt;&gt;"")*(MTIB!$Q$3:$Q$1000&lt;&gt;"Not Due"),
ROW(MTIB!$Q$3:$Q$1000)-ROW(MTIB!$Q$3)+1),
ROWS(A$2:A2))),"")</f>
        <v>MTIB</v>
      </c>
      <c r="J2" s="115" t="str" cm="1">
        <f t="array" aca="1" ref="J2" ca="1">IFERROR(INDEX(MTIB!$B$3:$B$1000,
SMALL(
IF((MTIB!$Q$3:$Q$1000&lt;&gt;"")*(MTIB!$Q$3:$Q$1000&lt;&gt;"Not Due"),
ROW(MTIB!$Q$3:$Q$1000)-ROW(MTIB!$Q$3)+1),
ROWS(A$2:A2))),"")</f>
        <v>T/2025/00182</v>
      </c>
      <c r="K2" s="115" t="str" cm="1">
        <f t="array" aca="1" ref="K2" ca="1">IFERROR(INDEX(MTIB!$D$3:$D$1000,
SMALL(
IF((MTIB!$Q$3:$Q$1000&lt;&gt;"")*(MTIB!$Q$3:$Q$1000&lt;&gt;"Not Due"),
ROW(MTIB!$Q$3:$Q$1000)-ROW(MTIB!$Q$3)+1),
ROWS(A$2:A2))),"")</f>
        <v>EFT</v>
      </c>
      <c r="L2" s="116" t="str" cm="1">
        <f t="array" aca="1" ref="L2" ca="1">IFERROR(INDEX(MTIB!$G$3:$G$1000,
SMALL(
IF((MTIB!$Q$3:$Q$1000&lt;&gt;"")*(MTIB!$Q$3:$Q$1000&lt;&gt;"Not Due"),
ROW(MTIB!$Q$3:$Q$1000)-ROW(MTIB!$Q$3)+1),
ROWS(A$2:A2))),"")</f>
        <v>1. Notifikasi - notis pembayaran melalui EFT tidak diterima oleh pihak pembekal, pegawai projek 2. Notis untuk tuntutan/pendahuluan juga tidak diterima oleh pagawai MTIB Pengadu: Siti Zahrah Senin</v>
      </c>
      <c r="M2" s="88" t="str" cm="1">
        <f t="array" aca="1" ref="M2" ca="1">IFERROR(INDEX(MTIB!$Q$3:$Q$1000,
SMALL(
IF((MTIB!$Q$3:$Q$1000&lt;&gt;"")*(MTIB!$Q$3:$Q$1000&lt;&gt;"Not Due"),
ROW(MTIB!$Q$3:$Q$1000)-ROW(MTIB!$Q$3)+1),
ROWS(A$2:A2))
),"")</f>
        <v>&gt;60 Days</v>
      </c>
      <c r="O2" s="115">
        <v>1</v>
      </c>
      <c r="P2" s="120" t="str" cm="1">
        <f t="array" aca="1" ref="P2" ca="1">IFERROR(INDEX(MPOB!$E$3:$E$1000,
SMALL(
IF((MPOB!$Q$3:$Q$1000&lt;&gt;"")*(MPOB!$Q$3:$Q$1000&lt;&gt;"Not Due"),
ROW(MPOB!$Q$3:$Q$1000)-ROW(MPOB!$Q$3)+1),
ROWS(A$2:A2))),"")</f>
        <v>MPOB</v>
      </c>
      <c r="Q2" s="115" t="str" cm="1">
        <f t="array" aca="1" ref="Q2" ca="1">IFERROR(INDEX(MPOB!$B$3:$B$1000,
SMALL(
IF((MPOB!$Q$3:$Q$1000&lt;&gt;"")*(MPOB!$Q$3:$Q$1000&lt;&gt;"Not Due"),
ROW(MPOB!$Q$3:$Q$1000)-ROW(MPOB!$Q$3)+1),
ROWS(A$2:A2))),"")</f>
        <v>T/2026/00142</v>
      </c>
      <c r="R2" s="115" t="str" cm="1">
        <f t="array" aca="1" ref="R2" ca="1">IFERROR(INDEX(MPOB!$D$3:$D$1000,
SMALL(
IF((MPOB!$Q$3:$Q$1000&lt;&gt;"")*(MPOB!$Q$3:$Q$1000&lt;&gt;"Not Due"),
ROW(MPOB!$Q$3:$Q$1000)-ROW(MPOB!$Q$3)+1),
ROWS(A$2:A2))),"")</f>
        <v>MyAsset</v>
      </c>
      <c r="S2" s="116" t="str" cm="1">
        <f t="array" aca="1" ref="S2" ca="1">IFERROR(INDEX(MPOB!$G$3:$G$1000,
SMALL(
IF((MPOB!$Q$3:$Q$1000&lt;&gt;"")*(MPOB!$Q$3:$Q$1000&lt;&gt;"Not Due"),
ROW(MPOB!$Q$3:$Q$1000)-ROW(MPOB!$Q$3)+1),
ROWS(A$2:A2))),"")</f>
        <v>Nama User : Zulaikha Date : 19/1/2026 Isu :Ini berkaitan pendaftaran aset dalam modul MyAsset, PIC sebelum ni Puan Suhana tapi tak sure masih sama atau tidak 👆🏼ni senarai pendaftaran aset yang masih pending peringkat pengesahan dan kelulusan Nak mintak tolong SW semak dan luluskan secara backdoor dan provide kami nombor jurnal AM untuk kami approve Sama seperti tahun lepas, kami terpaksa mintak tolong SW untuk buat backdoor sebab dah terlalu lambat dan pertukaran pegawai aset.</v>
      </c>
      <c r="T2" s="88" t="str" cm="1">
        <f t="array" aca="1" ref="T2" ca="1">IFERROR(INDEX(MPOB!$Q$3:$Q$1000,
SMALL(
IF((MPOB!$Q$3:$Q$1000&lt;&gt;"")*(MPOB!$Q$3:$Q$1000&lt;&gt;"Not Due"),
ROW(MPOB!$Q$3:$Q$1000)-ROW(MPOB!$Q$3)+1),
ROWS(A$2:A2))
),"")</f>
        <v>&gt;60 Days</v>
      </c>
      <c r="V2" s="115">
        <v>1</v>
      </c>
      <c r="W2" s="121" t="str" cm="1">
        <f t="array" aca="1" ref="W2" ca="1">IFERROR(INDEX(LKTN!$E$3:$E$1000,
SMALL(
IF((LKTN!$Q$3:$Q$1000&lt;&gt;"")*(LKTN!$Q$3:$Q$1000&lt;&gt;"Not Due"),
ROW(LKTN!$Q$3:$Q$1000)-ROW(LKTN!$Q$3)+1),
ROWS(A$2:A2))),"")</f>
        <v>LKTN</v>
      </c>
      <c r="X2" s="115" t="str" cm="1">
        <f t="array" aca="1" ref="X2" ca="1">IFERROR(INDEX(LKTN!$B$3:$B$1000,
SMALL(
IF((LKTN!$Q$3:$Q$1000&lt;&gt;"")*(LKTN!$Q$3:$Q$1000&lt;&gt;"Not Due"),
ROW(LKTN!$Q$3:$Q$1000)-ROW(LKTN!$Q$3)+1),
ROWS(A$2:A2))),"")</f>
        <v>T/2026/00293</v>
      </c>
      <c r="Y2" s="115" t="str" cm="1">
        <f t="array" aca="1" ref="Y2" ca="1">IFERROR(INDEX(LKTN!$D$3:$D$1000,
SMALL(
IF((LKTN!$Q$3:$Q$1000&lt;&gt;"")*(LKTN!$Q$3:$Q$1000&lt;&gt;"Not Due"),
ROW(LKTN!$Q$3:$Q$1000)-ROW(LKTN!$Q$3)+1),
ROWS(A$2:A2))),"")</f>
        <v>MYPROCUREMENT</v>
      </c>
      <c r="Z2" s="116" t="str" cm="1">
        <f t="array" aca="1" ref="Z2" ca="1">IFERROR(INDEX(LKTN!$G$3:$G$1000,
SMALL(
IF((LKTN!$Q$3:$Q$1000&lt;&gt;"")*(LKTN!$Q$3:$Q$1000&lt;&gt;"Not Due"),
ROW(LKTN!$Q$3:$Q$1000)-ROW(LKTN!$Q$3)+1),
ROWS(A$2:A2))),"")</f>
        <v>PEMOHON TIDAK DAPAT MEMBUAT PENGESAHAN PENERIMAAN. RUJUKAN : NO. LO : LO1225/01161 NO. PENERIMAAN : PR005922</v>
      </c>
      <c r="AA2" s="64" t="str" cm="1">
        <f t="array" aca="1" ref="AA2" ca="1">IFERROR(INDEX(LKTN!$Q$3:$Q$1000,
SMALL(
IF((LKTN!$Q$3:$Q$1000&lt;&gt;"")*(LKTN!$Q$3:$Q$1000&lt;&gt;"Not Due"),
ROW(LKTN!$Q$3:$Q$1000)-ROW(LKTN!$Q$3)+1),
ROWS(A$2:A2))
),"")</f>
        <v>31-60 Days</v>
      </c>
      <c r="AC2" s="115">
        <v>1</v>
      </c>
      <c r="AD2" s="122" t="str" cm="1">
        <f t="array" aca="1" ref="AD2" ca="1">IFERROR(INDEX(LAM!$E$3:$E$1000,
SMALL(
IF((LAM!$Q$3:$Q$1000&lt;&gt;"")*(LAM!$Q$3:$Q$1000&lt;&gt;"Not Due"),
ROW(LAM!$Q$3:$Q$1000)-ROW(LAM!$Q$3)+1),
ROWS(A$2:A2))),"")</f>
        <v>LAM</v>
      </c>
      <c r="AE2" s="115" t="str" cm="1">
        <f t="array" aca="1" ref="AE2" ca="1">IFERROR(INDEX(LAM!$B$3:$B$1000,
SMALL(
IF((LAM!$Q$3:$Q$1000&lt;&gt;"")*(LAM!$Q$3:$Q$1000&lt;&gt;"Not Due"),
ROW(LAM!$Q$3:$Q$1000)-ROW(LAM!$Q$3)+1),
ROWS(A$2:A2))),"")</f>
        <v>T/2026/00245</v>
      </c>
      <c r="AF2" s="115" t="str" cm="1">
        <f t="array" aca="1" ref="AF2" ca="1">IFERROR(INDEX(LAM!$D$3:$D$1000,
SMALL(
IF((LAM!$Q$3:$Q$1000&lt;&gt;"")*(LAM!$Q$3:$Q$1000&lt;&gt;"Not Due"),
ROW(LAM!$Q$3:$Q$1000)-ROW(LAM!$Q$3)+1),
ROWS(A$2:A2))),"")</f>
        <v>MYPANJAR</v>
      </c>
      <c r="AG2" s="116" t="str" cm="1">
        <f t="array" aca="1" ref="AG2" ca="1">IFERROR(INDEX(LAM!$G$3:$G$1000,
SMALL(
IF((LAM!$Q$3:$Q$1000&lt;&gt;"")*(LAM!$Q$3:$Q$1000&lt;&gt;"Not Due"),
ROW(LAM!$Q$3:$Q$1000)-ROW(LAM!$Q$3)+1),
ROWS(A$2:A2))),"")</f>
        <v>KELUAR ERROR BILA KLIK BUTANG SIMPAN (PANJAR AM) - SEPERTI DI LAMPIRAN</v>
      </c>
      <c r="AH2" s="64" t="str" cm="1">
        <f t="array" aca="1" ref="AH2" ca="1">IFERROR(INDEX(LAM!$Q$3:$Q$1000,
SMALL(
IF((LAM!$Q$3:$Q$1000&lt;&gt;"")*(LAM!$Q$3:$Q$1000&lt;&gt;"Not Due"),
ROW(LAM!$Q$3:$Q$1000)-ROW(LAM!$Q$3)+1),
ROWS(A$2:A2))
),"")</f>
        <v>&gt;60 Days</v>
      </c>
      <c r="AJ2" s="115">
        <v>1</v>
      </c>
      <c r="AK2" s="123" t="str" cm="1">
        <f t="array" aca="1" ref="AK2" ca="1">IFERROR(INDEX(ISN!$E$3:$E$1000,
SMALL(
IF((ISN!$Q$3:$Q$1000&lt;&gt;"")*(ISN!$Q$3:$Q$1000&lt;&gt;"Not Due"),
ROW(ISN!$Q$3:$Q$1000)-ROW(ISN!$Q$3)+1),
ROWS(A$2:A2))),"")</f>
        <v>ISN</v>
      </c>
      <c r="AL2" s="115" t="str" cm="1">
        <f t="array" aca="1" ref="AL2" ca="1">IFERROR(INDEX(ISN!$B$3:$B$1000,
SMALL(
IF((ISN!$Q$3:$Q$1000&lt;&gt;"")*(ISN!$Q$3:$Q$1000&lt;&gt;"Not Due"),
ROW(ISN!$Q$3:$Q$1000)-ROW(ISN!$Q$3)+1),
ROWS(A$2:A2))),"")</f>
        <v>T/2026/00021</v>
      </c>
      <c r="AM2" s="116" t="str" cm="1">
        <f t="array" aca="1" ref="AM2" ca="1">IFERROR(INDEX(ISN!$D$3:$D$1000,
SMALL(
IF((ISN!$Q$3:$Q$1000&lt;&gt;"")*(ISN!$Q$3:$Q$1000&lt;&gt;"Not Due"),
ROW(ISN!$Q$3:$Q$1000)-ROW(ISN!$Q$3)+1),
ROWS(A$2:A2))),"")</f>
        <v>MYFINANCIAL CLIENT</v>
      </c>
      <c r="AN2" s="116" t="str" cm="1">
        <f t="array" aca="1" ref="AN2" ca="1">IFERROR(INDEX(ISN!$G$3:$G$1000,
SMALL(
IF((ISN!$Q$3:$Q$1000&lt;&gt;"")*(ISN!$Q$3:$Q$1000&lt;&gt;"Not Due"),
ROW(ISN!$Q$3:$Q$1000)-ROW(ISN!$Q$3)+1),
ROWS(A$2:A2))),"")</f>
        <v>Nama Penerima / Syarikat tak appear dalam Laporan Butiran Lejar Am</v>
      </c>
      <c r="AO2" s="64" t="str" cm="1">
        <f t="array" aca="1" ref="AO2" ca="1">IFERROR(INDEX(ISN!$Q$3:$Q$1000,
SMALL(
IF((ISN!$Q$3:$Q$1000&lt;&gt;"")*(ISN!$Q$3:$Q$1000&lt;&gt;"Not Due"),
ROW(ISN!$Q$3:$Q$1000)-ROW(ISN!$Q$3)+1),
ROWS(A$2:A2))
),"")</f>
        <v>&gt;60 Days</v>
      </c>
      <c r="AQ2" s="115">
        <v>1</v>
      </c>
      <c r="AR2" s="124" t="str" cm="1">
        <f t="array" aca="1" ref="AR2" ca="1">IFERROR(INDEX(MSN!$E$3:$E$1000,
SMALL(
IF((MSN!$Q$3:$Q$1000&lt;&gt;"")*(MSN!$Q$3:$Q$1000&lt;&gt;"Not Due"),
ROW(MSN!$Q$3:$Q$1000)-ROW(MSN!$Q$3)+1),
ROWS(A$2:A2))),"")</f>
        <v>MSN</v>
      </c>
      <c r="AS2" s="115" t="str" cm="1">
        <f t="array" aca="1" ref="AS2" ca="1">IFERROR(INDEX(MSN!$B$3:$B$1000,
SMALL(
IF((MSN!$Q$3:$Q$1000&lt;&gt;"")*(MSN!$Q$3:$Q$1000&lt;&gt;"Not Due"),
ROW(MSN!$Q$3:$Q$1000)-ROW(MSN!$Q$3)+1),
ROWS(A$2:A2))),"")</f>
        <v>T/2025/00149</v>
      </c>
      <c r="AT2" s="115" t="str" cm="1">
        <f t="array" aca="1" ref="AT2" ca="1">IFERROR(INDEX(MSN!$D$3:$D$1000,
SMALL(
IF((MSN!$Q$3:$Q$1000&lt;&gt;"")*(MSN!$Q$3:$Q$1000&lt;&gt;"Not Due"),
ROW(MSN!$Q$3:$Q$1000)-ROW(MSN!$Q$3)+1),
ROWS(A$2:A2))),"")</f>
        <v>MYSTOR</v>
      </c>
      <c r="AU2" s="116" t="str" cm="1">
        <f t="array" aca="1" ref="AU2" ca="1">IFERROR(INDEX(MSN!$G$3:$G$1000,
SMALL(
IF((MSN!$Q$3:$Q$1000&lt;&gt;"")*(MSN!$Q$3:$Q$1000&lt;&gt;"Not Due"),
ROW(MSN!$Q$3:$Q$1000)-ROW(MSN!$Q$3)+1),
ROWS(A$2:A2))),"")</f>
        <v>Mohon untuk membuat beberapa perubahan di dalam sistem stor. A) Borang Permohonan Stok:- 1. Untuk mengemaskini senarai nama kakitangan Majlis dan Bahagian termasuk list venue-venue sukan MSN 2. Untuk buat drop down list sahaja bagi semua ruang kerana Majlis selalu membuat pertukaran tempat bertugas dan terdapat kenaikan pangkat. 3. Tambah ruang catatan dalam permohonan keluaran stok seperti di dalam Borang Kew p.s 8. Pastikan semasa kew p.s8 dijana, keterangan dalam ruang Catatan turut dicetak. 4. Tambah ruang unit dalam butiran permohonan keluaran stok.</v>
      </c>
      <c r="AV2" s="64" t="str" cm="1">
        <f t="array" aca="1" ref="AV2" ca="1">IFERROR(INDEX(MSN!$Q$3:$Q$1000,
SMALL(
IF((MSN!$Q$3:$Q$1000&lt;&gt;"")*(MSN!$Q$3:$Q$1000&lt;&gt;"Not Due"),
ROW(MSN!$Q$3:$Q$1000)-ROW(MSN!$Q$3)+1),
ROWS(A$2:A2))
),"")</f>
        <v>&gt;60 Days</v>
      </c>
    </row>
    <row r="3" spans="1:48" ht="187.2" x14ac:dyDescent="0.3">
      <c r="A3" s="115">
        <v>2</v>
      </c>
      <c r="B3" s="118" t="str" cm="1">
        <f t="array" aca="1" ref="B3" ca="1">IFERROR(INDEX(FRIM!$E$3:$E$1000,
SMALL(IF(FRIM!$Q$3:$Q$1000&lt;&gt;"",
ROW(FRIM!$Q$3:$Q$1000)-ROW(FRIM!$Q$3)+1),
ROWS(A$2:A3))),"")</f>
        <v>FRIM</v>
      </c>
      <c r="C3" s="116" t="str" cm="1">
        <f t="array" aca="1" ref="C3" ca="1">IFERROR(INDEX(FRIM!$B$3:$B$1000,
SMALL(IF(FRIM!$Q$3:$Q$1000&lt;&gt;"",
ROW(FRIM!$Q$3:$Q$1000)-ROW(FRIM!$Q$3)+1),
ROWS(A$2:A3))),"")</f>
        <v>T/2026/00061</v>
      </c>
      <c r="D3" s="116" t="str" cm="1">
        <f t="array" aca="1" ref="D3" ca="1">IFERROR(INDEX(FRIM!$D$3:$D$1000,
SMALL(IF(FRIM!$Q$3:$Q$1000&lt;&gt;"",
ROW(FRIM!$Q$3:$Q$1000)-ROW(FRIM!$Q$3)+1),
ROWS(A$2:A3))),"")</f>
        <v>MYPROCUREMENT</v>
      </c>
      <c r="E3" s="116" t="str" cm="1">
        <f t="array" aca="1" ref="E3" ca="1">IFERROR(INDEX(FRIM!$G$3:$G$1000,
SMALL(IF(FRIM!$Q$3:$Q$1000&lt;&gt;"",
ROW(FRIM!$Q$3:$Q$1000)-ROW(FRIM!$Q$3)+1),
ROWS(A$2:A3))),"")</f>
        <v>No Aduan: W2489 Name: NUR SYAQIRAH BINTI MOHAMED FOZI Date: 13/01/2026 Desc: PEMBEKAL TIDAK BOLEH UPLOAD DOKUMEN PADA PORTAL PENDAFTARAN PEMBEKAL</v>
      </c>
      <c r="F3" s="88" t="str" cm="1">
        <f t="array" aca="1" ref="F3" ca="1">IFERROR(INDEX(FRIM!$Q$3:$Q$1000,
SMALL(IF(FRIM!$Q$3:$Q$1000&lt;&gt;"",
ROW(FRIM!$Q$3:$Q$1000)-ROW(FRIM!$Q$3)+1),
ROWS(A$2:A3))),"")</f>
        <v>&gt;60 Days</v>
      </c>
      <c r="H3" s="115">
        <v>2</v>
      </c>
      <c r="I3" s="119" t="str" cm="1">
        <f t="array" aca="1" ref="I3" ca="1">IFERROR(INDEX(MTIB!$E$3:$E$1000,
SMALL(
IF((MTIB!$Q$3:$Q$1000&lt;&gt;"")*(MTIB!$Q$3:$Q$1000&lt;&gt;"Not Due"),
ROW(MTIB!$Q$3:$Q$1000)-ROW(MTIB!$Q$3)+1),
ROWS(A$2:A3))),"")</f>
        <v>MTIB</v>
      </c>
      <c r="J3" s="115" t="str" cm="1">
        <f t="array" aca="1" ref="J3" ca="1">IFERROR(INDEX(MTIB!$B$3:$B$1000,
SMALL(
IF((MTIB!$Q$3:$Q$1000&lt;&gt;"")*(MTIB!$Q$3:$Q$1000&lt;&gt;"Not Due"),
ROW(MTIB!$Q$3:$Q$1000)-ROW(MTIB!$Q$3)+1),
ROWS(A$2:A3))),"")</f>
        <v>T/2025/00183</v>
      </c>
      <c r="K3" s="115" t="str" cm="1">
        <f t="array" aca="1" ref="K3" ca="1">IFERROR(INDEX(MTIB!$D$3:$D$1000,
SMALL(
IF((MTIB!$Q$3:$Q$1000&lt;&gt;"")*(MTIB!$Q$3:$Q$1000&lt;&gt;"Not Due"),
ROW(MTIB!$Q$3:$Q$1000)-ROW(MTIB!$Q$3)+1),
ROWS(A$2:A3))),"")</f>
        <v>MYFINANCIAL</v>
      </c>
      <c r="L3" s="116" t="str" cm="1">
        <f t="array" aca="1" ref="L3" ca="1">IFERROR(INDEX(MTIB!$G$3:$G$1000,
SMALL(
IF((MTIB!$Q$3:$Q$1000&lt;&gt;"")*(MTIB!$Q$3:$Q$1000&lt;&gt;"Not Due"),
ROW(MTIB!$Q$3:$Q$1000)-ROW(MTIB!$Q$3)+1),
ROWS(A$2:A3))),"")</f>
        <v>Tidak boleh print baucar bayaran BCOWS0725/00181 Pengadu: Mohamad Azrul Azlan</v>
      </c>
      <c r="M3" s="88" t="str" cm="1">
        <f t="array" aca="1" ref="M3" ca="1">IFERROR(INDEX(MTIB!$Q$3:$Q$1000,
SMALL(
IF((MTIB!$Q$3:$Q$1000&lt;&gt;"")*(MTIB!$Q$3:$Q$1000&lt;&gt;"Not Due"),
ROW(MTIB!$Q$3:$Q$1000)-ROW(MTIB!$Q$3)+1),
ROWS(A$2:A3))
),"")</f>
        <v>&gt;60 Days</v>
      </c>
      <c r="O3" s="115">
        <v>2</v>
      </c>
      <c r="P3" s="120" t="str" cm="1">
        <f t="array" aca="1" ref="P3" ca="1">IFERROR(INDEX(MPOB!$E$3:$E$1000,
SMALL(
IF((MPOB!$Q$3:$Q$1000&lt;&gt;"")*(MPOB!$Q$3:$Q$1000&lt;&gt;"Not Due"),
ROW(MPOB!$Q$3:$Q$1000)-ROW(MPOB!$Q$3)+1),
ROWS(A$2:A3))),"")</f>
        <v>MPOB</v>
      </c>
      <c r="Q3" s="115" t="str" cm="1">
        <f t="array" aca="1" ref="Q3" ca="1">IFERROR(INDEX(MPOB!$B$3:$B$1000,
SMALL(
IF((MPOB!$Q$3:$Q$1000&lt;&gt;"")*(MPOB!$Q$3:$Q$1000&lt;&gt;"Not Due"),
ROW(MPOB!$Q$3:$Q$1000)-ROW(MPOB!$Q$3)+1),
ROWS(A$2:A3))),"")</f>
        <v>T/2026/00144</v>
      </c>
      <c r="R3" s="115" t="str" cm="1">
        <f t="array" aca="1" ref="R3" ca="1">IFERROR(INDEX(MPOB!$D$3:$D$1000,
SMALL(
IF((MPOB!$Q$3:$Q$1000&lt;&gt;"")*(MPOB!$Q$3:$Q$1000&lt;&gt;"Not Due"),
ROW(MPOB!$Q$3:$Q$1000)-ROW(MPOB!$Q$3)+1),
ROWS(A$2:A3))),"")</f>
        <v>MyDeposit</v>
      </c>
      <c r="S3" s="116" t="str" cm="1">
        <f t="array" aca="1" ref="S3" ca="1">IFERROR(INDEX(MPOB!$G$3:$G$1000,
SMALL(
IF((MPOB!$Q$3:$Q$1000&lt;&gt;"")*(MPOB!$Q$3:$Q$1000&lt;&gt;"Not Due"),
ROW(MPOB!$Q$3:$Q$1000)-ROW(MPOB!$Q$3)+1),
ROWS(A$2:A3))),"")</f>
        <v>Nama User : Norfauzan Date : 20/1/2026 Isu : boleh tgkkn refund nie ...tk boleh Tarik Dekat baucar..dulu dekat baucar hjg tu ade button integrasi utk refund Tk, dulu dekat baucar...lepas sistem upgrde..trs hilang...sebab sy kena integrasi utk baucar msk ke mylesen</v>
      </c>
      <c r="T3" s="88" t="str" cm="1">
        <f t="array" aca="1" ref="T3" ca="1">IFERROR(INDEX(MPOB!$Q$3:$Q$1000,
SMALL(
IF((MPOB!$Q$3:$Q$1000&lt;&gt;"")*(MPOB!$Q$3:$Q$1000&lt;&gt;"Not Due"),
ROW(MPOB!$Q$3:$Q$1000)-ROW(MPOB!$Q$3)+1),
ROWS(A$2:A3))
),"")</f>
        <v>&gt;60 Days</v>
      </c>
      <c r="V3" s="115">
        <v>2</v>
      </c>
      <c r="W3" s="121" t="str" cm="1">
        <f t="array" aca="1" ref="W3" ca="1">IFERROR(INDEX(LKTN!$E$3:$E$1000,
SMALL(
IF((LKTN!$Q$3:$Q$1000&lt;&gt;"")*(LKTN!$Q$3:$Q$1000&lt;&gt;"Not Due"),
ROW(LKTN!$Q$3:$Q$1000)-ROW(LKTN!$Q$3)+1),
ROWS(A$2:A3))),"")</f>
        <v>LKTN</v>
      </c>
      <c r="X3" s="115" t="str" cm="1">
        <f t="array" aca="1" ref="X3" ca="1">IFERROR(INDEX(LKTN!$B$3:$B$1000,
SMALL(
IF((LKTN!$Q$3:$Q$1000&lt;&gt;"")*(LKTN!$Q$3:$Q$1000&lt;&gt;"Not Due"),
ROW(LKTN!$Q$3:$Q$1000)-ROW(LKTN!$Q$3)+1),
ROWS(A$2:A3))),"")</f>
        <v>T/2026/00304</v>
      </c>
      <c r="Y3" s="115" t="str" cm="1">
        <f t="array" aca="1" ref="Y3" ca="1">IFERROR(INDEX(LKTN!$D$3:$D$1000,
SMALL(
IF((LKTN!$Q$3:$Q$1000&lt;&gt;"")*(LKTN!$Q$3:$Q$1000&lt;&gt;"Not Due"),
ROW(LKTN!$Q$3:$Q$1000)-ROW(LKTN!$Q$3)+1),
ROWS(A$2:A3))),"")</f>
        <v>MYFINANCIAL</v>
      </c>
      <c r="Z3" s="116" t="str" cm="1">
        <f t="array" aca="1" ref="Z3" ca="1">IFERROR(INDEX(LKTN!$G$3:$G$1000,
SMALL(
IF((LKTN!$Q$3:$Q$1000&lt;&gt;"")*(LKTN!$Q$3:$Q$1000&lt;&gt;"Not Due"),
ROW(LKTN!$Q$3:$Q$1000)-ROW(LKTN!$Q$3)+1),
ROWS(A$2:A3))),"")</f>
        <v>JURNAL NO RUJUKAN : JE25/00143 TELAH BERSTATUS POS TIDAK DAPAT DIBATALKAN KERANA KELUAR ERROR SEPERTI DI LAMPIRAN.</v>
      </c>
      <c r="AA3" s="64" t="str" cm="1">
        <f t="array" aca="1" ref="AA3" ca="1">IFERROR(INDEX(LKTN!$Q$3:$Q$1000,
SMALL(
IF((LKTN!$Q$3:$Q$1000&lt;&gt;"")*(LKTN!$Q$3:$Q$1000&lt;&gt;"Not Due"),
ROW(LKTN!$Q$3:$Q$1000)-ROW(LKTN!$Q$3)+1),
ROWS(A$2:A3))
),"")</f>
        <v>31-60 Days</v>
      </c>
      <c r="AC3" s="115">
        <v>2</v>
      </c>
      <c r="AD3" s="122" t="str" cm="1">
        <f t="array" aca="1" ref="AD3" ca="1">IFERROR(INDEX(LAM!$E$3:$E$1000,
SMALL(
IF((LAM!$Q$3:$Q$1000&lt;&gt;"")*(LAM!$Q$3:$Q$1000&lt;&gt;"Not Due"),
ROW(LAM!$Q$3:$Q$1000)-ROW(LAM!$Q$3)+1),
ROWS(A$2:A3))),"")</f>
        <v>LAM</v>
      </c>
      <c r="AE3" s="115" t="str" cm="1">
        <f t="array" aca="1" ref="AE3" ca="1">IFERROR(INDEX(LAM!$B$3:$B$1000,
SMALL(
IF((LAM!$Q$3:$Q$1000&lt;&gt;"")*(LAM!$Q$3:$Q$1000&lt;&gt;"Not Due"),
ROW(LAM!$Q$3:$Q$1000)-ROW(LAM!$Q$3)+1),
ROWS(A$2:A3))),"")</f>
        <v>T/2026/00267</v>
      </c>
      <c r="AF3" s="115" t="str" cm="1">
        <f t="array" aca="1" ref="AF3" ca="1">IFERROR(INDEX(LAM!$D$3:$D$1000,
SMALL(
IF((LAM!$Q$3:$Q$1000&lt;&gt;"")*(LAM!$Q$3:$Q$1000&lt;&gt;"Not Due"),
ROW(LAM!$Q$3:$Q$1000)-ROW(LAM!$Q$3)+1),
ROWS(A$2:A3))),"")</f>
        <v>MYPANJAR</v>
      </c>
      <c r="AG3" s="116" t="str" cm="1">
        <f t="array" aca="1" ref="AG3" ca="1">IFERROR(INDEX(LAM!$G$3:$G$1000,
SMALL(
IF((LAM!$Q$3:$Q$1000&lt;&gt;"")*(LAM!$Q$3:$Q$1000&lt;&gt;"Not Due"),
ROW(LAM!$Q$3:$Q$1000)-ROW(LAM!$Q$3)+1),
ROWS(A$2:A3))),"")</f>
        <v>KELUAR 'INTERNAL SERVER ERROR' APABILA BUAT PEMBATALAN TUNTUTAN DI MYPANJAR</v>
      </c>
      <c r="AH3" s="64" t="str" cm="1">
        <f t="array" aca="1" ref="AH3" ca="1">IFERROR(INDEX(LAM!$Q$3:$Q$1000,
SMALL(
IF((LAM!$Q$3:$Q$1000&lt;&gt;"")*(LAM!$Q$3:$Q$1000&lt;&gt;"Not Due"),
ROW(LAM!$Q$3:$Q$1000)-ROW(LAM!$Q$3)+1),
ROWS(A$2:A3))
),"")</f>
        <v>31-60 Days</v>
      </c>
      <c r="AJ3" s="115">
        <v>2</v>
      </c>
      <c r="AK3" s="123" t="str" cm="1">
        <f t="array" aca="1" ref="AK3" ca="1">IFERROR(INDEX(ISN!$E$3:$E$1000,
SMALL(
IF((ISN!$Q$3:$Q$1000&lt;&gt;"")*(ISN!$Q$3:$Q$1000&lt;&gt;"Not Due"),
ROW(ISN!$Q$3:$Q$1000)-ROW(ISN!$Q$3)+1),
ROWS(A$2:A3))),"")</f>
        <v>ISN</v>
      </c>
      <c r="AL3" s="115" t="str" cm="1">
        <f t="array" aca="1" ref="AL3" ca="1">IFERROR(INDEX(ISN!$B$3:$B$1000,
SMALL(
IF((ISN!$Q$3:$Q$1000&lt;&gt;"")*(ISN!$Q$3:$Q$1000&lt;&gt;"Not Due"),
ROW(ISN!$Q$3:$Q$1000)-ROW(ISN!$Q$3)+1),
ROWS(A$2:A3))),"")</f>
        <v>T/2026/00260</v>
      </c>
      <c r="AM3" s="116" t="str" cm="1">
        <f t="array" aca="1" ref="AM3" ca="1">IFERROR(INDEX(ISN!$D$3:$D$1000,
SMALL(
IF((ISN!$Q$3:$Q$1000&lt;&gt;"")*(ISN!$Q$3:$Q$1000&lt;&gt;"Not Due"),
ROW(ISN!$Q$3:$Q$1000)-ROW(ISN!$Q$3)+1),
ROWS(A$2:A3))),"")</f>
        <v>MYSTOR</v>
      </c>
      <c r="AN3" s="116" t="str" cm="1">
        <f t="array" aca="1" ref="AN3" ca="1">IFERROR(INDEX(ISN!$G$3:$G$1000,
SMALL(
IF((ISN!$Q$3:$Q$1000&lt;&gt;"")*(ISN!$Q$3:$Q$1000&lt;&gt;"Not Due"),
ROW(ISN!$Q$3:$Q$1000)-ROW(ISN!$Q$3)+1),
ROWS(A$2:A3))),"")</f>
        <v>Jumlah nilai laporan pengeluaran stok stor farmasi (oktober-disember 2025) tidak selaras dengan Laporan Kedudukan Stok Suku Tahun Keempat 2025 (pada column Pengeluaran Suku Tahun Keempat 2025)</v>
      </c>
      <c r="AO3" s="64" t="str" cm="1">
        <f t="array" aca="1" ref="AO3" ca="1">IFERROR(INDEX(ISN!$Q$3:$Q$1000,
SMALL(
IF((ISN!$Q$3:$Q$1000&lt;&gt;"")*(ISN!$Q$3:$Q$1000&lt;&gt;"Not Due"),
ROW(ISN!$Q$3:$Q$1000)-ROW(ISN!$Q$3)+1),
ROWS(A$2:A3))
),"")</f>
        <v>&gt;60 Days</v>
      </c>
      <c r="AQ3" s="115">
        <v>2</v>
      </c>
      <c r="AR3" s="124" t="str" cm="1">
        <f t="array" aca="1" ref="AR3" ca="1">IFERROR(INDEX(MSN!$E$3:$E$1000,
SMALL(
IF((MSN!$Q$3:$Q$1000&lt;&gt;"")*(MSN!$Q$3:$Q$1000&lt;&gt;"Not Due"),
ROW(MSN!$Q$3:$Q$1000)-ROW(MSN!$Q$3)+1),
ROWS(A$2:A3))),"")</f>
        <v>MSN</v>
      </c>
      <c r="AS3" s="115" t="str" cm="1">
        <f t="array" aca="1" ref="AS3" ca="1">IFERROR(INDEX(MSN!$B$3:$B$1000,
SMALL(
IF((MSN!$Q$3:$Q$1000&lt;&gt;"")*(MSN!$Q$3:$Q$1000&lt;&gt;"Not Due"),
ROW(MSN!$Q$3:$Q$1000)-ROW(MSN!$Q$3)+1),
ROWS(A$2:A3))),"")</f>
        <v>T/2025/00194</v>
      </c>
      <c r="AT3" s="115" t="str" cm="1">
        <f t="array" aca="1" ref="AT3" ca="1">IFERROR(INDEX(MSN!$D$3:$D$1000,
SMALL(
IF((MSN!$Q$3:$Q$1000&lt;&gt;"")*(MSN!$Q$3:$Q$1000&lt;&gt;"Not Due"),
ROW(MSN!$Q$3:$Q$1000)-ROW(MSN!$Q$3)+1),
ROWS(A$2:A3))),"")</f>
        <v>MYSTOR</v>
      </c>
      <c r="AU3" s="116" t="str" cm="1">
        <f t="array" aca="1" ref="AU3" ca="1">IFERROR(INDEX(MSN!$G$3:$G$1000,
SMALL(
IF((MSN!$Q$3:$Q$1000&lt;&gt;"")*(MSN!$Q$3:$Q$1000&lt;&gt;"Not Due"),
ROW(MSN!$Q$3:$Q$1000)-ROW(MSN!$Q$3)+1),
ROWS(A$2:A3))),"")</f>
        <v>1. Status Aktif / Aktif - access pegawai stor sahaja. 2. Perubahan unit ukuran boleh diubah sehingga 31.12.2025. 3. Tambah kolum JUMLAH di setiap terimaan stok. 4. Laporan JKPAK - Selepas stok diserahkan ke Stor Unit, ianya tidak akan diambil kira dalam laporan JKPAK. 5. Laporan JKPAK - boleh dipaparkan mengikut stor dan mengikut tahun dengan menggabungkan Stor Utama, Stor Kafe dan Stor Peralatan Sukan.</v>
      </c>
      <c r="AV3" s="64" t="str" cm="1">
        <f t="array" aca="1" ref="AV3" ca="1">IFERROR(INDEX(MSN!$Q$3:$Q$1000,
SMALL(
IF((MSN!$Q$3:$Q$1000&lt;&gt;"")*(MSN!$Q$3:$Q$1000&lt;&gt;"Not Due"),
ROW(MSN!$Q$3:$Q$1000)-ROW(MSN!$Q$3)+1),
ROWS(A$2:A3))
),"")</f>
        <v>&gt;60 Days</v>
      </c>
    </row>
    <row r="4" spans="1:48" ht="265.2" x14ac:dyDescent="0.3">
      <c r="A4" s="115">
        <v>3</v>
      </c>
      <c r="B4" s="118" t="str" cm="1">
        <f t="array" aca="1" ref="B4" ca="1">IFERROR(INDEX(FRIM!$E$3:$E$1000,
SMALL(IF(FRIM!$Q$3:$Q$1000&lt;&gt;"",
ROW(FRIM!$Q$3:$Q$1000)-ROW(FRIM!$Q$3)+1),
ROWS(A$2:A4))),"")</f>
        <v>FRIM</v>
      </c>
      <c r="C4" s="116" t="str" cm="1">
        <f t="array" aca="1" ref="C4" ca="1">IFERROR(INDEX(FRIM!$B$3:$B$1000,
SMALL(IF(FRIM!$Q$3:$Q$1000&lt;&gt;"",
ROW(FRIM!$Q$3:$Q$1000)-ROW(FRIM!$Q$3)+1),
ROWS(A$2:A4))),"")</f>
        <v>T/2026/00075</v>
      </c>
      <c r="D4" s="116" t="str" cm="1">
        <f t="array" aca="1" ref="D4" ca="1">IFERROR(INDEX(FRIM!$D$3:$D$1000,
SMALL(IF(FRIM!$Q$3:$Q$1000&lt;&gt;"",
ROW(FRIM!$Q$3:$Q$1000)-ROW(FRIM!$Q$3)+1),
ROWS(A$2:A4))),"")</f>
        <v>MYPROCUREMENT</v>
      </c>
      <c r="E4" s="116" t="str" cm="1">
        <f t="array" aca="1" ref="E4" ca="1">IFERROR(INDEX(FRIM!$G$3:$G$1000,
SMALL(IF(FRIM!$Q$3:$Q$1000&lt;&gt;"",
ROW(FRIM!$Q$3:$Q$1000)-ROW(FRIM!$Q$3)+1),
ROWS(A$2:A4))),"")</f>
        <v>No Aduan: W2508 Name: AZMEI B. MARZUKI Date: 05/02/2026 Desc: ASSALAM, SAYA TELAH BERI ID &amp; PWORD KEPADA SYKT LECO INSTRUMENT (M) SDN BHD. SELEPAS LOGIN, BUTANG UPLOAD TIDAK ADA DALAM SCREEN MAKLUMAT DOKUMEN. SO PIHAK SYARIKAT TIDAK BOLEH UPLOAD SIJIL2 SYARIKAT. TQ</v>
      </c>
      <c r="F4" s="88" t="str" cm="1">
        <f t="array" aca="1" ref="F4" ca="1">IFERROR(INDEX(FRIM!$Q$3:$Q$1000,
SMALL(IF(FRIM!$Q$3:$Q$1000&lt;&gt;"",
ROW(FRIM!$Q$3:$Q$1000)-ROW(FRIM!$Q$3)+1),
ROWS(A$2:A4))),"")</f>
        <v>&gt;60 Days</v>
      </c>
      <c r="H4" s="115">
        <v>3</v>
      </c>
      <c r="I4" s="119" t="str" cm="1">
        <f t="array" aca="1" ref="I4" ca="1">IFERROR(INDEX(MTIB!$E$3:$E$1000,
SMALL(
IF((MTIB!$Q$3:$Q$1000&lt;&gt;"")*(MTIB!$Q$3:$Q$1000&lt;&gt;"Not Due"),
ROW(MTIB!$Q$3:$Q$1000)-ROW(MTIB!$Q$3)+1),
ROWS(A$2:A4))),"")</f>
        <v>MTIB</v>
      </c>
      <c r="J4" s="115" t="str" cm="1">
        <f t="array" aca="1" ref="J4" ca="1">IFERROR(INDEX(MTIB!$B$3:$B$1000,
SMALL(
IF((MTIB!$Q$3:$Q$1000&lt;&gt;"")*(MTIB!$Q$3:$Q$1000&lt;&gt;"Not Due"),
ROW(MTIB!$Q$3:$Q$1000)-ROW(MTIB!$Q$3)+1),
ROWS(A$2:A4))),"")</f>
        <v>T/2025/00193</v>
      </c>
      <c r="K4" s="115" t="str" cm="1">
        <f t="array" aca="1" ref="K4" ca="1">IFERROR(INDEX(MTIB!$D$3:$D$1000,
SMALL(
IF((MTIB!$Q$3:$Q$1000&lt;&gt;"")*(MTIB!$Q$3:$Q$1000&lt;&gt;"Not Due"),
ROW(MTIB!$Q$3:$Q$1000)-ROW(MTIB!$Q$3)+1),
ROWS(A$2:A4))),"")</f>
        <v>MYFINANCIAL</v>
      </c>
      <c r="L4" s="116" t="str" cm="1">
        <f t="array" aca="1" ref="L4" ca="1">IFERROR(INDEX(MTIB!$G$3:$G$1000,
SMALL(
IF((MTIB!$Q$3:$Q$1000&lt;&gt;"")*(MTIB!$Q$3:$Q$1000&lt;&gt;"Not Due"),
ROW(MTIB!$Q$3:$Q$1000)-ROW(MTIB!$Q$3)+1),
ROWS(A$2:A4))),"")</f>
        <v>Tidak dapat 'simpan' untuk kedua-dua MyFinancial web dan client (lampiran) Pengadu: Nor Hafizah Yusoff</v>
      </c>
      <c r="M4" s="88" t="str" cm="1">
        <f t="array" aca="1" ref="M4" ca="1">IFERROR(INDEX(MTIB!$Q$3:$Q$1000,
SMALL(
IF((MTIB!$Q$3:$Q$1000&lt;&gt;"")*(MTIB!$Q$3:$Q$1000&lt;&gt;"Not Due"),
ROW(MTIB!$Q$3:$Q$1000)-ROW(MTIB!$Q$3)+1),
ROWS(A$2:A4))
),"")</f>
        <v>&gt;60 Days</v>
      </c>
      <c r="O4" s="115">
        <v>3</v>
      </c>
      <c r="P4" s="120" t="str" cm="1">
        <f t="array" aca="1" ref="P4" ca="1">IFERROR(INDEX(MPOB!$E$3:$E$1000,
SMALL(
IF((MPOB!$Q$3:$Q$1000&lt;&gt;"")*(MPOB!$Q$3:$Q$1000&lt;&gt;"Not Due"),
ROW(MPOB!$Q$3:$Q$1000)-ROW(MPOB!$Q$3)+1),
ROWS(A$2:A4))),"")</f>
        <v>MPOB</v>
      </c>
      <c r="Q4" s="115" t="str" cm="1">
        <f t="array" aca="1" ref="Q4" ca="1">IFERROR(INDEX(MPOB!$B$3:$B$1000,
SMALL(
IF((MPOB!$Q$3:$Q$1000&lt;&gt;"")*(MPOB!$Q$3:$Q$1000&lt;&gt;"Not Due"),
ROW(MPOB!$Q$3:$Q$1000)-ROW(MPOB!$Q$3)+1),
ROWS(A$2:A4))),"")</f>
        <v>T/2026/00145</v>
      </c>
      <c r="R4" s="115" t="str" cm="1">
        <f t="array" aca="1" ref="R4" ca="1">IFERROR(INDEX(MPOB!$D$3:$D$1000,
SMALL(
IF((MPOB!$Q$3:$Q$1000&lt;&gt;"")*(MPOB!$Q$3:$Q$1000&lt;&gt;"Not Due"),
ROW(MPOB!$Q$3:$Q$1000)-ROW(MPOB!$Q$3)+1),
ROWS(A$2:A4))),"")</f>
        <v>MyFinancial</v>
      </c>
      <c r="S4" s="116" t="str" cm="1">
        <f t="array" aca="1" ref="S4" ca="1">IFERROR(INDEX(MPOB!$G$3:$G$1000,
SMALL(
IF((MPOB!$Q$3:$Q$1000&lt;&gt;"")*(MPOB!$Q$3:$Q$1000&lt;&gt;"Not Due"),
ROW(MPOB!$Q$3:$Q$1000)-ROW(MPOB!$Q$3)+1),
ROWS(A$2:A4))),"")</f>
        <v>Nama User : Tyra Date : 20/1/2026 Isu : sy xleh nk cetak resit ini</v>
      </c>
      <c r="T4" s="88" t="str" cm="1">
        <f t="array" aca="1" ref="T4" ca="1">IFERROR(INDEX(MPOB!$Q$3:$Q$1000,
SMALL(
IF((MPOB!$Q$3:$Q$1000&lt;&gt;"")*(MPOB!$Q$3:$Q$1000&lt;&gt;"Not Due"),
ROW(MPOB!$Q$3:$Q$1000)-ROW(MPOB!$Q$3)+1),
ROWS(A$2:A4))
),"")</f>
        <v>&gt;60 Days</v>
      </c>
      <c r="V4" s="115">
        <v>3</v>
      </c>
      <c r="W4" s="121" t="str" cm="1">
        <f t="array" aca="1" ref="W4" ca="1">IFERROR(INDEX(LKTN!$E$3:$E$1000,
SMALL(
IF((LKTN!$Q$3:$Q$1000&lt;&gt;"")*(LKTN!$Q$3:$Q$1000&lt;&gt;"Not Due"),
ROW(LKTN!$Q$3:$Q$1000)-ROW(LKTN!$Q$3)+1),
ROWS(A$2:A4))),"")</f>
        <v>LKTN</v>
      </c>
      <c r="X4" s="115" t="str" cm="1">
        <f t="array" aca="1" ref="X4" ca="1">IFERROR(INDEX(LKTN!$B$3:$B$1000,
SMALL(
IF((LKTN!$Q$3:$Q$1000&lt;&gt;"")*(LKTN!$Q$3:$Q$1000&lt;&gt;"Not Due"),
ROW(LKTN!$Q$3:$Q$1000)-ROW(LKTN!$Q$3)+1),
ROWS(A$2:A4))),"")</f>
        <v>T/2026/00419</v>
      </c>
      <c r="Y4" s="115" t="str" cm="1">
        <f t="array" aca="1" ref="Y4" ca="1">IFERROR(INDEX(LKTN!$D$3:$D$1000,
SMALL(
IF((LKTN!$Q$3:$Q$1000&lt;&gt;"")*(LKTN!$Q$3:$Q$1000&lt;&gt;"Not Due"),
ROW(LKTN!$Q$3:$Q$1000)-ROW(LKTN!$Q$3)+1),
ROWS(A$2:A4))),"")</f>
        <v>MYFINANCIAL</v>
      </c>
      <c r="Z4" s="116" t="str" cm="1">
        <f t="array" aca="1" ref="Z4" ca="1">IFERROR(INDEX(LKTN!$G$3:$G$1000,
SMALL(
IF((LKTN!$Q$3:$Q$1000&lt;&gt;"")*(LKTN!$Q$3:$Q$1000&lt;&gt;"Not Due"),
ROW(LKTN!$Q$3:$Q$1000)-ROW(LKTN!$Q$3)+1),
ROWS(A$2:A4))),"")</f>
        <v>TERDAPAT PERBEZAAN AMAUN TUNAI (A11101) PADA LEJAR AM DAN KUNCI KIRA-KIRA SEPERTI BERIKUT : PERBEZAAN AMAUN TUNAI (A11101) DI LEJAR AM DAN KUNCI KIRA-KIRA ADALAH SEBANYAK RM46,279.84. MINTA SEMAK DAN PERBETULKAN AMAUN YANG SEBENAR.</v>
      </c>
      <c r="AA4" s="64" t="str" cm="1">
        <f t="array" aca="1" ref="AA4" ca="1">IFERROR(INDEX(LKTN!$Q$3:$Q$1000,
SMALL(
IF((LKTN!$Q$3:$Q$1000&lt;&gt;"")*(LKTN!$Q$3:$Q$1000&lt;&gt;"Not Due"),
ROW(LKTN!$Q$3:$Q$1000)-ROW(LKTN!$Q$3)+1),
ROWS(A$2:A4))
),"")</f>
        <v>1-30 Days</v>
      </c>
      <c r="AC4" s="115">
        <v>3</v>
      </c>
      <c r="AD4" s="122" t="str" cm="1">
        <f t="array" aca="1" ref="AD4" ca="1">IFERROR(INDEX(LAM!$E$3:$E$1000,
SMALL(
IF((LAM!$Q$3:$Q$1000&lt;&gt;"")*(LAM!$Q$3:$Q$1000&lt;&gt;"Not Due"),
ROW(LAM!$Q$3:$Q$1000)-ROW(LAM!$Q$3)+1),
ROWS(A$2:A4))),"")</f>
        <v>LAM</v>
      </c>
      <c r="AE4" s="115" t="str" cm="1">
        <f t="array" aca="1" ref="AE4" ca="1">IFERROR(INDEX(LAM!$B$3:$B$1000,
SMALL(
IF((LAM!$Q$3:$Q$1000&lt;&gt;"")*(LAM!$Q$3:$Q$1000&lt;&gt;"Not Due"),
ROW(LAM!$Q$3:$Q$1000)-ROW(LAM!$Q$3)+1),
ROWS(A$2:A4))),"")</f>
        <v>T/2026/00270</v>
      </c>
      <c r="AF4" s="115" t="str" cm="1">
        <f t="array" aca="1" ref="AF4" ca="1">IFERROR(INDEX(LAM!$D$3:$D$1000,
SMALL(
IF((LAM!$Q$3:$Q$1000&lt;&gt;"")*(LAM!$Q$3:$Q$1000&lt;&gt;"Not Due"),
ROW(LAM!$Q$3:$Q$1000)-ROW(LAM!$Q$3)+1),
ROWS(A$2:A4))),"")</f>
        <v>MYFINANCIAL</v>
      </c>
      <c r="AG4" s="116" t="str" cm="1">
        <f t="array" aca="1" ref="AG4" ca="1">IFERROR(INDEX(LAM!$G$3:$G$1000,
SMALL(
IF((LAM!$Q$3:$Q$1000&lt;&gt;"")*(LAM!$Q$3:$Q$1000&lt;&gt;"Not Due"),
ROW(LAM!$Q$3:$Q$1000)-ROW(LAM!$Q$3)+1),
ROWS(A$2:A4))),"")</f>
        <v>TUKAR NAMA 'PENERIMA' DI BAUCAR MYFINANCIAL SEMASA INTEGRASI DARI MYPANJAR, DARI NAMA AZURA BINTI GHAZALI KE FARAH IZWAH BINTI ALI</v>
      </c>
      <c r="AH4" s="64" t="str" cm="1">
        <f t="array" aca="1" ref="AH4" ca="1">IFERROR(INDEX(LAM!$Q$3:$Q$1000,
SMALL(
IF((LAM!$Q$3:$Q$1000&lt;&gt;"")*(LAM!$Q$3:$Q$1000&lt;&gt;"Not Due"),
ROW(LAM!$Q$3:$Q$1000)-ROW(LAM!$Q$3)+1),
ROWS(A$2:A4))
),"")</f>
        <v>31-60 Days</v>
      </c>
      <c r="AJ4" s="115">
        <v>3</v>
      </c>
      <c r="AK4" s="123" t="str" cm="1">
        <f t="array" aca="1" ref="AK4" ca="1">IFERROR(INDEX(ISN!$E$3:$E$1000,
SMALL(
IF((ISN!$Q$3:$Q$1000&lt;&gt;"")*(ISN!$Q$3:$Q$1000&lt;&gt;"Not Due"),
ROW(ISN!$Q$3:$Q$1000)-ROW(ISN!$Q$3)+1),
ROWS(A$2:A4))),"")</f>
        <v>ISN</v>
      </c>
      <c r="AL4" s="115" t="str" cm="1">
        <f t="array" aca="1" ref="AL4" ca="1">IFERROR(INDEX(ISN!$B$3:$B$1000,
SMALL(
IF((ISN!$Q$3:$Q$1000&lt;&gt;"")*(ISN!$Q$3:$Q$1000&lt;&gt;"Not Due"),
ROW(ISN!$Q$3:$Q$1000)-ROW(ISN!$Q$3)+1),
ROWS(A$2:A4))),"")</f>
        <v>T/2026/00325</v>
      </c>
      <c r="AM4" s="116" t="str" cm="1">
        <f t="array" aca="1" ref="AM4" ca="1">IFERROR(INDEX(ISN!$D$3:$D$1000,
SMALL(
IF((ISN!$Q$3:$Q$1000&lt;&gt;"")*(ISN!$Q$3:$Q$1000&lt;&gt;"Not Due"),
ROW(ISN!$Q$3:$Q$1000)-ROW(ISN!$Q$3)+1),
ROWS(A$2:A4))),"")</f>
        <v>MYFINANCIAL CLIENT</v>
      </c>
      <c r="AN4" s="116" t="str" cm="1">
        <f t="array" aca="1" ref="AN4" ca="1">IFERROR(INDEX(ISN!$G$3:$G$1000,
SMALL(
IF((ISN!$Q$3:$Q$1000&lt;&gt;"")*(ISN!$Q$3:$Q$1000&lt;&gt;"Not Due"),
ROW(ISN!$Q$3:$Q$1000)-ROW(ISN!$Q$3)+1),
ROWS(A$2:A4))),"")</f>
        <v>Mohon tambah row bagi keterangan dalam cetakan baucar. tq</v>
      </c>
      <c r="AO4" s="64" t="str" cm="1">
        <f t="array" aca="1" ref="AO4" ca="1">IFERROR(INDEX(ISN!$Q$3:$Q$1000,
SMALL(
IF((ISN!$Q$3:$Q$1000&lt;&gt;"")*(ISN!$Q$3:$Q$1000&lt;&gt;"Not Due"),
ROW(ISN!$Q$3:$Q$1000)-ROW(ISN!$Q$3)+1),
ROWS(A$2:A4))
),"")</f>
        <v>31-60 Days</v>
      </c>
      <c r="AQ4" s="115">
        <v>3</v>
      </c>
      <c r="AR4" s="124" t="str" cm="1">
        <f t="array" aca="1" ref="AR4" ca="1">IFERROR(INDEX(MSN!$E$3:$E$1000,
SMALL(
IF((MSN!$Q$3:$Q$1000&lt;&gt;"")*(MSN!$Q$3:$Q$1000&lt;&gt;"Not Due"),
ROW(MSN!$Q$3:$Q$1000)-ROW(MSN!$Q$3)+1),
ROWS(A$2:A4))),"")</f>
        <v>MSN</v>
      </c>
      <c r="AS4" s="115" t="str" cm="1">
        <f t="array" aca="1" ref="AS4" ca="1">IFERROR(INDEX(MSN!$B$3:$B$1000,
SMALL(
IF((MSN!$Q$3:$Q$1000&lt;&gt;"")*(MSN!$Q$3:$Q$1000&lt;&gt;"Not Due"),
ROW(MSN!$Q$3:$Q$1000)-ROW(MSN!$Q$3)+1),
ROWS(A$2:A4))),"")</f>
        <v>T/2026/00238</v>
      </c>
      <c r="AT4" s="115" t="str" cm="1">
        <f t="array" aca="1" ref="AT4" ca="1">IFERROR(INDEX(MSN!$D$3:$D$1000,
SMALL(
IF((MSN!$Q$3:$Q$1000&lt;&gt;"")*(MSN!$Q$3:$Q$1000&lt;&gt;"Not Due"),
ROW(MSN!$Q$3:$Q$1000)-ROW(MSN!$Q$3)+1),
ROWS(A$2:A4))),"")</f>
        <v>ATK</v>
      </c>
      <c r="AU4" s="116" t="str" cm="1">
        <f t="array" aca="1" ref="AU4" ca="1">IFERROR(INDEX(MSN!$G$3:$G$1000,
SMALL(
IF((MSN!$Q$3:$Q$1000&lt;&gt;"")*(MSN!$Q$3:$Q$1000&lt;&gt;"Not Due"),
ROW(MSN!$Q$3:$Q$1000)-ROW(MSN!$Q$3)+1),
ROWS(A$2:A4))),"")</f>
        <v>1. Urus setia telah memeriksa rekod pengeluaran sehingga rekod awal. Terdapat stok yang tiada penerimaan (pertambahan baki) tapi pengeluaran melebihi baki menyebabkan rekod stok menjadi negatif. 2. Pengeluaran dibuat, tiada penolakan baki tetapi ada rekod pengeluaran. 3. Rekod pengeluaran tidak dibuat mengikut pekeliling iaitu 'Masuk Dahulu, Keluar Dahulu' kerana urus setia dapati terdapat 2 rekod bagi suatu 1 item dengan harga yang berlainan dan setiap harga mempunyai baki. Contoh : Sampul surat saiz 6x9 09/05/2023 = 20 kotak x rm 158.80 16/07/2025 = 2 kotak x rm 78.00</v>
      </c>
      <c r="AV4" s="64" t="str" cm="1">
        <f t="array" aca="1" ref="AV4" ca="1">IFERROR(INDEX(MSN!$Q$3:$Q$1000,
SMALL(
IF((MSN!$Q$3:$Q$1000&lt;&gt;"")*(MSN!$Q$3:$Q$1000&lt;&gt;"Not Due"),
ROW(MSN!$Q$3:$Q$1000)-ROW(MSN!$Q$3)+1),
ROWS(A$2:A4))
),"")</f>
        <v>&gt;60 Days</v>
      </c>
    </row>
    <row r="5" spans="1:48" ht="124.8" x14ac:dyDescent="0.3">
      <c r="A5" s="115">
        <v>4</v>
      </c>
      <c r="B5" s="118" t="str" cm="1">
        <f t="array" aca="1" ref="B5" ca="1">IFERROR(INDEX(FRIM!$E$3:$E$1000,
SMALL(IF(FRIM!$Q$3:$Q$1000&lt;&gt;"",
ROW(FRIM!$Q$3:$Q$1000)-ROW(FRIM!$Q$3)+1),
ROWS(A$2:A5))),"")</f>
        <v>FRIM</v>
      </c>
      <c r="C5" s="116" t="str" cm="1">
        <f t="array" aca="1" ref="C5" ca="1">IFERROR(INDEX(FRIM!$B$3:$B$1000,
SMALL(IF(FRIM!$Q$3:$Q$1000&lt;&gt;"",
ROW(FRIM!$Q$3:$Q$1000)-ROW(FRIM!$Q$3)+1),
ROWS(A$2:A5))),"")</f>
        <v>T/2026/00076</v>
      </c>
      <c r="D5" s="116" t="str" cm="1">
        <f t="array" aca="1" ref="D5" ca="1">IFERROR(INDEX(FRIM!$D$3:$D$1000,
SMALL(IF(FRIM!$Q$3:$Q$1000&lt;&gt;"",
ROW(FRIM!$Q$3:$Q$1000)-ROW(FRIM!$Q$3)+1),
ROWS(A$2:A5))),"")</f>
        <v>MYFINANCIAL CLIENT</v>
      </c>
      <c r="E5" s="116" t="str" cm="1">
        <f t="array" aca="1" ref="E5" ca="1">IFERROR(INDEX(FRIM!$G$3:$G$1000,
SMALL(IF(FRIM!$Q$3:$Q$1000&lt;&gt;"",
ROW(FRIM!$Q$3:$Q$1000)-ROW(FRIM!$Q$3)+1),
ROWS(A$2:A5))),"")</f>
        <v>No Aduan: W2509 Name: HASRINA HASNOR BT. KAMARUZAMAN Date: 06/02/2026 Desc: CETAKAN RESIT &amp; LAPORAN 7260182 - SETTING LARI</v>
      </c>
      <c r="F5" s="88" t="str" cm="1">
        <f t="array" aca="1" ref="F5" ca="1">IFERROR(INDEX(FRIM!$Q$3:$Q$1000,
SMALL(IF(FRIM!$Q$3:$Q$1000&lt;&gt;"",
ROW(FRIM!$Q$3:$Q$1000)-ROW(FRIM!$Q$3)+1),
ROWS(A$2:A5))),"")</f>
        <v>&gt;60 Days</v>
      </c>
      <c r="H5" s="115">
        <v>4</v>
      </c>
      <c r="I5" s="119" t="str" cm="1">
        <f t="array" aca="1" ref="I5" ca="1">IFERROR(INDEX(MTIB!$E$3:$E$1000,
SMALL(
IF((MTIB!$Q$3:$Q$1000&lt;&gt;"")*(MTIB!$Q$3:$Q$1000&lt;&gt;"Not Due"),
ROW(MTIB!$Q$3:$Q$1000)-ROW(MTIB!$Q$3)+1),
ROWS(A$2:A5))),"")</f>
        <v>MTIB</v>
      </c>
      <c r="J5" s="115" t="str" cm="1">
        <f t="array" aca="1" ref="J5" ca="1">IFERROR(INDEX(MTIB!$B$3:$B$1000,
SMALL(
IF((MTIB!$Q$3:$Q$1000&lt;&gt;"")*(MTIB!$Q$3:$Q$1000&lt;&gt;"Not Due"),
ROW(MTIB!$Q$3:$Q$1000)-ROW(MTIB!$Q$3)+1),
ROWS(A$2:A5))),"")</f>
        <v>T/2025/00198</v>
      </c>
      <c r="K5" s="115" t="str" cm="1">
        <f t="array" aca="1" ref="K5" ca="1">IFERROR(INDEX(MTIB!$D$3:$D$1000,
SMALL(
IF((MTIB!$Q$3:$Q$1000&lt;&gt;"")*(MTIB!$Q$3:$Q$1000&lt;&gt;"Not Due"),
ROW(MTIB!$Q$3:$Q$1000)-ROW(MTIB!$Q$3)+1),
ROWS(A$2:A5))),"")</f>
        <v>MYLOAN</v>
      </c>
      <c r="L5" s="116" t="str" cm="1">
        <f t="array" aca="1" ref="L5" ca="1">IFERROR(INDEX(MTIB!$G$3:$G$1000,
SMALL(
IF((MTIB!$Q$3:$Q$1000&lt;&gt;"")*(MTIB!$Q$3:$Q$1000&lt;&gt;"Not Due"),
ROW(MTIB!$Q$3:$Q$1000)-ROW(MTIB!$Q$3)+1),
ROWS(A$2:A5))),"")</f>
        <v>Tiada fungsi hapus atau roles dibenarkan kepada Nor Atikah (PSM) untuk hapus permohonan/rekod Nurul Iman seperti di lampiran kerana pemohon tak jadi mohon pinjaman.</v>
      </c>
      <c r="M5" s="88" t="str" cm="1">
        <f t="array" aca="1" ref="M5" ca="1">IFERROR(INDEX(MTIB!$Q$3:$Q$1000,
SMALL(
IF((MTIB!$Q$3:$Q$1000&lt;&gt;"")*(MTIB!$Q$3:$Q$1000&lt;&gt;"Not Due"),
ROW(MTIB!$Q$3:$Q$1000)-ROW(MTIB!$Q$3)+1),
ROWS(A$2:A5))
),"")</f>
        <v>&gt;60 Days</v>
      </c>
      <c r="O5" s="115">
        <v>4</v>
      </c>
      <c r="P5" s="120" t="str" cm="1">
        <f t="array" aca="1" ref="P5" ca="1">IFERROR(INDEX(MPOB!$E$3:$E$1000,
SMALL(
IF((MPOB!$Q$3:$Q$1000&lt;&gt;"")*(MPOB!$Q$3:$Q$1000&lt;&gt;"Not Due"),
ROW(MPOB!$Q$3:$Q$1000)-ROW(MPOB!$Q$3)+1),
ROWS(A$2:A5))),"")</f>
        <v>MPOB</v>
      </c>
      <c r="Q5" s="115" t="str" cm="1">
        <f t="array" aca="1" ref="Q5" ca="1">IFERROR(INDEX(MPOB!$B$3:$B$1000,
SMALL(
IF((MPOB!$Q$3:$Q$1000&lt;&gt;"")*(MPOB!$Q$3:$Q$1000&lt;&gt;"Not Due"),
ROW(MPOB!$Q$3:$Q$1000)-ROW(MPOB!$Q$3)+1),
ROWS(A$2:A5))),"")</f>
        <v>T/2026/00146</v>
      </c>
      <c r="R5" s="115" t="str" cm="1">
        <f t="array" aca="1" ref="R5" ca="1">IFERROR(INDEX(MPOB!$D$3:$D$1000,
SMALL(
IF((MPOB!$Q$3:$Q$1000&lt;&gt;"")*(MPOB!$Q$3:$Q$1000&lt;&gt;"Not Due"),
ROW(MPOB!$Q$3:$Q$1000)-ROW(MPOB!$Q$3)+1),
ROWS(A$2:A5))),"")</f>
        <v>Projek Kos</v>
      </c>
      <c r="S5" s="116" t="str" cm="1">
        <f t="array" aca="1" ref="S5" ca="1">IFERROR(INDEX(MPOB!$G$3:$G$1000,
SMALL(
IF((MPOB!$Q$3:$Q$1000&lt;&gt;"")*(MPOB!$Q$3:$Q$1000&lt;&gt;"Not Due"),
ROW(MPOB!$Q$3:$Q$1000)-ROW(MPOB!$Q$3)+1),
ROWS(A$2:A5))),"")</f>
        <v>Nama User : Khairun nisa Date : 20/1/2026 Isu : Ada amaun negatif.</v>
      </c>
      <c r="T5" s="88" t="str" cm="1">
        <f t="array" aca="1" ref="T5" ca="1">IFERROR(INDEX(MPOB!$Q$3:$Q$1000,
SMALL(
IF((MPOB!$Q$3:$Q$1000&lt;&gt;"")*(MPOB!$Q$3:$Q$1000&lt;&gt;"Not Due"),
ROW(MPOB!$Q$3:$Q$1000)-ROW(MPOB!$Q$3)+1),
ROWS(A$2:A5))
),"")</f>
        <v>&gt;60 Days</v>
      </c>
      <c r="V5" s="115">
        <v>4</v>
      </c>
      <c r="W5" s="121" t="str" cm="1">
        <f t="array" aca="1" ref="W5" ca="1">IFERROR(INDEX(LKTN!$E$3:$E$1000,
SMALL(
IF((LKTN!$Q$3:$Q$1000&lt;&gt;"")*(LKTN!$Q$3:$Q$1000&lt;&gt;"Not Due"),
ROW(LKTN!$Q$3:$Q$1000)-ROW(LKTN!$Q$3)+1),
ROWS(A$2:A5))),"")</f>
        <v>LKTN</v>
      </c>
      <c r="X5" s="115" t="str" cm="1">
        <f t="array" aca="1" ref="X5" ca="1">IFERROR(INDEX(LKTN!$B$3:$B$1000,
SMALL(
IF((LKTN!$Q$3:$Q$1000&lt;&gt;"")*(LKTN!$Q$3:$Q$1000&lt;&gt;"Not Due"),
ROW(LKTN!$Q$3:$Q$1000)-ROW(LKTN!$Q$3)+1),
ROWS(A$2:A5))),"")</f>
        <v>T/2026/00455</v>
      </c>
      <c r="Y5" s="115" t="str" cm="1">
        <f t="array" aca="1" ref="Y5" ca="1">IFERROR(INDEX(LKTN!$D$3:$D$1000,
SMALL(
IF((LKTN!$Q$3:$Q$1000&lt;&gt;"")*(LKTN!$Q$3:$Q$1000&lt;&gt;"Not Due"),
ROW(LKTN!$Q$3:$Q$1000)-ROW(LKTN!$Q$3)+1),
ROWS(A$2:A5))),"")</f>
        <v>MYSTOR</v>
      </c>
      <c r="Z5" s="116" t="str" cm="1">
        <f t="array" aca="1" ref="Z5" ca="1">IFERROR(INDEX(LKTN!$G$3:$G$1000,
SMALL(
IF((LKTN!$Q$3:$Q$1000&lt;&gt;"")*(LKTN!$Q$3:$Q$1000&lt;&gt;"Not Due"),
ROW(LKTN!$Q$3:$Q$1000)-ROW(LKTN!$Q$3)+1),
ROWS(A$2:A5))),"")</f>
        <v>Staf Yang Tidak Dapat Membuat Permohonan Dalam Mystore 1. Muhamad Najib Bin Daud 2. Hafizi Bin Hashim 3. Muhamad Rozaidi Bin Shafie 4. Muhamad Zaini Bin Abdul Ghani 5. Ahmad Syahmi Bin Ismail Nasharuddin Berikan Akses sebagai Pegawai Stor 1. Mohd Khairi Bin Yusoff</v>
      </c>
      <c r="AA5" s="64" t="str" cm="1">
        <f t="array" aca="1" ref="AA5" ca="1">IFERROR(INDEX(LKTN!$Q$3:$Q$1000,
SMALL(
IF((LKTN!$Q$3:$Q$1000&lt;&gt;"")*(LKTN!$Q$3:$Q$1000&lt;&gt;"Not Due"),
ROW(LKTN!$Q$3:$Q$1000)-ROW(LKTN!$Q$3)+1),
ROWS(A$2:A5))
),"")</f>
        <v>1-30 Days</v>
      </c>
      <c r="AC5" s="115">
        <v>4</v>
      </c>
      <c r="AD5" s="122" t="str" cm="1">
        <f t="array" aca="1" ref="AD5" ca="1">IFERROR(INDEX(LAM!$E$3:$E$1000,
SMALL(
IF((LAM!$Q$3:$Q$1000&lt;&gt;"")*(LAM!$Q$3:$Q$1000&lt;&gt;"Not Due"),
ROW(LAM!$Q$3:$Q$1000)-ROW(LAM!$Q$3)+1),
ROWS(A$2:A5))),"")</f>
        <v>LAM</v>
      </c>
      <c r="AE5" s="115" t="str" cm="1">
        <f t="array" aca="1" ref="AE5" ca="1">IFERROR(INDEX(LAM!$B$3:$B$1000,
SMALL(
IF((LAM!$Q$3:$Q$1000&lt;&gt;"")*(LAM!$Q$3:$Q$1000&lt;&gt;"Not Due"),
ROW(LAM!$Q$3:$Q$1000)-ROW(LAM!$Q$3)+1),
ROWS(A$2:A5))),"")</f>
        <v>T/2026/00452</v>
      </c>
      <c r="AF5" s="115" t="str" cm="1">
        <f t="array" aca="1" ref="AF5" ca="1">IFERROR(INDEX(LAM!$D$3:$D$1000,
SMALL(
IF((LAM!$Q$3:$Q$1000&lt;&gt;"")*(LAM!$Q$3:$Q$1000&lt;&gt;"Not Due"),
ROW(LAM!$Q$3:$Q$1000)-ROW(LAM!$Q$3)+1),
ROWS(A$2:A5))),"")</f>
        <v>MYFINANCIAL</v>
      </c>
      <c r="AG5" s="116" t="str" cm="1">
        <f t="array" aca="1" ref="AG5" ca="1">IFERROR(INDEX(LAM!$G$3:$G$1000,
SMALL(
IF((LAM!$Q$3:$Q$1000&lt;&gt;"")*(LAM!$Q$3:$Q$1000&lt;&gt;"Not Due"),
ROW(LAM!$Q$3:$Q$1000)-ROW(LAM!$Q$3)+1),
ROWS(A$2:A5))),"")</f>
        <v>Tiada amaun keluar di Penyata Aliran Tunai bagi tahun 2025 Laporan MPSAS --&gt; Laporan Aliran Tunai --&gt; 2025</v>
      </c>
      <c r="AH5" s="64" t="str" cm="1">
        <f t="array" aca="1" ref="AH5" ca="1">IFERROR(INDEX(LAM!$Q$3:$Q$1000,
SMALL(
IF((LAM!$Q$3:$Q$1000&lt;&gt;"")*(LAM!$Q$3:$Q$1000&lt;&gt;"Not Due"),
ROW(LAM!$Q$3:$Q$1000)-ROW(LAM!$Q$3)+1),
ROWS(A$2:A5))
),"")</f>
        <v>1-30 Days</v>
      </c>
      <c r="AJ5" s="115">
        <v>4</v>
      </c>
      <c r="AK5" s="123" t="str" cm="1">
        <f t="array" aca="1" ref="AK5" ca="1">IFERROR(INDEX(ISN!$E$3:$E$1000,
SMALL(
IF((ISN!$Q$3:$Q$1000&lt;&gt;"")*(ISN!$Q$3:$Q$1000&lt;&gt;"Not Due"),
ROW(ISN!$Q$3:$Q$1000)-ROW(ISN!$Q$3)+1),
ROWS(A$2:A5))),"")</f>
        <v>ISN</v>
      </c>
      <c r="AL5" s="115" t="str" cm="1">
        <f t="array" aca="1" ref="AL5" ca="1">IFERROR(INDEX(ISN!$B$3:$B$1000,
SMALL(
IF((ISN!$Q$3:$Q$1000&lt;&gt;"")*(ISN!$Q$3:$Q$1000&lt;&gt;"Not Due"),
ROW(ISN!$Q$3:$Q$1000)-ROW(ISN!$Q$3)+1),
ROWS(A$2:A5))),"")</f>
        <v>T/2026/00370</v>
      </c>
      <c r="AM5" s="116" t="str" cm="1">
        <f t="array" aca="1" ref="AM5" ca="1">IFERROR(INDEX(ISN!$D$3:$D$1000,
SMALL(
IF((ISN!$Q$3:$Q$1000&lt;&gt;"")*(ISN!$Q$3:$Q$1000&lt;&gt;"Not Due"),
ROW(ISN!$Q$3:$Q$1000)-ROW(ISN!$Q$3)+1),
ROWS(A$2:A5))),"")</f>
        <v>MYSTOR</v>
      </c>
      <c r="AN5" s="116" t="str" cm="1">
        <f t="array" aca="1" ref="AN5" ca="1">IFERROR(INDEX(ISN!$G$3:$G$1000,
SMALL(
IF((ISN!$Q$3:$Q$1000&lt;&gt;"")*(ISN!$Q$3:$Q$1000&lt;&gt;"Not Due"),
ROW(ISN!$Q$3:$Q$1000)-ROW(ISN!$Q$3)+1),
ROWS(A$2:A5))),"")</f>
        <v>MOHON KEMASKINI CHECK &amp; FOUND (PEN MERAH) DI KEWPS.3 SISTEM MYSTORE DALAM STOR FARMASI UNTUK BULAN JUN 2026.</v>
      </c>
      <c r="AO5" s="64" t="str" cm="1">
        <f t="array" aca="1" ref="AO5" ca="1">IFERROR(INDEX(ISN!$Q$3:$Q$1000,
SMALL(
IF((ISN!$Q$3:$Q$1000&lt;&gt;"")*(ISN!$Q$3:$Q$1000&lt;&gt;"Not Due"),
ROW(ISN!$Q$3:$Q$1000)-ROW(ISN!$Q$3)+1),
ROWS(A$2:A5))
),"")</f>
        <v>1-30 Days</v>
      </c>
      <c r="AQ5" s="115">
        <v>4</v>
      </c>
      <c r="AR5" s="124" t="str" cm="1">
        <f t="array" aca="1" ref="AR5" ca="1">IFERROR(INDEX(MSN!$E$3:$E$1000,
SMALL(
IF((MSN!$Q$3:$Q$1000&lt;&gt;"")*(MSN!$Q$3:$Q$1000&lt;&gt;"Not Due"),
ROW(MSN!$Q$3:$Q$1000)-ROW(MSN!$Q$3)+1),
ROWS(A$2:A5))),"")</f>
        <v/>
      </c>
      <c r="AS5" s="115" t="str" cm="1">
        <f t="array" aca="1" ref="AS5" ca="1">IFERROR(INDEX(MSN!$B$3:$B$1000,
SMALL(
IF((MSN!$Q$3:$Q$1000&lt;&gt;"")*(MSN!$Q$3:$Q$1000&lt;&gt;"Not Due"),
ROW(MSN!$Q$3:$Q$1000)-ROW(MSN!$Q$3)+1),
ROWS(A$2:A5))),"")</f>
        <v/>
      </c>
      <c r="AT5" s="115" t="str" cm="1">
        <f t="array" aca="1" ref="AT5" ca="1">IFERROR(INDEX(MSN!$D$3:$D$1000,
SMALL(
IF((MSN!$Q$3:$Q$1000&lt;&gt;"")*(MSN!$Q$3:$Q$1000&lt;&gt;"Not Due"),
ROW(MSN!$Q$3:$Q$1000)-ROW(MSN!$Q$3)+1),
ROWS(A$2:A5))),"")</f>
        <v/>
      </c>
      <c r="AU5" s="116" t="str" cm="1">
        <f t="array" aca="1" ref="AU5" ca="1">IFERROR(INDEX(MSN!$G$3:$G$1000,
SMALL(
IF((MSN!$Q$3:$Q$1000&lt;&gt;"")*(MSN!$Q$3:$Q$1000&lt;&gt;"Not Due"),
ROW(MSN!$Q$3:$Q$1000)-ROW(MSN!$Q$3)+1),
ROWS(A$2:A5))),"")</f>
        <v/>
      </c>
      <c r="AV5" s="64" t="str" cm="1">
        <f t="array" aca="1" ref="AV5" ca="1">IFERROR(INDEX(MSN!$Q$3:$Q$1000,
SMALL(
IF((MSN!$Q$3:$Q$1000&lt;&gt;"")*(MSN!$Q$3:$Q$1000&lt;&gt;"Not Due"),
ROW(MSN!$Q$3:$Q$1000)-ROW(MSN!$Q$3)+1),
ROWS(A$2:A5))
),"")</f>
        <v/>
      </c>
    </row>
    <row r="6" spans="1:48" ht="156" x14ac:dyDescent="0.3">
      <c r="A6" s="115">
        <v>5</v>
      </c>
      <c r="B6" s="118" t="str" cm="1">
        <f t="array" aca="1" ref="B6" ca="1">IFERROR(INDEX(FRIM!$E$3:$E$1000,
SMALL(IF(FRIM!$Q$3:$Q$1000&lt;&gt;"",
ROW(FRIM!$Q$3:$Q$1000)-ROW(FRIM!$Q$3)+1),
ROWS(A$2:A6))),"")</f>
        <v>FRIM</v>
      </c>
      <c r="C6" s="116" t="str" cm="1">
        <f t="array" aca="1" ref="C6" ca="1">IFERROR(INDEX(FRIM!$B$3:$B$1000,
SMALL(IF(FRIM!$Q$3:$Q$1000&lt;&gt;"",
ROW(FRIM!$Q$3:$Q$1000)-ROW(FRIM!$Q$3)+1),
ROWS(A$2:A6))),"")</f>
        <v>T/2026/00078</v>
      </c>
      <c r="D6" s="116" t="str" cm="1">
        <f t="array" aca="1" ref="D6" ca="1">IFERROR(INDEX(FRIM!$D$3:$D$1000,
SMALL(IF(FRIM!$Q$3:$Q$1000&lt;&gt;"",
ROW(FRIM!$Q$3:$Q$1000)-ROW(FRIM!$Q$3)+1),
ROWS(A$2:A6))),"")</f>
        <v>QUERY</v>
      </c>
      <c r="E6" s="116" t="str" cm="1">
        <f t="array" aca="1" ref="E6" ca="1">IFERROR(INDEX(FRIM!$G$3:$G$1000,
SMALL(IF(FRIM!$Q$3:$Q$1000&lt;&gt;"",
ROW(FRIM!$Q$3:$Q$1000)-ROW(FRIM!$Q$3)+1),
ROWS(A$2:A6))),"")</f>
        <v>No Aduan: W2511 Name: NAJWA NAFIAH BINTI FAUZI Date: 12/02/2026 Desc: MOHON BANTUAN SEMAKAN BAGI PEROLEHAN SEPERTI BERIKUT KERANA BERBAKI DEFISIT : 1- AG23017 (TK ELEVATOR MALAYSIA SDN BHD) RM-11.00 2- SHB23002(4/4) (AIRCARBONIC SDN BHD) RM-188.00 3- SHB24004(3)(ALPHA GAS SOLUTION SDN. BHD.) RM- 924.00 4- SH22051 (ABROTECH ENTERPRISE) RM-8,789.40 5- SH24017 (SINAR MESRA SERVICES SDN. BHD.) RM- 30,132.00</v>
      </c>
      <c r="F6" s="88" t="str" cm="1">
        <f t="array" aca="1" ref="F6" ca="1">IFERROR(INDEX(FRIM!$Q$3:$Q$1000,
SMALL(IF(FRIM!$Q$3:$Q$1000&lt;&gt;"",
ROW(FRIM!$Q$3:$Q$1000)-ROW(FRIM!$Q$3)+1),
ROWS(A$2:A6))),"")</f>
        <v>&gt;60 Days</v>
      </c>
      <c r="H6" s="115">
        <v>5</v>
      </c>
      <c r="I6" s="119" t="str" cm="1">
        <f t="array" aca="1" ref="I6" ca="1">IFERROR(INDEX(MTIB!$E$3:$E$1000,
SMALL(
IF((MTIB!$Q$3:$Q$1000&lt;&gt;"")*(MTIB!$Q$3:$Q$1000&lt;&gt;"Not Due"),
ROW(MTIB!$Q$3:$Q$1000)-ROW(MTIB!$Q$3)+1),
ROWS(A$2:A6))),"")</f>
        <v>MTIB</v>
      </c>
      <c r="J6" s="115" t="str" cm="1">
        <f t="array" aca="1" ref="J6" ca="1">IFERROR(INDEX(MTIB!$B$3:$B$1000,
SMALL(
IF((MTIB!$Q$3:$Q$1000&lt;&gt;"")*(MTIB!$Q$3:$Q$1000&lt;&gt;"Not Due"),
ROW(MTIB!$Q$3:$Q$1000)-ROW(MTIB!$Q$3)+1),
ROWS(A$2:A6))),"")</f>
        <v>T/2025/00202</v>
      </c>
      <c r="K6" s="115" t="str" cm="1">
        <f t="array" aca="1" ref="K6" ca="1">IFERROR(INDEX(MTIB!$D$3:$D$1000,
SMALL(
IF((MTIB!$Q$3:$Q$1000&lt;&gt;"")*(MTIB!$Q$3:$Q$1000&lt;&gt;"Not Due"),
ROW(MTIB!$Q$3:$Q$1000)-ROW(MTIB!$Q$3)+1),
ROWS(A$2:A6))),"")</f>
        <v>MYFINANCIAL</v>
      </c>
      <c r="L6" s="116" t="str" cm="1">
        <f t="array" aca="1" ref="L6" ca="1">IFERROR(INDEX(MTIB!$G$3:$G$1000,
SMALL(
IF((MTIB!$Q$3:$Q$1000&lt;&gt;"")*(MTIB!$Q$3:$Q$1000&lt;&gt;"Not Due"),
ROW(MTIB!$Q$3:$Q$1000)-ROW(MTIB!$Q$3)+1),
ROWS(A$2:A6))),"")</f>
        <v>Tidak dapat membuat cetakan terus dari sistem MyFinancial tetapi boleh melalui 'text view'. Namun butiran baucar akan terputus ke baucar seterusnya. Untuk itu setiap baucar perlu diperbetul margin sebelum membuat cetakan. Pengadu: Suhani Hassan</v>
      </c>
      <c r="M6" s="88" t="str" cm="1">
        <f t="array" aca="1" ref="M6" ca="1">IFERROR(INDEX(MTIB!$Q$3:$Q$1000,
SMALL(
IF((MTIB!$Q$3:$Q$1000&lt;&gt;"")*(MTIB!$Q$3:$Q$1000&lt;&gt;"Not Due"),
ROW(MTIB!$Q$3:$Q$1000)-ROW(MTIB!$Q$3)+1),
ROWS(A$2:A6))
),"")</f>
        <v>&gt;60 Days</v>
      </c>
      <c r="O6" s="115">
        <v>5</v>
      </c>
      <c r="P6" s="120" t="str" cm="1">
        <f t="array" aca="1" ref="P6" ca="1">IFERROR(INDEX(MPOB!$E$3:$E$1000,
SMALL(
IF((MPOB!$Q$3:$Q$1000&lt;&gt;"")*(MPOB!$Q$3:$Q$1000&lt;&gt;"Not Due"),
ROW(MPOB!$Q$3:$Q$1000)-ROW(MPOB!$Q$3)+1),
ROWS(A$2:A6))),"")</f>
        <v>MPOB</v>
      </c>
      <c r="Q6" s="115" t="str" cm="1">
        <f t="array" aca="1" ref="Q6" ca="1">IFERROR(INDEX(MPOB!$B$3:$B$1000,
SMALL(
IF((MPOB!$Q$3:$Q$1000&lt;&gt;"")*(MPOB!$Q$3:$Q$1000&lt;&gt;"Not Due"),
ROW(MPOB!$Q$3:$Q$1000)-ROW(MPOB!$Q$3)+1),
ROWS(A$2:A6))),"")</f>
        <v>T/2026/00147</v>
      </c>
      <c r="R6" s="115" t="str" cm="1">
        <f t="array" aca="1" ref="R6" ca="1">IFERROR(INDEX(MPOB!$D$3:$D$1000,
SMALL(
IF((MPOB!$Q$3:$Q$1000&lt;&gt;"")*(MPOB!$Q$3:$Q$1000&lt;&gt;"Not Due"),
ROW(MPOB!$Q$3:$Q$1000)-ROW(MPOB!$Q$3)+1),
ROWS(A$2:A6))),"")</f>
        <v>MyFinancial</v>
      </c>
      <c r="S6" s="116" t="str" cm="1">
        <f t="array" aca="1" ref="S6" ca="1">IFERROR(INDEX(MPOB!$G$3:$G$1000,
SMALL(
IF((MPOB!$Q$3:$Q$1000&lt;&gt;"")*(MPOB!$Q$3:$Q$1000&lt;&gt;"Not Due"),
ROW(MPOB!$Q$3:$Q$1000)-ROW(MPOB!$Q$3)+1),
ROWS(A$2:A6))),"")</f>
        <v>Nama User : Dalillah Date : 20/1/2026 Isu : Sistem error message</v>
      </c>
      <c r="T6" s="88" t="str" cm="1">
        <f t="array" aca="1" ref="T6" ca="1">IFERROR(INDEX(MPOB!$Q$3:$Q$1000,
SMALL(
IF((MPOB!$Q$3:$Q$1000&lt;&gt;"")*(MPOB!$Q$3:$Q$1000&lt;&gt;"Not Due"),
ROW(MPOB!$Q$3:$Q$1000)-ROW(MPOB!$Q$3)+1),
ROWS(A$2:A6))
),"")</f>
        <v>&gt;60 Days</v>
      </c>
      <c r="V6" s="115">
        <v>5</v>
      </c>
      <c r="W6" s="121" t="str" cm="1">
        <f t="array" aca="1" ref="W6" ca="1">IFERROR(INDEX(LKTN!$E$3:$E$1000,
SMALL(
IF((LKTN!$Q$3:$Q$1000&lt;&gt;"")*(LKTN!$Q$3:$Q$1000&lt;&gt;"Not Due"),
ROW(LKTN!$Q$3:$Q$1000)-ROW(LKTN!$Q$3)+1),
ROWS(A$2:A6))),"")</f>
        <v/>
      </c>
      <c r="X6" s="115" t="str" cm="1">
        <f t="array" aca="1" ref="X6" ca="1">IFERROR(INDEX(LKTN!$B$3:$B$1000,
SMALL(
IF((LKTN!$Q$3:$Q$1000&lt;&gt;"")*(LKTN!$Q$3:$Q$1000&lt;&gt;"Not Due"),
ROW(LKTN!$Q$3:$Q$1000)-ROW(LKTN!$Q$3)+1),
ROWS(A$2:A6))),"")</f>
        <v/>
      </c>
      <c r="Y6" s="115" t="str" cm="1">
        <f t="array" aca="1" ref="Y6" ca="1">IFERROR(INDEX(LKTN!$D$3:$D$1000,
SMALL(
IF((LKTN!$Q$3:$Q$1000&lt;&gt;"")*(LKTN!$Q$3:$Q$1000&lt;&gt;"Not Due"),
ROW(LKTN!$Q$3:$Q$1000)-ROW(LKTN!$Q$3)+1),
ROWS(A$2:A6))),"")</f>
        <v/>
      </c>
      <c r="Z6" s="116" t="str" cm="1">
        <f t="array" aca="1" ref="Z6" ca="1">IFERROR(INDEX(LKTN!$G$3:$G$1000,
SMALL(
IF((LKTN!$Q$3:$Q$1000&lt;&gt;"")*(LKTN!$Q$3:$Q$1000&lt;&gt;"Not Due"),
ROW(LKTN!$Q$3:$Q$1000)-ROW(LKTN!$Q$3)+1),
ROWS(A$2:A6))),"")</f>
        <v/>
      </c>
      <c r="AA6" s="64" t="str" cm="1">
        <f t="array" aca="1" ref="AA6" ca="1">IFERROR(INDEX(LKTN!$Q$3:$Q$1000,
SMALL(
IF((LKTN!$Q$3:$Q$1000&lt;&gt;"")*(LKTN!$Q$3:$Q$1000&lt;&gt;"Not Due"),
ROW(LKTN!$Q$3:$Q$1000)-ROW(LKTN!$Q$3)+1),
ROWS(A$2:A6))
),"")</f>
        <v/>
      </c>
      <c r="AC6" s="115">
        <v>5</v>
      </c>
      <c r="AD6" s="122" t="str" cm="1">
        <f t="array" aca="1" ref="AD6" ca="1">IFERROR(INDEX(LAM!$E$3:$E$1000,
SMALL(
IF((LAM!$Q$3:$Q$1000&lt;&gt;"")*(LAM!$Q$3:$Q$1000&lt;&gt;"Not Due"),
ROW(LAM!$Q$3:$Q$1000)-ROW(LAM!$Q$3)+1),
ROWS(A$2:A6))),"")</f>
        <v/>
      </c>
      <c r="AE6" s="115" t="str" cm="1">
        <f t="array" aca="1" ref="AE6" ca="1">IFERROR(INDEX(LAM!$B$3:$B$1000,
SMALL(
IF((LAM!$Q$3:$Q$1000&lt;&gt;"")*(LAM!$Q$3:$Q$1000&lt;&gt;"Not Due"),
ROW(LAM!$Q$3:$Q$1000)-ROW(LAM!$Q$3)+1),
ROWS(A$2:A6))),"")</f>
        <v/>
      </c>
      <c r="AF6" s="115" t="str" cm="1">
        <f t="array" aca="1" ref="AF6" ca="1">IFERROR(INDEX(LAM!$D$3:$D$1000,
SMALL(
IF((LAM!$Q$3:$Q$1000&lt;&gt;"")*(LAM!$Q$3:$Q$1000&lt;&gt;"Not Due"),
ROW(LAM!$Q$3:$Q$1000)-ROW(LAM!$Q$3)+1),
ROWS(A$2:A6))),"")</f>
        <v/>
      </c>
      <c r="AG6" s="116" t="str" cm="1">
        <f t="array" aca="1" ref="AG6" ca="1">IFERROR(INDEX(LAM!$G$3:$G$1000,
SMALL(
IF((LAM!$Q$3:$Q$1000&lt;&gt;"")*(LAM!$Q$3:$Q$1000&lt;&gt;"Not Due"),
ROW(LAM!$Q$3:$Q$1000)-ROW(LAM!$Q$3)+1),
ROWS(A$2:A6))),"")</f>
        <v/>
      </c>
      <c r="AH6" s="64" t="str" cm="1">
        <f t="array" aca="1" ref="AH6" ca="1">IFERROR(INDEX(LAM!$Q$3:$Q$1000,
SMALL(
IF((LAM!$Q$3:$Q$1000&lt;&gt;"")*(LAM!$Q$3:$Q$1000&lt;&gt;"Not Due"),
ROW(LAM!$Q$3:$Q$1000)-ROW(LAM!$Q$3)+1),
ROWS(A$2:A6))
),"")</f>
        <v/>
      </c>
      <c r="AJ6" s="115">
        <v>5</v>
      </c>
      <c r="AK6" s="123" t="str" cm="1">
        <f t="array" aca="1" ref="AK6" ca="1">IFERROR(INDEX(ISN!$E$3:$E$1000,
SMALL(
IF((ISN!$Q$3:$Q$1000&lt;&gt;"")*(ISN!$Q$3:$Q$1000&lt;&gt;"Not Due"),
ROW(ISN!$Q$3:$Q$1000)-ROW(ISN!$Q$3)+1),
ROWS(A$2:A6))),"")</f>
        <v>ISN</v>
      </c>
      <c r="AL6" s="115" t="str" cm="1">
        <f t="array" aca="1" ref="AL6" ca="1">IFERROR(INDEX(ISN!$B$3:$B$1000,
SMALL(
IF((ISN!$Q$3:$Q$1000&lt;&gt;"")*(ISN!$Q$3:$Q$1000&lt;&gt;"Not Due"),
ROW(ISN!$Q$3:$Q$1000)-ROW(ISN!$Q$3)+1),
ROWS(A$2:A6))),"")</f>
        <v>T/2026/00428</v>
      </c>
      <c r="AM6" s="116" t="str" cm="1">
        <f t="array" aca="1" ref="AM6" ca="1">IFERROR(INDEX(ISN!$D$3:$D$1000,
SMALL(
IF((ISN!$Q$3:$Q$1000&lt;&gt;"")*(ISN!$Q$3:$Q$1000&lt;&gt;"Not Due"),
ROW(ISN!$Q$3:$Q$1000)-ROW(ISN!$Q$3)+1),
ROWS(A$2:A6))),"")</f>
        <v>MYASSET</v>
      </c>
      <c r="AN6" s="116" t="str" cm="1">
        <f t="array" aca="1" ref="AN6" ca="1">IFERROR(INDEX(ISN!$G$3:$G$1000,
SMALL(
IF((ISN!$Q$3:$Q$1000&lt;&gt;"")*(ISN!$Q$3:$Q$1000&lt;&gt;"Not Due"),
ROW(ISN!$Q$3:$Q$1000)-ROW(ISN!$Q$3)+1),
ROWS(A$2:A6))),"")</f>
        <v>1) Selepas daftar pemeriksaan aset, pada sub modul_Cetak Pemeriksaan Aset, tiada maklumat dan tidak dapat pos data. 2) Bila cetak dokumen yang dah siap, pada Bahagian, maklumat tidak keluar/tidak lengkap.</v>
      </c>
      <c r="AO6" s="64" t="str" cm="1">
        <f t="array" aca="1" ref="AO6" ca="1">IFERROR(INDEX(ISN!$Q$3:$Q$1000,
SMALL(
IF((ISN!$Q$3:$Q$1000&lt;&gt;"")*(ISN!$Q$3:$Q$1000&lt;&gt;"Not Due"),
ROW(ISN!$Q$3:$Q$1000)-ROW(ISN!$Q$3)+1),
ROWS(A$2:A6))
),"")</f>
        <v>1-30 Days</v>
      </c>
      <c r="AQ6" s="115">
        <v>5</v>
      </c>
      <c r="AR6" s="124" t="str" cm="1">
        <f t="array" aca="1" ref="AR6" ca="1">IFERROR(INDEX(MSN!$E$3:$E$1000,
SMALL(
IF((MSN!$Q$3:$Q$1000&lt;&gt;"")*(MSN!$Q$3:$Q$1000&lt;&gt;"Not Due"),
ROW(MSN!$Q$3:$Q$1000)-ROW(MSN!$Q$3)+1),
ROWS(A$2:A6))),"")</f>
        <v/>
      </c>
      <c r="AS6" s="115" t="str" cm="1">
        <f t="array" aca="1" ref="AS6" ca="1">IFERROR(INDEX(MSN!$B$3:$B$1000,
SMALL(
IF((MSN!$Q$3:$Q$1000&lt;&gt;"")*(MSN!$Q$3:$Q$1000&lt;&gt;"Not Due"),
ROW(MSN!$Q$3:$Q$1000)-ROW(MSN!$Q$3)+1),
ROWS(A$2:A6))),"")</f>
        <v/>
      </c>
      <c r="AT6" s="115" t="str" cm="1">
        <f t="array" aca="1" ref="AT6" ca="1">IFERROR(INDEX(MSN!$D$3:$D$1000,
SMALL(
IF((MSN!$Q$3:$Q$1000&lt;&gt;"")*(MSN!$Q$3:$Q$1000&lt;&gt;"Not Due"),
ROW(MSN!$Q$3:$Q$1000)-ROW(MSN!$Q$3)+1),
ROWS(A$2:A6))),"")</f>
        <v/>
      </c>
      <c r="AU6" s="116" t="str" cm="1">
        <f t="array" aca="1" ref="AU6" ca="1">IFERROR(INDEX(MSN!$G$3:$G$1000,
SMALL(
IF((MSN!$Q$3:$Q$1000&lt;&gt;"")*(MSN!$Q$3:$Q$1000&lt;&gt;"Not Due"),
ROW(MSN!$Q$3:$Q$1000)-ROW(MSN!$Q$3)+1),
ROWS(A$2:A6))),"")</f>
        <v/>
      </c>
      <c r="AV6" s="64" t="str" cm="1">
        <f t="array" aca="1" ref="AV6" ca="1">IFERROR(INDEX(MSN!$Q$3:$Q$1000,
SMALL(
IF((MSN!$Q$3:$Q$1000&lt;&gt;"")*(MSN!$Q$3:$Q$1000&lt;&gt;"Not Due"),
ROW(MSN!$Q$3:$Q$1000)-ROW(MSN!$Q$3)+1),
ROWS(A$2:A6))
),"")</f>
        <v/>
      </c>
    </row>
    <row r="7" spans="1:48" ht="140.4" x14ac:dyDescent="0.3">
      <c r="A7" s="115">
        <v>6</v>
      </c>
      <c r="B7" s="118" t="str" cm="1">
        <f t="array" aca="1" ref="B7" ca="1">IFERROR(INDEX(FRIM!$E$3:$E$1000,
SMALL(IF(FRIM!$Q$3:$Q$1000&lt;&gt;"",
ROW(FRIM!$Q$3:$Q$1000)-ROW(FRIM!$Q$3)+1),
ROWS(A$2:A7))),"")</f>
        <v>FRIM</v>
      </c>
      <c r="C7" s="116" t="str" cm="1">
        <f t="array" aca="1" ref="C7" ca="1">IFERROR(INDEX(FRIM!$B$3:$B$1000,
SMALL(IF(FRIM!$Q$3:$Q$1000&lt;&gt;"",
ROW(FRIM!$Q$3:$Q$1000)-ROW(FRIM!$Q$3)+1),
ROWS(A$2:A7))),"")</f>
        <v>T/2026/00087</v>
      </c>
      <c r="D7" s="116" t="str" cm="1">
        <f t="array" aca="1" ref="D7" ca="1">IFERROR(INDEX(FRIM!$D$3:$D$1000,
SMALL(IF(FRIM!$Q$3:$Q$1000&lt;&gt;"",
ROW(FRIM!$Q$3:$Q$1000)-ROW(FRIM!$Q$3)+1),
ROWS(A$2:A7))),"")</f>
        <v>MYFINANCIAL CLIENT</v>
      </c>
      <c r="E7" s="116" t="str" cm="1">
        <f t="array" aca="1" ref="E7" ca="1">IFERROR(INDEX(FRIM!$G$3:$G$1000,
SMALL(IF(FRIM!$Q$3:$Q$1000&lt;&gt;"",
ROW(FRIM!$Q$3:$Q$1000)-ROW(FRIM!$Q$3)+1),
ROWS(A$2:A7))),"")</f>
        <v>NO ADUAN : W2516 TARIKH : 23/02/2026 NAMA : HASRINA HASNOR BT. KAMARUZAMAN UNTUK MAKLUMAN, FRIM AKAN MENGGUNAKAN VIRTUAL ACCOUNT (VA) DARIPADA CIMB BANK, DI MANA NOMBOR AKAUN ADALAH UNIK BAGI SETIAP BAHAGIAN/MAKMAL BAGI MEMUDAHKAN PENGECAMAN TERIMAAN. OLEH ITU, MOHON BANTUAN UNTUK KEMASKINI PILIHAN NOMBOR BANK DALAM INVOICE TERSEBUT.</v>
      </c>
      <c r="F7" s="88" t="str" cm="1">
        <f t="array" aca="1" ref="F7" ca="1">IFERROR(INDEX(FRIM!$Q$3:$Q$1000,
SMALL(IF(FRIM!$Q$3:$Q$1000&lt;&gt;"",
ROW(FRIM!$Q$3:$Q$1000)-ROW(FRIM!$Q$3)+1),
ROWS(A$2:A7))),"")</f>
        <v>&gt;60 Days</v>
      </c>
      <c r="H7" s="115">
        <v>6</v>
      </c>
      <c r="I7" s="119" t="str" cm="1">
        <f t="array" aca="1" ref="I7" ca="1">IFERROR(INDEX(MTIB!$E$3:$E$1000,
SMALL(
IF((MTIB!$Q$3:$Q$1000&lt;&gt;"")*(MTIB!$Q$3:$Q$1000&lt;&gt;"Not Due"),
ROW(MTIB!$Q$3:$Q$1000)-ROW(MTIB!$Q$3)+1),
ROWS(A$2:A7))),"")</f>
        <v>MTIB</v>
      </c>
      <c r="J7" s="115" t="str" cm="1">
        <f t="array" aca="1" ref="J7" ca="1">IFERROR(INDEX(MTIB!$B$3:$B$1000,
SMALL(
IF((MTIB!$Q$3:$Q$1000&lt;&gt;"")*(MTIB!$Q$3:$Q$1000&lt;&gt;"Not Due"),
ROW(MTIB!$Q$3:$Q$1000)-ROW(MTIB!$Q$3)+1),
ROWS(A$2:A7))),"")</f>
        <v>T/2026/00020</v>
      </c>
      <c r="K7" s="115" t="str" cm="1">
        <f t="array" aca="1" ref="K7" ca="1">IFERROR(INDEX(MTIB!$D$3:$D$1000,
SMALL(
IF((MTIB!$Q$3:$Q$1000&lt;&gt;"")*(MTIB!$Q$3:$Q$1000&lt;&gt;"Not Due"),
ROW(MTIB!$Q$3:$Q$1000)-ROW(MTIB!$Q$3)+1),
ROWS(A$2:A7))),"")</f>
        <v>MYFINANCIAL</v>
      </c>
      <c r="L7" s="116" t="str" cm="1">
        <f t="array" aca="1" ref="L7" ca="1">IFERROR(INDEX(MTIB!$G$3:$G$1000,
SMALL(
IF((MTIB!$Q$3:$Q$1000&lt;&gt;"")*(MTIB!$Q$3:$Q$1000&lt;&gt;"Not Due"),
ROW(MTIB!$Q$3:$Q$1000)-ROW(MTIB!$Q$3)+1),
ROWS(A$2:A7))),"")</f>
        <v>Tidak dapat notifikasi emel bagi MyFinancial</v>
      </c>
      <c r="M7" s="88" t="str" cm="1">
        <f t="array" aca="1" ref="M7" ca="1">IFERROR(INDEX(MTIB!$Q$3:$Q$1000,
SMALL(
IF((MTIB!$Q$3:$Q$1000&lt;&gt;"")*(MTIB!$Q$3:$Q$1000&lt;&gt;"Not Due"),
ROW(MTIB!$Q$3:$Q$1000)-ROW(MTIB!$Q$3)+1),
ROWS(A$2:A7))
),"")</f>
        <v>&gt;60 Days</v>
      </c>
      <c r="O7" s="115">
        <v>6</v>
      </c>
      <c r="P7" s="120" t="str" cm="1">
        <f t="array" aca="1" ref="P7" ca="1">IFERROR(INDEX(MPOB!$E$3:$E$1000,
SMALL(
IF((MPOB!$Q$3:$Q$1000&lt;&gt;"")*(MPOB!$Q$3:$Q$1000&lt;&gt;"Not Due"),
ROW(MPOB!$Q$3:$Q$1000)-ROW(MPOB!$Q$3)+1),
ROWS(A$2:A7))),"")</f>
        <v>MPOB</v>
      </c>
      <c r="Q7" s="115" t="str" cm="1">
        <f t="array" aca="1" ref="Q7" ca="1">IFERROR(INDEX(MPOB!$B$3:$B$1000,
SMALL(
IF((MPOB!$Q$3:$Q$1000&lt;&gt;"")*(MPOB!$Q$3:$Q$1000&lt;&gt;"Not Due"),
ROW(MPOB!$Q$3:$Q$1000)-ROW(MPOB!$Q$3)+1),
ROWS(A$2:A7))),"")</f>
        <v>T/2026/00148</v>
      </c>
      <c r="R7" s="115" t="str" cm="1">
        <f t="array" aca="1" ref="R7" ca="1">IFERROR(INDEX(MPOB!$D$3:$D$1000,
SMALL(
IF((MPOB!$Q$3:$Q$1000&lt;&gt;"")*(MPOB!$Q$3:$Q$1000&lt;&gt;"Not Due"),
ROW(MPOB!$Q$3:$Q$1000)-ROW(MPOB!$Q$3)+1),
ROWS(A$2:A7))),"")</f>
        <v>MyProcurement</v>
      </c>
      <c r="S7" s="116" t="str" cm="1">
        <f t="array" aca="1" ref="S7" ca="1">IFERROR(INDEX(MPOB!$G$3:$G$1000,
SMALL(
IF((MPOB!$Q$3:$Q$1000&lt;&gt;"")*(MPOB!$Q$3:$Q$1000&lt;&gt;"Not Due"),
ROW(MPOB!$Q$3:$Q$1000)-ROW(MPOB!$Q$3)+1),
ROWS(A$2:A7))),"")</f>
        <v>Nama User : Nabila Date :21/1/2026 Isu : boleh ke nak mintak hapuskan pr ni, 008475? Sebab user salah letak nama utk penyokong dan penyemak.</v>
      </c>
      <c r="T7" s="88" t="str" cm="1">
        <f t="array" aca="1" ref="T7" ca="1">IFERROR(INDEX(MPOB!$Q$3:$Q$1000,
SMALL(
IF((MPOB!$Q$3:$Q$1000&lt;&gt;"")*(MPOB!$Q$3:$Q$1000&lt;&gt;"Not Due"),
ROW(MPOB!$Q$3:$Q$1000)-ROW(MPOB!$Q$3)+1),
ROWS(A$2:A7))
),"")</f>
        <v>&gt;60 Days</v>
      </c>
      <c r="V7" s="115">
        <v>6</v>
      </c>
      <c r="W7" s="121" t="str" cm="1">
        <f t="array" aca="1" ref="W7" ca="1">IFERROR(INDEX(LKTN!$E$3:$E$1000,
SMALL(
IF((LKTN!$Q$3:$Q$1000&lt;&gt;"")*(LKTN!$Q$3:$Q$1000&lt;&gt;"Not Due"),
ROW(LKTN!$Q$3:$Q$1000)-ROW(LKTN!$Q$3)+1),
ROWS(A$2:A7))),"")</f>
        <v/>
      </c>
      <c r="X7" s="115" t="str" cm="1">
        <f t="array" aca="1" ref="X7" ca="1">IFERROR(INDEX(LKTN!$B$3:$B$1000,
SMALL(
IF((LKTN!$Q$3:$Q$1000&lt;&gt;"")*(LKTN!$Q$3:$Q$1000&lt;&gt;"Not Due"),
ROW(LKTN!$Q$3:$Q$1000)-ROW(LKTN!$Q$3)+1),
ROWS(A$2:A7))),"")</f>
        <v/>
      </c>
      <c r="Y7" s="115" t="str" cm="1">
        <f t="array" aca="1" ref="Y7" ca="1">IFERROR(INDEX(LKTN!$D$3:$D$1000,
SMALL(
IF((LKTN!$Q$3:$Q$1000&lt;&gt;"")*(LKTN!$Q$3:$Q$1000&lt;&gt;"Not Due"),
ROW(LKTN!$Q$3:$Q$1000)-ROW(LKTN!$Q$3)+1),
ROWS(A$2:A7))),"")</f>
        <v/>
      </c>
      <c r="Z7" s="116" t="str" cm="1">
        <f t="array" aca="1" ref="Z7" ca="1">IFERROR(INDEX(LKTN!$G$3:$G$1000,
SMALL(
IF((LKTN!$Q$3:$Q$1000&lt;&gt;"")*(LKTN!$Q$3:$Q$1000&lt;&gt;"Not Due"),
ROW(LKTN!$Q$3:$Q$1000)-ROW(LKTN!$Q$3)+1),
ROWS(A$2:A7))),"")</f>
        <v/>
      </c>
      <c r="AA7" s="64" t="str" cm="1">
        <f t="array" aca="1" ref="AA7" ca="1">IFERROR(INDEX(LKTN!$Q$3:$Q$1000,
SMALL(
IF((LKTN!$Q$3:$Q$1000&lt;&gt;"")*(LKTN!$Q$3:$Q$1000&lt;&gt;"Not Due"),
ROW(LKTN!$Q$3:$Q$1000)-ROW(LKTN!$Q$3)+1),
ROWS(A$2:A7))
),"")</f>
        <v/>
      </c>
      <c r="AC7" s="115">
        <v>6</v>
      </c>
      <c r="AD7" s="122" t="str" cm="1">
        <f t="array" aca="1" ref="AD7" ca="1">IFERROR(INDEX(LAM!$E$3:$E$1000,
SMALL(
IF((LAM!$Q$3:$Q$1000&lt;&gt;"")*(LAM!$Q$3:$Q$1000&lt;&gt;"Not Due"),
ROW(LAM!$Q$3:$Q$1000)-ROW(LAM!$Q$3)+1),
ROWS(A$2:A7))),"")</f>
        <v/>
      </c>
      <c r="AE7" s="115" t="str" cm="1">
        <f t="array" aca="1" ref="AE7" ca="1">IFERROR(INDEX(LAM!$B$3:$B$1000,
SMALL(
IF((LAM!$Q$3:$Q$1000&lt;&gt;"")*(LAM!$Q$3:$Q$1000&lt;&gt;"Not Due"),
ROW(LAM!$Q$3:$Q$1000)-ROW(LAM!$Q$3)+1),
ROWS(A$2:A7))),"")</f>
        <v/>
      </c>
      <c r="AF7" s="115" t="str" cm="1">
        <f t="array" aca="1" ref="AF7" ca="1">IFERROR(INDEX(LAM!$D$3:$D$1000,
SMALL(
IF((LAM!$Q$3:$Q$1000&lt;&gt;"")*(LAM!$Q$3:$Q$1000&lt;&gt;"Not Due"),
ROW(LAM!$Q$3:$Q$1000)-ROW(LAM!$Q$3)+1),
ROWS(A$2:A7))),"")</f>
        <v/>
      </c>
      <c r="AG7" s="116" t="str" cm="1">
        <f t="array" aca="1" ref="AG7" ca="1">IFERROR(INDEX(LAM!$G$3:$G$1000,
SMALL(
IF((LAM!$Q$3:$Q$1000&lt;&gt;"")*(LAM!$Q$3:$Q$1000&lt;&gt;"Not Due"),
ROW(LAM!$Q$3:$Q$1000)-ROW(LAM!$Q$3)+1),
ROWS(A$2:A7))),"")</f>
        <v/>
      </c>
      <c r="AH7" s="64" t="str" cm="1">
        <f t="array" aca="1" ref="AH7" ca="1">IFERROR(INDEX(LAM!$Q$3:$Q$1000,
SMALL(
IF((LAM!$Q$3:$Q$1000&lt;&gt;"")*(LAM!$Q$3:$Q$1000&lt;&gt;"Not Due"),
ROW(LAM!$Q$3:$Q$1000)-ROW(LAM!$Q$3)+1),
ROWS(A$2:A7))
),"")</f>
        <v/>
      </c>
      <c r="AJ7" s="115">
        <v>6</v>
      </c>
      <c r="AK7" s="123" t="str" cm="1">
        <f t="array" aca="1" ref="AK7" ca="1">IFERROR(INDEX(ISN!$E$3:$E$1000,
SMALL(
IF((ISN!$Q$3:$Q$1000&lt;&gt;"")*(ISN!$Q$3:$Q$1000&lt;&gt;"Not Due"),
ROW(ISN!$Q$3:$Q$1000)-ROW(ISN!$Q$3)+1),
ROWS(A$2:A7))),"")</f>
        <v>ISN</v>
      </c>
      <c r="AL7" s="115" t="str" cm="1">
        <f t="array" aca="1" ref="AL7" ca="1">IFERROR(INDEX(ISN!$B$3:$B$1000,
SMALL(
IF((ISN!$Q$3:$Q$1000&lt;&gt;"")*(ISN!$Q$3:$Q$1000&lt;&gt;"Not Due"),
ROW(ISN!$Q$3:$Q$1000)-ROW(ISN!$Q$3)+1),
ROWS(A$2:A7))),"")</f>
        <v>T/2026/00432</v>
      </c>
      <c r="AM7" s="116" t="str" cm="1">
        <f t="array" aca="1" ref="AM7" ca="1">IFERROR(INDEX(ISN!$D$3:$D$1000,
SMALL(
IF((ISN!$Q$3:$Q$1000&lt;&gt;"")*(ISN!$Q$3:$Q$1000&lt;&gt;"Not Due"),
ROW(ISN!$Q$3:$Q$1000)-ROW(ISN!$Q$3)+1),
ROWS(A$2:A7))),"")</f>
        <v>MYSTOR</v>
      </c>
      <c r="AN7" s="116" t="str" cm="1">
        <f t="array" aca="1" ref="AN7" ca="1">IFERROR(INDEX(ISN!$G$3:$G$1000,
SMALL(
IF((ISN!$Q$3:$Q$1000&lt;&gt;"")*(ISN!$Q$3:$Q$1000&lt;&gt;"Not Due"),
ROW(ISN!$Q$3:$Q$1000)-ROW(ISN!$Q$3)+1),
ROWS(A$2:A7))),"")</f>
        <v>KEMASKINI BAKI KEW-PS 3 BAGI TAHUN 2026 UNTUK 155 ITEM YANG TERLIBAT SEPERTI DIBINCANGKAN ANTARA EN. MUHAIMIN DAN EN.NIK TERIMA KASIH. -MUHAIMIN (ISN)</v>
      </c>
      <c r="AO7" s="64" t="str" cm="1">
        <f t="array" aca="1" ref="AO7" ca="1">IFERROR(INDEX(ISN!$Q$3:$Q$1000,
SMALL(
IF((ISN!$Q$3:$Q$1000&lt;&gt;"")*(ISN!$Q$3:$Q$1000&lt;&gt;"Not Due"),
ROW(ISN!$Q$3:$Q$1000)-ROW(ISN!$Q$3)+1),
ROWS(A$2:A7))
),"")</f>
        <v>1-30 Days</v>
      </c>
      <c r="AQ7" s="115">
        <v>6</v>
      </c>
      <c r="AR7" s="124" t="str" cm="1">
        <f t="array" aca="1" ref="AR7" ca="1">IFERROR(INDEX(MSN!$E$3:$E$1000,
SMALL(
IF((MSN!$Q$3:$Q$1000&lt;&gt;"")*(MSN!$Q$3:$Q$1000&lt;&gt;"Not Due"),
ROW(MSN!$Q$3:$Q$1000)-ROW(MSN!$Q$3)+1),
ROWS(A$2:A7))),"")</f>
        <v/>
      </c>
      <c r="AS7" s="115" t="str" cm="1">
        <f t="array" aca="1" ref="AS7" ca="1">IFERROR(INDEX(MSN!$B$3:$B$1000,
SMALL(
IF((MSN!$Q$3:$Q$1000&lt;&gt;"")*(MSN!$Q$3:$Q$1000&lt;&gt;"Not Due"),
ROW(MSN!$Q$3:$Q$1000)-ROW(MSN!$Q$3)+1),
ROWS(A$2:A7))),"")</f>
        <v/>
      </c>
      <c r="AT7" s="115" t="str" cm="1">
        <f t="array" aca="1" ref="AT7" ca="1">IFERROR(INDEX(MSN!$D$3:$D$1000,
SMALL(
IF((MSN!$Q$3:$Q$1000&lt;&gt;"")*(MSN!$Q$3:$Q$1000&lt;&gt;"Not Due"),
ROW(MSN!$Q$3:$Q$1000)-ROW(MSN!$Q$3)+1),
ROWS(A$2:A7))),"")</f>
        <v/>
      </c>
      <c r="AU7" s="116" t="str" cm="1">
        <f t="array" aca="1" ref="AU7" ca="1">IFERROR(INDEX(MSN!$G$3:$G$1000,
SMALL(
IF((MSN!$Q$3:$Q$1000&lt;&gt;"")*(MSN!$Q$3:$Q$1000&lt;&gt;"Not Due"),
ROW(MSN!$Q$3:$Q$1000)-ROW(MSN!$Q$3)+1),
ROWS(A$2:A7))),"")</f>
        <v/>
      </c>
      <c r="AV7" s="64" t="str" cm="1">
        <f t="array" aca="1" ref="AV7" ca="1">IFERROR(INDEX(MSN!$Q$3:$Q$1000,
SMALL(
IF((MSN!$Q$3:$Q$1000&lt;&gt;"")*(MSN!$Q$3:$Q$1000&lt;&gt;"Not Due"),
ROW(MSN!$Q$3:$Q$1000)-ROW(MSN!$Q$3)+1),
ROWS(A$2:A7))
),"")</f>
        <v/>
      </c>
    </row>
    <row r="8" spans="1:48" ht="171.6" x14ac:dyDescent="0.3">
      <c r="A8" s="115">
        <v>7</v>
      </c>
      <c r="B8" s="118" t="str" cm="1">
        <f t="array" aca="1" ref="B8" ca="1">IFERROR(INDEX(FRIM!$E$3:$E$1000,
SMALL(IF(FRIM!$Q$3:$Q$1000&lt;&gt;"",
ROW(FRIM!$Q$3:$Q$1000)-ROW(FRIM!$Q$3)+1),
ROWS(A$2:A8))),"")</f>
        <v>FRIM</v>
      </c>
      <c r="C8" s="116" t="str" cm="1">
        <f t="array" aca="1" ref="C8" ca="1">IFERROR(INDEX(FRIM!$B$3:$B$1000,
SMALL(IF(FRIM!$Q$3:$Q$1000&lt;&gt;"",
ROW(FRIM!$Q$3:$Q$1000)-ROW(FRIM!$Q$3)+1),
ROWS(A$2:A8))),"")</f>
        <v>T/2026/00093</v>
      </c>
      <c r="D8" s="116" t="str" cm="1">
        <f t="array" aca="1" ref="D8" ca="1">IFERROR(INDEX(FRIM!$D$3:$D$1000,
SMALL(IF(FRIM!$Q$3:$Q$1000&lt;&gt;"",
ROW(FRIM!$Q$3:$Q$1000)-ROW(FRIM!$Q$3)+1),
ROWS(A$2:A8))),"")</f>
        <v>MYFINANCIAL CLIENT</v>
      </c>
      <c r="E8" s="116" t="str" cm="1">
        <f t="array" aca="1" ref="E8" ca="1">IFERROR(INDEX(FRIM!$G$3:$G$1000,
SMALL(IF(FRIM!$Q$3:$Q$1000&lt;&gt;"",
ROW(FRIM!$Q$3:$Q$1000)-ROW(FRIM!$Q$3)+1),
ROWS(A$2:A8))),"")</f>
        <v>W2315 06/03/2024 NORFAZIRA BINTI MUHAMAD PAUZI LO RFQ19011 - DI SISTEM MYQUERY TERDAPAT LEBIHAN BAYARAN SEBANYAK (RM3,791.30) TETAPI DI SISTEM MYFINANCIAL DAN REKOD BAYARAN ADALAH TIDAK MELEBIHI BAYARAN.</v>
      </c>
      <c r="F8" s="88" t="str" cm="1">
        <f t="array" aca="1" ref="F8" ca="1">IFERROR(INDEX(FRIM!$Q$3:$Q$1000,
SMALL(IF(FRIM!$Q$3:$Q$1000&lt;&gt;"",
ROW(FRIM!$Q$3:$Q$1000)-ROW(FRIM!$Q$3)+1),
ROWS(A$2:A8))),"")</f>
        <v>&gt;60 Days</v>
      </c>
      <c r="H8" s="115">
        <v>7</v>
      </c>
      <c r="I8" s="119" t="str" cm="1">
        <f t="array" aca="1" ref="I8" ca="1">IFERROR(INDEX(MTIB!$E$3:$E$1000,
SMALL(
IF((MTIB!$Q$3:$Q$1000&lt;&gt;"")*(MTIB!$Q$3:$Q$1000&lt;&gt;"Not Due"),
ROW(MTIB!$Q$3:$Q$1000)-ROW(MTIB!$Q$3)+1),
ROWS(A$2:A8))),"")</f>
        <v>MTIB</v>
      </c>
      <c r="J8" s="115" t="str" cm="1">
        <f t="array" aca="1" ref="J8" ca="1">IFERROR(INDEX(MTIB!$B$3:$B$1000,
SMALL(
IF((MTIB!$Q$3:$Q$1000&lt;&gt;"")*(MTIB!$Q$3:$Q$1000&lt;&gt;"Not Due"),
ROW(MTIB!$Q$3:$Q$1000)-ROW(MTIB!$Q$3)+1),
ROWS(A$2:A8))),"")</f>
        <v>T/2026/00094</v>
      </c>
      <c r="K8" s="115" t="str" cm="1">
        <f t="array" aca="1" ref="K8" ca="1">IFERROR(INDEX(MTIB!$D$3:$D$1000,
SMALL(
IF((MTIB!$Q$3:$Q$1000&lt;&gt;"")*(MTIB!$Q$3:$Q$1000&lt;&gt;"Not Due"),
ROW(MTIB!$Q$3:$Q$1000)-ROW(MTIB!$Q$3)+1),
ROWS(A$2:A8))),"")</f>
        <v>MYFINANCIAL</v>
      </c>
      <c r="L8" s="116" t="str" cm="1">
        <f t="array" aca="1" ref="L8" ca="1">IFERROR(INDEX(MTIB!$G$3:$G$1000,
SMALL(
IF((MTIB!$Q$3:$Q$1000&lt;&gt;"")*(MTIB!$Q$3:$Q$1000&lt;&gt;"Not Due"),
ROW(MTIB!$Q$3:$Q$1000)-ROW(MTIB!$Q$3)+1),
ROWS(A$2:A8))),"")</f>
        <v>1. Jumlah tidak sama pada laporan KIRA-KIRA KENA BAYAR (TELAH POS) 2. Invois/ daftar bil menjadi double Pengadu: Siti Zahrah Senin</v>
      </c>
      <c r="M8" s="88" t="str" cm="1">
        <f t="array" aca="1" ref="M8" ca="1">IFERROR(INDEX(MTIB!$Q$3:$Q$1000,
SMALL(
IF((MTIB!$Q$3:$Q$1000&lt;&gt;"")*(MTIB!$Q$3:$Q$1000&lt;&gt;"Not Due"),
ROW(MTIB!$Q$3:$Q$1000)-ROW(MTIB!$Q$3)+1),
ROWS(A$2:A8))
),"")</f>
        <v>&gt;60 Days</v>
      </c>
      <c r="O8" s="115">
        <v>7</v>
      </c>
      <c r="P8" s="120" t="str" cm="1">
        <f t="array" aca="1" ref="P8" ca="1">IFERROR(INDEX(MPOB!$E$3:$E$1000,
SMALL(
IF((MPOB!$Q$3:$Q$1000&lt;&gt;"")*(MPOB!$Q$3:$Q$1000&lt;&gt;"Not Due"),
ROW(MPOB!$Q$3:$Q$1000)-ROW(MPOB!$Q$3)+1),
ROWS(A$2:A8))),"")</f>
        <v>MPOB</v>
      </c>
      <c r="Q8" s="115" t="str" cm="1">
        <f t="array" aca="1" ref="Q8" ca="1">IFERROR(INDEX(MPOB!$B$3:$B$1000,
SMALL(
IF((MPOB!$Q$3:$Q$1000&lt;&gt;"")*(MPOB!$Q$3:$Q$1000&lt;&gt;"Not Due"),
ROW(MPOB!$Q$3:$Q$1000)-ROW(MPOB!$Q$3)+1),
ROWS(A$2:A8))),"")</f>
        <v>T/2026/00150</v>
      </c>
      <c r="R8" s="115" t="str" cm="1">
        <f t="array" aca="1" ref="R8" ca="1">IFERROR(INDEX(MPOB!$D$3:$D$1000,
SMALL(
IF((MPOB!$Q$3:$Q$1000&lt;&gt;"")*(MPOB!$Q$3:$Q$1000&lt;&gt;"Not Due"),
ROW(MPOB!$Q$3:$Q$1000)-ROW(MPOB!$Q$3)+1),
ROWS(A$2:A8))),"")</f>
        <v>MyFinancial</v>
      </c>
      <c r="S8" s="116" t="str" cm="1">
        <f t="array" aca="1" ref="S8" ca="1">IFERROR(INDEX(MPOB!$G$3:$G$1000,
SMALL(
IF((MPOB!$Q$3:$Q$1000&lt;&gt;"")*(MPOB!$Q$3:$Q$1000&lt;&gt;"Not Due"),
ROW(MPOB!$Q$3:$Q$1000)-ROW(MPOB!$Q$3)+1),
ROWS(A$2:A8))),"")</f>
        <v>Nama User : Norlizah Date : 21/1/2026 Isu : saya masih tak boleh sahkan ni👆 yg ni pun tak boleh nk sahkan</v>
      </c>
      <c r="T8" s="88" t="str" cm="1">
        <f t="array" aca="1" ref="T8" ca="1">IFERROR(INDEX(MPOB!$Q$3:$Q$1000,
SMALL(
IF((MPOB!$Q$3:$Q$1000&lt;&gt;"")*(MPOB!$Q$3:$Q$1000&lt;&gt;"Not Due"),
ROW(MPOB!$Q$3:$Q$1000)-ROW(MPOB!$Q$3)+1),
ROWS(A$2:A8))
),"")</f>
        <v>&gt;60 Days</v>
      </c>
      <c r="V8" s="115">
        <v>7</v>
      </c>
      <c r="W8" s="121" t="str" cm="1">
        <f t="array" aca="1" ref="W8" ca="1">IFERROR(INDEX(LKTN!$E$3:$E$1000,
SMALL(
IF((LKTN!$Q$3:$Q$1000&lt;&gt;"")*(LKTN!$Q$3:$Q$1000&lt;&gt;"Not Due"),
ROW(LKTN!$Q$3:$Q$1000)-ROW(LKTN!$Q$3)+1),
ROWS(A$2:A8))),"")</f>
        <v/>
      </c>
      <c r="X8" s="115" t="str" cm="1">
        <f t="array" aca="1" ref="X8" ca="1">IFERROR(INDEX(LKTN!$B$3:$B$1000,
SMALL(
IF((LKTN!$Q$3:$Q$1000&lt;&gt;"")*(LKTN!$Q$3:$Q$1000&lt;&gt;"Not Due"),
ROW(LKTN!$Q$3:$Q$1000)-ROW(LKTN!$Q$3)+1),
ROWS(A$2:A8))),"")</f>
        <v/>
      </c>
      <c r="Y8" s="115" t="str" cm="1">
        <f t="array" aca="1" ref="Y8" ca="1">IFERROR(INDEX(LKTN!$D$3:$D$1000,
SMALL(
IF((LKTN!$Q$3:$Q$1000&lt;&gt;"")*(LKTN!$Q$3:$Q$1000&lt;&gt;"Not Due"),
ROW(LKTN!$Q$3:$Q$1000)-ROW(LKTN!$Q$3)+1),
ROWS(A$2:A8))),"")</f>
        <v/>
      </c>
      <c r="Z8" s="116" t="str" cm="1">
        <f t="array" aca="1" ref="Z8" ca="1">IFERROR(INDEX(LKTN!$G$3:$G$1000,
SMALL(
IF((LKTN!$Q$3:$Q$1000&lt;&gt;"")*(LKTN!$Q$3:$Q$1000&lt;&gt;"Not Due"),
ROW(LKTN!$Q$3:$Q$1000)-ROW(LKTN!$Q$3)+1),
ROWS(A$2:A8))),"")</f>
        <v/>
      </c>
      <c r="AA8" s="64" t="str" cm="1">
        <f t="array" aca="1" ref="AA8" ca="1">IFERROR(INDEX(LKTN!$Q$3:$Q$1000,
SMALL(
IF((LKTN!$Q$3:$Q$1000&lt;&gt;"")*(LKTN!$Q$3:$Q$1000&lt;&gt;"Not Due"),
ROW(LKTN!$Q$3:$Q$1000)-ROW(LKTN!$Q$3)+1),
ROWS(A$2:A8))
),"")</f>
        <v/>
      </c>
      <c r="AC8" s="115">
        <v>7</v>
      </c>
      <c r="AD8" s="122" t="str" cm="1">
        <f t="array" aca="1" ref="AD8" ca="1">IFERROR(INDEX(LAM!$E$3:$E$1000,
SMALL(
IF((LAM!$Q$3:$Q$1000&lt;&gt;"")*(LAM!$Q$3:$Q$1000&lt;&gt;"Not Due"),
ROW(LAM!$Q$3:$Q$1000)-ROW(LAM!$Q$3)+1),
ROWS(A$2:A8))),"")</f>
        <v/>
      </c>
      <c r="AE8" s="115" t="str" cm="1">
        <f t="array" aca="1" ref="AE8" ca="1">IFERROR(INDEX(LAM!$B$3:$B$1000,
SMALL(
IF((LAM!$Q$3:$Q$1000&lt;&gt;"")*(LAM!$Q$3:$Q$1000&lt;&gt;"Not Due"),
ROW(LAM!$Q$3:$Q$1000)-ROW(LAM!$Q$3)+1),
ROWS(A$2:A8))),"")</f>
        <v/>
      </c>
      <c r="AF8" s="115" t="str" cm="1">
        <f t="array" aca="1" ref="AF8" ca="1">IFERROR(INDEX(LAM!$D$3:$D$1000,
SMALL(
IF((LAM!$Q$3:$Q$1000&lt;&gt;"")*(LAM!$Q$3:$Q$1000&lt;&gt;"Not Due"),
ROW(LAM!$Q$3:$Q$1000)-ROW(LAM!$Q$3)+1),
ROWS(A$2:A8))),"")</f>
        <v/>
      </c>
      <c r="AG8" s="116" t="str" cm="1">
        <f t="array" aca="1" ref="AG8" ca="1">IFERROR(INDEX(LAM!$G$3:$G$1000,
SMALL(
IF((LAM!$Q$3:$Q$1000&lt;&gt;"")*(LAM!$Q$3:$Q$1000&lt;&gt;"Not Due"),
ROW(LAM!$Q$3:$Q$1000)-ROW(LAM!$Q$3)+1),
ROWS(A$2:A8))),"")</f>
        <v/>
      </c>
      <c r="AH8" s="64" t="str" cm="1">
        <f t="array" aca="1" ref="AH8" ca="1">IFERROR(INDEX(LAM!$Q$3:$Q$1000,
SMALL(
IF((LAM!$Q$3:$Q$1000&lt;&gt;"")*(LAM!$Q$3:$Q$1000&lt;&gt;"Not Due"),
ROW(LAM!$Q$3:$Q$1000)-ROW(LAM!$Q$3)+1),
ROWS(A$2:A8))
),"")</f>
        <v/>
      </c>
      <c r="AJ8" s="115">
        <v>7</v>
      </c>
      <c r="AK8" s="123" t="str" cm="1">
        <f t="array" aca="1" ref="AK8" ca="1">IFERROR(INDEX(ISN!$E$3:$E$1000,
SMALL(
IF((ISN!$Q$3:$Q$1000&lt;&gt;"")*(ISN!$Q$3:$Q$1000&lt;&gt;"Not Due"),
ROW(ISN!$Q$3:$Q$1000)-ROW(ISN!$Q$3)+1),
ROWS(A$2:A8))),"")</f>
        <v>ISN</v>
      </c>
      <c r="AL8" s="115" t="str" cm="1">
        <f t="array" aca="1" ref="AL8" ca="1">IFERROR(INDEX(ISN!$B$3:$B$1000,
SMALL(
IF((ISN!$Q$3:$Q$1000&lt;&gt;"")*(ISN!$Q$3:$Q$1000&lt;&gt;"Not Due"),
ROW(ISN!$Q$3:$Q$1000)-ROW(ISN!$Q$3)+1),
ROWS(A$2:A8))),"")</f>
        <v>T/2026/00453</v>
      </c>
      <c r="AM8" s="116" t="str" cm="1">
        <f t="array" aca="1" ref="AM8" ca="1">IFERROR(INDEX(ISN!$D$3:$D$1000,
SMALL(
IF((ISN!$Q$3:$Q$1000&lt;&gt;"")*(ISN!$Q$3:$Q$1000&lt;&gt;"Not Due"),
ROW(ISN!$Q$3:$Q$1000)-ROW(ISN!$Q$3)+1),
ROWS(A$2:A8))),"")</f>
        <v>MYASSET</v>
      </c>
      <c r="AN8" s="116" t="str" cm="1">
        <f t="array" aca="1" ref="AN8" ca="1">IFERROR(INDEX(ISN!$G$3:$G$1000,
SMALL(
IF((ISN!$Q$3:$Q$1000&lt;&gt;"")*(ISN!$Q$3:$Q$1000&lt;&gt;"Not Due"),
ROW(ISN!$Q$3:$Q$1000)-ROW(ISN!$Q$3)+1),
ROWS(A$2:A8))),"")</f>
        <v>1) Pada kad Kew Pa 3 dan 4, Bahagian Pemeriksaan dimohon penambahbaikan seperti berikut:: 1.1) Nama lokasi sama seperi nama pada Bahagian penempatan contoh B-036-Bilik Lily, Psikologi Sukan. 1.2) Status aset dipilih mengikut pekelililing contohnya. sedang digunakan, tidak digunakan, perlu pembaikan dan lain-lain.</v>
      </c>
      <c r="AO8" s="64" t="str" cm="1">
        <f t="array" aca="1" ref="AO8" ca="1">IFERROR(INDEX(ISN!$Q$3:$Q$1000,
SMALL(
IF((ISN!$Q$3:$Q$1000&lt;&gt;"")*(ISN!$Q$3:$Q$1000&lt;&gt;"Not Due"),
ROW(ISN!$Q$3:$Q$1000)-ROW(ISN!$Q$3)+1),
ROWS(A$2:A8))
),"")</f>
        <v>1-30 Days</v>
      </c>
      <c r="AQ8" s="115">
        <v>7</v>
      </c>
      <c r="AR8" s="124" t="str" cm="1">
        <f t="array" aca="1" ref="AR8" ca="1">IFERROR(INDEX(MSN!$E$3:$E$1000,
SMALL(
IF((MSN!$Q$3:$Q$1000&lt;&gt;"")*(MSN!$Q$3:$Q$1000&lt;&gt;"Not Due"),
ROW(MSN!$Q$3:$Q$1000)-ROW(MSN!$Q$3)+1),
ROWS(A$2:A8))),"")</f>
        <v/>
      </c>
      <c r="AS8" s="115" t="str" cm="1">
        <f t="array" aca="1" ref="AS8" ca="1">IFERROR(INDEX(MSN!$B$3:$B$1000,
SMALL(
IF((MSN!$Q$3:$Q$1000&lt;&gt;"")*(MSN!$Q$3:$Q$1000&lt;&gt;"Not Due"),
ROW(MSN!$Q$3:$Q$1000)-ROW(MSN!$Q$3)+1),
ROWS(A$2:A8))),"")</f>
        <v/>
      </c>
      <c r="AT8" s="115" t="str" cm="1">
        <f t="array" aca="1" ref="AT8" ca="1">IFERROR(INDEX(MSN!$D$3:$D$1000,
SMALL(
IF((MSN!$Q$3:$Q$1000&lt;&gt;"")*(MSN!$Q$3:$Q$1000&lt;&gt;"Not Due"),
ROW(MSN!$Q$3:$Q$1000)-ROW(MSN!$Q$3)+1),
ROWS(A$2:A8))),"")</f>
        <v/>
      </c>
      <c r="AU8" s="116" t="str" cm="1">
        <f t="array" aca="1" ref="AU8" ca="1">IFERROR(INDEX(MSN!$G$3:$G$1000,
SMALL(
IF((MSN!$Q$3:$Q$1000&lt;&gt;"")*(MSN!$Q$3:$Q$1000&lt;&gt;"Not Due"),
ROW(MSN!$Q$3:$Q$1000)-ROW(MSN!$Q$3)+1),
ROWS(A$2:A8))),"")</f>
        <v/>
      </c>
      <c r="AV8" s="64" t="str" cm="1">
        <f t="array" aca="1" ref="AV8" ca="1">IFERROR(INDEX(MSN!$Q$3:$Q$1000,
SMALL(
IF((MSN!$Q$3:$Q$1000&lt;&gt;"")*(MSN!$Q$3:$Q$1000&lt;&gt;"Not Due"),
ROW(MSN!$Q$3:$Q$1000)-ROW(MSN!$Q$3)+1),
ROWS(A$2:A8))
),"")</f>
        <v/>
      </c>
    </row>
    <row r="9" spans="1:48" ht="109.2" x14ac:dyDescent="0.3">
      <c r="A9" s="115">
        <v>8</v>
      </c>
      <c r="B9" s="118" t="str" cm="1">
        <f t="array" aca="1" ref="B9" ca="1">IFERROR(INDEX(FRIM!$E$3:$E$1000,
SMALL(IF(FRIM!$Q$3:$Q$1000&lt;&gt;"",
ROW(FRIM!$Q$3:$Q$1000)-ROW(FRIM!$Q$3)+1),
ROWS(A$2:A9))),"")</f>
        <v>FRIM</v>
      </c>
      <c r="C9" s="116" t="str" cm="1">
        <f t="array" aca="1" ref="C9" ca="1">IFERROR(INDEX(FRIM!$B$3:$B$1000,
SMALL(IF(FRIM!$Q$3:$Q$1000&lt;&gt;"",
ROW(FRIM!$Q$3:$Q$1000)-ROW(FRIM!$Q$3)+1),
ROWS(A$2:A9))),"")</f>
        <v>T/2026/00095</v>
      </c>
      <c r="D9" s="116" t="str" cm="1">
        <f t="array" aca="1" ref="D9" ca="1">IFERROR(INDEX(FRIM!$D$3:$D$1000,
SMALL(IF(FRIM!$Q$3:$Q$1000&lt;&gt;"",
ROW(FRIM!$Q$3:$Q$1000)-ROW(FRIM!$Q$3)+1),
ROWS(A$2:A9))),"")</f>
        <v>URUSNIAGA PPS</v>
      </c>
      <c r="E9" s="116" t="str" cm="1">
        <f t="array" aca="1" ref="E9" ca="1">IFERROR(INDEX(FRIM!$G$3:$G$1000,
SMALL(IF(FRIM!$Q$3:$Q$1000&lt;&gt;"",
ROW(FRIM!$Q$3:$Q$1000)-ROW(FRIM!$Q$3)+1),
ROWS(A$2:A9))),"")</f>
        <v>W2357 03/09/2024 NURFAIEZAH BT. MAZERI KEY IN PEMBELIAN ITEM JENIS BUKU TIDAK BOLEH DILAKUKAN DALAM SISTEM MYURUSNIAGA, SEMAKAN DALAM MYINVENTORY DIDAPATI ITEM MASIH AKTIF. MOHON BANTUAN BERKENAAN BARANGAN JENIS BUKU (KOD BUKU BERMULA BKBK)</v>
      </c>
      <c r="F9" s="88" t="str" cm="1">
        <f t="array" aca="1" ref="F9" ca="1">IFERROR(INDEX(FRIM!$Q$3:$Q$1000,
SMALL(IF(FRIM!$Q$3:$Q$1000&lt;&gt;"",
ROW(FRIM!$Q$3:$Q$1000)-ROW(FRIM!$Q$3)+1),
ROWS(A$2:A9))),"")</f>
        <v>&gt;60 Days</v>
      </c>
      <c r="H9" s="115">
        <v>8</v>
      </c>
      <c r="I9" s="119" t="str" cm="1">
        <f t="array" aca="1" ref="I9" ca="1">IFERROR(INDEX(MTIB!$E$3:$E$1000,
SMALL(
IF((MTIB!$Q$3:$Q$1000&lt;&gt;"")*(MTIB!$Q$3:$Q$1000&lt;&gt;"Not Due"),
ROW(MTIB!$Q$3:$Q$1000)-ROW(MTIB!$Q$3)+1),
ROWS(A$2:A9))),"")</f>
        <v>MTIB</v>
      </c>
      <c r="J9" s="115" t="str" cm="1">
        <f t="array" aca="1" ref="J9" ca="1">IFERROR(INDEX(MTIB!$B$3:$B$1000,
SMALL(
IF((MTIB!$Q$3:$Q$1000&lt;&gt;"")*(MTIB!$Q$3:$Q$1000&lt;&gt;"Not Due"),
ROW(MTIB!$Q$3:$Q$1000)-ROW(MTIB!$Q$3)+1),
ROWS(A$2:A9))),"")</f>
        <v>T/2026/00298</v>
      </c>
      <c r="K9" s="115" t="str" cm="1">
        <f t="array" aca="1" ref="K9" ca="1">IFERROR(INDEX(MTIB!$D$3:$D$1000,
SMALL(
IF((MTIB!$Q$3:$Q$1000&lt;&gt;"")*(MTIB!$Q$3:$Q$1000&lt;&gt;"Not Due"),
ROW(MTIB!$Q$3:$Q$1000)-ROW(MTIB!$Q$3)+1),
ROWS(A$2:A9))),"")</f>
        <v>MYFINANCIAL</v>
      </c>
      <c r="L9" s="116" t="str" cm="1">
        <f t="array" aca="1" ref="L9" ca="1">IFERROR(INDEX(MTIB!$G$3:$G$1000,
SMALL(
IF((MTIB!$Q$3:$Q$1000&lt;&gt;"")*(MTIB!$Q$3:$Q$1000&lt;&gt;"Not Due"),
ROW(MTIB!$Q$3:$Q$1000)-ROW(MTIB!$Q$3)+1),
ROWS(A$2:A9))),"")</f>
        <v>Masukkan nombor akaun Maybank:514404801787 di ruangan nombor akaun dalam Invoice. Pengadu: Marliani</v>
      </c>
      <c r="M9" s="88" t="str" cm="1">
        <f t="array" aca="1" ref="M9" ca="1">IFERROR(INDEX(MTIB!$Q$3:$Q$1000,
SMALL(
IF((MTIB!$Q$3:$Q$1000&lt;&gt;"")*(MTIB!$Q$3:$Q$1000&lt;&gt;"Not Due"),
ROW(MTIB!$Q$3:$Q$1000)-ROW(MTIB!$Q$3)+1),
ROWS(A$2:A9))
),"")</f>
        <v>31-60 Days</v>
      </c>
      <c r="O9" s="115">
        <v>8</v>
      </c>
      <c r="P9" s="120" t="str" cm="1">
        <f t="array" aca="1" ref="P9" ca="1">IFERROR(INDEX(MPOB!$E$3:$E$1000,
SMALL(
IF((MPOB!$Q$3:$Q$1000&lt;&gt;"")*(MPOB!$Q$3:$Q$1000&lt;&gt;"Not Due"),
ROW(MPOB!$Q$3:$Q$1000)-ROW(MPOB!$Q$3)+1),
ROWS(A$2:A9))),"")</f>
        <v>MPOB</v>
      </c>
      <c r="Q9" s="115" t="str" cm="1">
        <f t="array" aca="1" ref="Q9" ca="1">IFERROR(INDEX(MPOB!$B$3:$B$1000,
SMALL(
IF((MPOB!$Q$3:$Q$1000&lt;&gt;"")*(MPOB!$Q$3:$Q$1000&lt;&gt;"Not Due"),
ROW(MPOB!$Q$3:$Q$1000)-ROW(MPOB!$Q$3)+1),
ROWS(A$2:A9))),"")</f>
        <v>T/2026/00151</v>
      </c>
      <c r="R9" s="115" t="str" cm="1">
        <f t="array" aca="1" ref="R9" ca="1">IFERROR(INDEX(MPOB!$D$3:$D$1000,
SMALL(
IF((MPOB!$Q$3:$Q$1000&lt;&gt;"")*(MPOB!$Q$3:$Q$1000&lt;&gt;"Not Due"),
ROW(MPOB!$Q$3:$Q$1000)-ROW(MPOB!$Q$3)+1),
ROWS(A$2:A9))),"")</f>
        <v>MyProcurement</v>
      </c>
      <c r="S9" s="116" t="str" cm="1">
        <f t="array" aca="1" ref="S9" ca="1">IFERROR(INDEX(MPOB!$G$3:$G$1000,
SMALL(
IF((MPOB!$Q$3:$Q$1000&lt;&gt;"")*(MPOB!$Q$3:$Q$1000&lt;&gt;"Not Due"),
ROW(MPOB!$Q$3:$Q$1000)-ROW(MPOB!$Q$3)+1),
ROWS(A$2:A9))),"")</f>
        <v>Nama User : Hazirah Hasnudin Date : 22/1/2026 Isu : Sy nak tny berkenaan myprocurement. Sy buat perolehan menggunakan kod P60SOIL01B1435701, tp utk urusan pendaftaran aset dlm myaset kod ni tiada. Kod ni tiada dlm list diatas</v>
      </c>
      <c r="T9" s="88" t="str" cm="1">
        <f t="array" aca="1" ref="T9" ca="1">IFERROR(INDEX(MPOB!$Q$3:$Q$1000,
SMALL(
IF((MPOB!$Q$3:$Q$1000&lt;&gt;"")*(MPOB!$Q$3:$Q$1000&lt;&gt;"Not Due"),
ROW(MPOB!$Q$3:$Q$1000)-ROW(MPOB!$Q$3)+1),
ROWS(A$2:A9))
),"")</f>
        <v>&gt;60 Days</v>
      </c>
      <c r="V9" s="115">
        <v>8</v>
      </c>
      <c r="W9" s="121" t="str" cm="1">
        <f t="array" aca="1" ref="W9" ca="1">IFERROR(INDEX(LKTN!$E$3:$E$1000,
SMALL(
IF((LKTN!$Q$3:$Q$1000&lt;&gt;"")*(LKTN!$Q$3:$Q$1000&lt;&gt;"Not Due"),
ROW(LKTN!$Q$3:$Q$1000)-ROW(LKTN!$Q$3)+1),
ROWS(A$2:A9))),"")</f>
        <v/>
      </c>
      <c r="X9" s="115" t="str" cm="1">
        <f t="array" aca="1" ref="X9" ca="1">IFERROR(INDEX(LKTN!$B$3:$B$1000,
SMALL(
IF((LKTN!$Q$3:$Q$1000&lt;&gt;"")*(LKTN!$Q$3:$Q$1000&lt;&gt;"Not Due"),
ROW(LKTN!$Q$3:$Q$1000)-ROW(LKTN!$Q$3)+1),
ROWS(A$2:A9))),"")</f>
        <v/>
      </c>
      <c r="Y9" s="115" t="str" cm="1">
        <f t="array" aca="1" ref="Y9" ca="1">IFERROR(INDEX(LKTN!$D$3:$D$1000,
SMALL(
IF((LKTN!$Q$3:$Q$1000&lt;&gt;"")*(LKTN!$Q$3:$Q$1000&lt;&gt;"Not Due"),
ROW(LKTN!$Q$3:$Q$1000)-ROW(LKTN!$Q$3)+1),
ROWS(A$2:A9))),"")</f>
        <v/>
      </c>
      <c r="Z9" s="116" t="str" cm="1">
        <f t="array" aca="1" ref="Z9" ca="1">IFERROR(INDEX(LKTN!$G$3:$G$1000,
SMALL(
IF((LKTN!$Q$3:$Q$1000&lt;&gt;"")*(LKTN!$Q$3:$Q$1000&lt;&gt;"Not Due"),
ROW(LKTN!$Q$3:$Q$1000)-ROW(LKTN!$Q$3)+1),
ROWS(A$2:A9))),"")</f>
        <v/>
      </c>
      <c r="AA9" s="64" t="str" cm="1">
        <f t="array" aca="1" ref="AA9" ca="1">IFERROR(INDEX(LKTN!$Q$3:$Q$1000,
SMALL(
IF((LKTN!$Q$3:$Q$1000&lt;&gt;"")*(LKTN!$Q$3:$Q$1000&lt;&gt;"Not Due"),
ROW(LKTN!$Q$3:$Q$1000)-ROW(LKTN!$Q$3)+1),
ROWS(A$2:A9))
),"")</f>
        <v/>
      </c>
      <c r="AC9" s="115">
        <v>8</v>
      </c>
      <c r="AD9" s="122" t="str" cm="1">
        <f t="array" aca="1" ref="AD9" ca="1">IFERROR(INDEX(LAM!$E$3:$E$1000,
SMALL(
IF((LAM!$Q$3:$Q$1000&lt;&gt;"")*(LAM!$Q$3:$Q$1000&lt;&gt;"Not Due"),
ROW(LAM!$Q$3:$Q$1000)-ROW(LAM!$Q$3)+1),
ROWS(A$2:A9))),"")</f>
        <v/>
      </c>
      <c r="AE9" s="115" t="str" cm="1">
        <f t="array" aca="1" ref="AE9" ca="1">IFERROR(INDEX(LAM!$B$3:$B$1000,
SMALL(
IF((LAM!$Q$3:$Q$1000&lt;&gt;"")*(LAM!$Q$3:$Q$1000&lt;&gt;"Not Due"),
ROW(LAM!$Q$3:$Q$1000)-ROW(LAM!$Q$3)+1),
ROWS(A$2:A9))),"")</f>
        <v/>
      </c>
      <c r="AF9" s="115" t="str" cm="1">
        <f t="array" aca="1" ref="AF9" ca="1">IFERROR(INDEX(LAM!$D$3:$D$1000,
SMALL(
IF((LAM!$Q$3:$Q$1000&lt;&gt;"")*(LAM!$Q$3:$Q$1000&lt;&gt;"Not Due"),
ROW(LAM!$Q$3:$Q$1000)-ROW(LAM!$Q$3)+1),
ROWS(A$2:A9))),"")</f>
        <v/>
      </c>
      <c r="AG9" s="116" t="str" cm="1">
        <f t="array" aca="1" ref="AG9" ca="1">IFERROR(INDEX(LAM!$G$3:$G$1000,
SMALL(
IF((LAM!$Q$3:$Q$1000&lt;&gt;"")*(LAM!$Q$3:$Q$1000&lt;&gt;"Not Due"),
ROW(LAM!$Q$3:$Q$1000)-ROW(LAM!$Q$3)+1),
ROWS(A$2:A9))),"")</f>
        <v/>
      </c>
      <c r="AH9" s="64" t="str" cm="1">
        <f t="array" aca="1" ref="AH9" ca="1">IFERROR(INDEX(LAM!$Q$3:$Q$1000,
SMALL(
IF((LAM!$Q$3:$Q$1000&lt;&gt;"")*(LAM!$Q$3:$Q$1000&lt;&gt;"Not Due"),
ROW(LAM!$Q$3:$Q$1000)-ROW(LAM!$Q$3)+1),
ROWS(A$2:A9))
),"")</f>
        <v/>
      </c>
      <c r="AJ9" s="115">
        <v>8</v>
      </c>
      <c r="AK9" s="123" t="str" cm="1">
        <f t="array" aca="1" ref="AK9" ca="1">IFERROR(INDEX(ISN!$E$3:$E$1000,
SMALL(
IF((ISN!$Q$3:$Q$1000&lt;&gt;"")*(ISN!$Q$3:$Q$1000&lt;&gt;"Not Due"),
ROW(ISN!$Q$3:$Q$1000)-ROW(ISN!$Q$3)+1),
ROWS(A$2:A9))),"")</f>
        <v>ISN</v>
      </c>
      <c r="AL9" s="115" t="str" cm="1">
        <f t="array" aca="1" ref="AL9" ca="1">IFERROR(INDEX(ISN!$B$3:$B$1000,
SMALL(
IF((ISN!$Q$3:$Q$1000&lt;&gt;"")*(ISN!$Q$3:$Q$1000&lt;&gt;"Not Due"),
ROW(ISN!$Q$3:$Q$1000)-ROW(ISN!$Q$3)+1),
ROWS(A$2:A9))),"")</f>
        <v>T/2026/00454</v>
      </c>
      <c r="AM9" s="116" t="str" cm="1">
        <f t="array" aca="1" ref="AM9" ca="1">IFERROR(INDEX(ISN!$D$3:$D$1000,
SMALL(
IF((ISN!$Q$3:$Q$1000&lt;&gt;"")*(ISN!$Q$3:$Q$1000&lt;&gt;"Not Due"),
ROW(ISN!$Q$3:$Q$1000)-ROW(ISN!$Q$3)+1),
ROWS(A$2:A9))),"")</f>
        <v>MYASSET</v>
      </c>
      <c r="AN9" s="116" t="str" cm="1">
        <f t="array" aca="1" ref="AN9" ca="1">IFERROR(INDEX(ISN!$G$3:$G$1000,
SMALL(
IF((ISN!$Q$3:$Q$1000&lt;&gt;"")*(ISN!$Q$3:$Q$1000&lt;&gt;"Not Due"),
ROW(ISN!$Q$3:$Q$1000)-ROW(ISN!$Q$3)+1),
ROWS(A$2:A9))),"")</f>
        <v>1) Melalui MyAsset, Submodel: Kemaskini Rekod Pemeriksaan Aset, mohon tambah: 1.1) Filter Nama Pegawai Semasa untuk diklik 1.2) Pada Butiran Aset, mohon tambah column untuk paparan Nama Pegawai Semasa</v>
      </c>
      <c r="AO9" s="64" t="str" cm="1">
        <f t="array" aca="1" ref="AO9" ca="1">IFERROR(INDEX(ISN!$Q$3:$Q$1000,
SMALL(
IF((ISN!$Q$3:$Q$1000&lt;&gt;"")*(ISN!$Q$3:$Q$1000&lt;&gt;"Not Due"),
ROW(ISN!$Q$3:$Q$1000)-ROW(ISN!$Q$3)+1),
ROWS(A$2:A9))
),"")</f>
        <v>1-30 Days</v>
      </c>
      <c r="AQ9" s="115">
        <v>8</v>
      </c>
      <c r="AR9" s="124" t="str" cm="1">
        <f t="array" aca="1" ref="AR9" ca="1">IFERROR(INDEX(MSN!$E$3:$E$1000,
SMALL(
IF((MSN!$Q$3:$Q$1000&lt;&gt;"")*(MSN!$Q$3:$Q$1000&lt;&gt;"Not Due"),
ROW(MSN!$Q$3:$Q$1000)-ROW(MSN!$Q$3)+1),
ROWS(A$2:A9))),"")</f>
        <v/>
      </c>
      <c r="AS9" s="115" t="str" cm="1">
        <f t="array" aca="1" ref="AS9" ca="1">IFERROR(INDEX(MSN!$B$3:$B$1000,
SMALL(
IF((MSN!$Q$3:$Q$1000&lt;&gt;"")*(MSN!$Q$3:$Q$1000&lt;&gt;"Not Due"),
ROW(MSN!$Q$3:$Q$1000)-ROW(MSN!$Q$3)+1),
ROWS(A$2:A9))),"")</f>
        <v/>
      </c>
      <c r="AT9" s="115" t="str" cm="1">
        <f t="array" aca="1" ref="AT9" ca="1">IFERROR(INDEX(MSN!$D$3:$D$1000,
SMALL(
IF((MSN!$Q$3:$Q$1000&lt;&gt;"")*(MSN!$Q$3:$Q$1000&lt;&gt;"Not Due"),
ROW(MSN!$Q$3:$Q$1000)-ROW(MSN!$Q$3)+1),
ROWS(A$2:A9))),"")</f>
        <v/>
      </c>
      <c r="AU9" s="116" t="str" cm="1">
        <f t="array" aca="1" ref="AU9" ca="1">IFERROR(INDEX(MSN!$G$3:$G$1000,
SMALL(
IF((MSN!$Q$3:$Q$1000&lt;&gt;"")*(MSN!$Q$3:$Q$1000&lt;&gt;"Not Due"),
ROW(MSN!$Q$3:$Q$1000)-ROW(MSN!$Q$3)+1),
ROWS(A$2:A9))),"")</f>
        <v/>
      </c>
      <c r="AV9" s="64" t="str" cm="1">
        <f t="array" aca="1" ref="AV9" ca="1">IFERROR(INDEX(MSN!$Q$3:$Q$1000,
SMALL(
IF((MSN!$Q$3:$Q$1000&lt;&gt;"")*(MSN!$Q$3:$Q$1000&lt;&gt;"Not Due"),
ROW(MSN!$Q$3:$Q$1000)-ROW(MSN!$Q$3)+1),
ROWS(A$2:A9))
),"")</f>
        <v/>
      </c>
    </row>
    <row r="10" spans="1:48" ht="187.2" x14ac:dyDescent="0.3">
      <c r="A10" s="115">
        <v>9</v>
      </c>
      <c r="B10" s="118" t="str" cm="1">
        <f t="array" aca="1" ref="B10" ca="1">IFERROR(INDEX(FRIM!$E$3:$E$1000,
SMALL(IF(FRIM!$Q$3:$Q$1000&lt;&gt;"",
ROW(FRIM!$Q$3:$Q$1000)-ROW(FRIM!$Q$3)+1),
ROWS(A$2:A10))),"")</f>
        <v>FRIM</v>
      </c>
      <c r="C10" s="116" t="str" cm="1">
        <f t="array" aca="1" ref="C10" ca="1">IFERROR(INDEX(FRIM!$B$3:$B$1000,
SMALL(IF(FRIM!$Q$3:$Q$1000&lt;&gt;"",
ROW(FRIM!$Q$3:$Q$1000)-ROW(FRIM!$Q$3)+1),
ROWS(A$2:A10))),"")</f>
        <v>T/2026/00096</v>
      </c>
      <c r="D10" s="116" t="str" cm="1">
        <f t="array" aca="1" ref="D10" ca="1">IFERROR(INDEX(FRIM!$D$3:$D$1000,
SMALL(IF(FRIM!$Q$3:$Q$1000&lt;&gt;"",
ROW(FRIM!$Q$3:$Q$1000)-ROW(FRIM!$Q$3)+1),
ROWS(A$2:A10))),"")</f>
        <v>QUERY</v>
      </c>
      <c r="E10" s="116" t="str" cm="1">
        <f t="array" aca="1" ref="E10" ca="1">IFERROR(INDEX(FRIM!$G$3:$G$1000,
SMALL(IF(FRIM!$Q$3:$Q$1000&lt;&gt;"",
ROW(FRIM!$Q$3:$Q$1000)-ROW(FRIM!$Q$3)+1),
ROWS(A$2:A10))),"")</f>
        <v>W2365 17/10/2024 AHMAD FAREEZ BIN ZAINUDDIN SEMAKAN MENDAPATI NOMBOR VOT 24011501001 BULAN OGOS 2024 PADA LAPORAN PENYATA KEWANGAN MYQUERY. STATUS KOMITMEN MENUJUKKAN MASIH BELUM DIBAYAR,SEDANGKAN BAYARAN TELAH DIBUAT PADA BULAN OGOS 2024 DAN IANYA TELAH DIREKODKAN DIPERBELANJAAN. INI MENJADIKAN DOBULE COUNTING LO TERSEBUT PADA BULAN OGOS 2024 MENYEBABKAN BAKI AKHIR SELEPAS KOMITMEN TIDAK BETUL. MOHON KESELURUHAN SEMAKAN DIBUAT . CONTOH LO ADALAH SH24008 DALAM VOT TERSEBUT.</v>
      </c>
      <c r="F10" s="88" t="str" cm="1">
        <f t="array" aca="1" ref="F10" ca="1">IFERROR(INDEX(FRIM!$Q$3:$Q$1000,
SMALL(IF(FRIM!$Q$3:$Q$1000&lt;&gt;"",
ROW(FRIM!$Q$3:$Q$1000)-ROW(FRIM!$Q$3)+1),
ROWS(A$2:A10))),"")</f>
        <v>&gt;60 Days</v>
      </c>
      <c r="H10" s="115">
        <v>9</v>
      </c>
      <c r="I10" s="119" t="str" cm="1">
        <f t="array" aca="1" ref="I10" ca="1">IFERROR(INDEX(MTIB!$E$3:$E$1000,
SMALL(
IF((MTIB!$Q$3:$Q$1000&lt;&gt;"")*(MTIB!$Q$3:$Q$1000&lt;&gt;"Not Due"),
ROW(MTIB!$Q$3:$Q$1000)-ROW(MTIB!$Q$3)+1),
ROWS(A$2:A10))),"")</f>
        <v>MTIB</v>
      </c>
      <c r="J10" s="115" t="str" cm="1">
        <f t="array" aca="1" ref="J10" ca="1">IFERROR(INDEX(MTIB!$B$3:$B$1000,
SMALL(
IF((MTIB!$Q$3:$Q$1000&lt;&gt;"")*(MTIB!$Q$3:$Q$1000&lt;&gt;"Not Due"),
ROW(MTIB!$Q$3:$Q$1000)-ROW(MTIB!$Q$3)+1),
ROWS(A$2:A10))),"")</f>
        <v>T/2026/00309</v>
      </c>
      <c r="K10" s="115" t="str" cm="1">
        <f t="array" aca="1" ref="K10" ca="1">IFERROR(INDEX(MTIB!$D$3:$D$1000,
SMALL(
IF((MTIB!$Q$3:$Q$1000&lt;&gt;"")*(MTIB!$Q$3:$Q$1000&lt;&gt;"Not Due"),
ROW(MTIB!$Q$3:$Q$1000)-ROW(MTIB!$Q$3)+1),
ROWS(A$2:A10))),"")</f>
        <v>MYFINANCIAL</v>
      </c>
      <c r="L10" s="116" t="str" cm="1">
        <f t="array" aca="1" ref="L10" ca="1">IFERROR(INDEX(MTIB!$G$3:$G$1000,
SMALL(
IF((MTIB!$Q$3:$Q$1000&lt;&gt;"")*(MTIB!$Q$3:$Q$1000&lt;&gt;"Not Due"),
ROW(MTIB!$Q$3:$Q$1000)-ROW(MTIB!$Q$3)+1),
ROWS(A$2:A10))),"")</f>
        <v>Isu yang sama berulang. Sebelum ini telah diadukan pada tahun 2025 dan telah dibaiki.</v>
      </c>
      <c r="M10" s="88" t="str" cm="1">
        <f t="array" aca="1" ref="M10" ca="1">IFERROR(INDEX(MTIB!$Q$3:$Q$1000,
SMALL(
IF((MTIB!$Q$3:$Q$1000&lt;&gt;"")*(MTIB!$Q$3:$Q$1000&lt;&gt;"Not Due"),
ROW(MTIB!$Q$3:$Q$1000)-ROW(MTIB!$Q$3)+1),
ROWS(A$2:A10))
),"")</f>
        <v>31-60 Days</v>
      </c>
      <c r="O10" s="115">
        <v>9</v>
      </c>
      <c r="P10" s="120" t="str" cm="1">
        <f t="array" aca="1" ref="P10" ca="1">IFERROR(INDEX(MPOB!$E$3:$E$1000,
SMALL(
IF((MPOB!$Q$3:$Q$1000&lt;&gt;"")*(MPOB!$Q$3:$Q$1000&lt;&gt;"Not Due"),
ROW(MPOB!$Q$3:$Q$1000)-ROW(MPOB!$Q$3)+1),
ROWS(A$2:A10))),"")</f>
        <v>MPOB</v>
      </c>
      <c r="Q10" s="115" t="str" cm="1">
        <f t="array" aca="1" ref="Q10" ca="1">IFERROR(INDEX(MPOB!$B$3:$B$1000,
SMALL(
IF((MPOB!$Q$3:$Q$1000&lt;&gt;"")*(MPOB!$Q$3:$Q$1000&lt;&gt;"Not Due"),
ROW(MPOB!$Q$3:$Q$1000)-ROW(MPOB!$Q$3)+1),
ROWS(A$2:A10))),"")</f>
        <v>T/2026/00152</v>
      </c>
      <c r="R10" s="115" t="str" cm="1">
        <f t="array" aca="1" ref="R10" ca="1">IFERROR(INDEX(MPOB!$D$3:$D$1000,
SMALL(
IF((MPOB!$Q$3:$Q$1000&lt;&gt;"")*(MPOB!$Q$3:$Q$1000&lt;&gt;"Not Due"),
ROW(MPOB!$Q$3:$Q$1000)-ROW(MPOB!$Q$3)+1),
ROWS(A$2:A10))),"")</f>
        <v>MyFinancial</v>
      </c>
      <c r="S10" s="116" t="str" cm="1">
        <f t="array" aca="1" ref="S10" ca="1">IFERROR(INDEX(MPOB!$G$3:$G$1000,
SMALL(
IF((MPOB!$Q$3:$Q$1000&lt;&gt;"")*(MPOB!$Q$3:$Q$1000&lt;&gt;"Not Due"),
ROW(MPOB!$Q$3:$Q$1000)-ROW(MPOB!$Q$3)+1),
ROWS(A$2:A10))),"")</f>
        <v>Nama User : Hanif Date : 22/1/2026 Isu : boleh minta tolong untuk sorang staff kami ni tak ingat password, dia cuba untuk set kata laluan baru tapi email tu tak dapat dapat..dari semalam dia kata..email dia : norasikin.ulkeply@mpob.gov.my</v>
      </c>
      <c r="T10" s="88" t="str" cm="1">
        <f t="array" aca="1" ref="T10" ca="1">IFERROR(INDEX(MPOB!$Q$3:$Q$1000,
SMALL(
IF((MPOB!$Q$3:$Q$1000&lt;&gt;"")*(MPOB!$Q$3:$Q$1000&lt;&gt;"Not Due"),
ROW(MPOB!$Q$3:$Q$1000)-ROW(MPOB!$Q$3)+1),
ROWS(A$2:A10))
),"")</f>
        <v>&gt;60 Days</v>
      </c>
      <c r="V10" s="115">
        <v>9</v>
      </c>
      <c r="W10" s="121" t="str" cm="1">
        <f t="array" aca="1" ref="W10" ca="1">IFERROR(INDEX(LKTN!$E$3:$E$1000,
SMALL(
IF((LKTN!$Q$3:$Q$1000&lt;&gt;"")*(LKTN!$Q$3:$Q$1000&lt;&gt;"Not Due"),
ROW(LKTN!$Q$3:$Q$1000)-ROW(LKTN!$Q$3)+1),
ROWS(A$2:A10))),"")</f>
        <v/>
      </c>
      <c r="X10" s="115" t="str" cm="1">
        <f t="array" aca="1" ref="X10" ca="1">IFERROR(INDEX(LKTN!$B$3:$B$1000,
SMALL(
IF((LKTN!$Q$3:$Q$1000&lt;&gt;"")*(LKTN!$Q$3:$Q$1000&lt;&gt;"Not Due"),
ROW(LKTN!$Q$3:$Q$1000)-ROW(LKTN!$Q$3)+1),
ROWS(A$2:A10))),"")</f>
        <v/>
      </c>
      <c r="Y10" s="115" t="str" cm="1">
        <f t="array" aca="1" ref="Y10" ca="1">IFERROR(INDEX(LKTN!$D$3:$D$1000,
SMALL(
IF((LKTN!$Q$3:$Q$1000&lt;&gt;"")*(LKTN!$Q$3:$Q$1000&lt;&gt;"Not Due"),
ROW(LKTN!$Q$3:$Q$1000)-ROW(LKTN!$Q$3)+1),
ROWS(A$2:A10))),"")</f>
        <v/>
      </c>
      <c r="Z10" s="116" t="str" cm="1">
        <f t="array" aca="1" ref="Z10" ca="1">IFERROR(INDEX(LKTN!$G$3:$G$1000,
SMALL(
IF((LKTN!$Q$3:$Q$1000&lt;&gt;"")*(LKTN!$Q$3:$Q$1000&lt;&gt;"Not Due"),
ROW(LKTN!$Q$3:$Q$1000)-ROW(LKTN!$Q$3)+1),
ROWS(A$2:A10))),"")</f>
        <v/>
      </c>
      <c r="AA10" s="64" t="str" cm="1">
        <f t="array" aca="1" ref="AA10" ca="1">IFERROR(INDEX(LKTN!$Q$3:$Q$1000,
SMALL(
IF((LKTN!$Q$3:$Q$1000&lt;&gt;"")*(LKTN!$Q$3:$Q$1000&lt;&gt;"Not Due"),
ROW(LKTN!$Q$3:$Q$1000)-ROW(LKTN!$Q$3)+1),
ROWS(A$2:A10))
),"")</f>
        <v/>
      </c>
      <c r="AC10" s="115">
        <v>9</v>
      </c>
      <c r="AD10" s="122" t="str" cm="1">
        <f t="array" aca="1" ref="AD10" ca="1">IFERROR(INDEX(LAM!$E$3:$E$1000,
SMALL(
IF((LAM!$Q$3:$Q$1000&lt;&gt;"")*(LAM!$Q$3:$Q$1000&lt;&gt;"Not Due"),
ROW(LAM!$Q$3:$Q$1000)-ROW(LAM!$Q$3)+1),
ROWS(A$2:A10))),"")</f>
        <v/>
      </c>
      <c r="AE10" s="115" t="str" cm="1">
        <f t="array" aca="1" ref="AE10" ca="1">IFERROR(INDEX(LAM!$B$3:$B$1000,
SMALL(
IF((LAM!$Q$3:$Q$1000&lt;&gt;"")*(LAM!$Q$3:$Q$1000&lt;&gt;"Not Due"),
ROW(LAM!$Q$3:$Q$1000)-ROW(LAM!$Q$3)+1),
ROWS(A$2:A10))),"")</f>
        <v/>
      </c>
      <c r="AF10" s="115" t="str" cm="1">
        <f t="array" aca="1" ref="AF10" ca="1">IFERROR(INDEX(LAM!$D$3:$D$1000,
SMALL(
IF((LAM!$Q$3:$Q$1000&lt;&gt;"")*(LAM!$Q$3:$Q$1000&lt;&gt;"Not Due"),
ROW(LAM!$Q$3:$Q$1000)-ROW(LAM!$Q$3)+1),
ROWS(A$2:A10))),"")</f>
        <v/>
      </c>
      <c r="AG10" s="116" t="str" cm="1">
        <f t="array" aca="1" ref="AG10" ca="1">IFERROR(INDEX(LAM!$G$3:$G$1000,
SMALL(
IF((LAM!$Q$3:$Q$1000&lt;&gt;"")*(LAM!$Q$3:$Q$1000&lt;&gt;"Not Due"),
ROW(LAM!$Q$3:$Q$1000)-ROW(LAM!$Q$3)+1),
ROWS(A$2:A10))),"")</f>
        <v/>
      </c>
      <c r="AH10" s="64" t="str" cm="1">
        <f t="array" aca="1" ref="AH10" ca="1">IFERROR(INDEX(LAM!$Q$3:$Q$1000,
SMALL(
IF((LAM!$Q$3:$Q$1000&lt;&gt;"")*(LAM!$Q$3:$Q$1000&lt;&gt;"Not Due"),
ROW(LAM!$Q$3:$Q$1000)-ROW(LAM!$Q$3)+1),
ROWS(A$2:A10))
),"")</f>
        <v/>
      </c>
      <c r="AJ10" s="115">
        <v>9</v>
      </c>
      <c r="AK10" s="123" t="str" cm="1">
        <f t="array" aca="1" ref="AK10" ca="1">IFERROR(INDEX(ISN!$E$3:$E$1000,
SMALL(
IF((ISN!$Q$3:$Q$1000&lt;&gt;"")*(ISN!$Q$3:$Q$1000&lt;&gt;"Not Due"),
ROW(ISN!$Q$3:$Q$1000)-ROW(ISN!$Q$3)+1),
ROWS(A$2:A10))),"")</f>
        <v>ISN</v>
      </c>
      <c r="AL10" s="115" t="str" cm="1">
        <f t="array" aca="1" ref="AL10" ca="1">IFERROR(INDEX(ISN!$B$3:$B$1000,
SMALL(
IF((ISN!$Q$3:$Q$1000&lt;&gt;"")*(ISN!$Q$3:$Q$1000&lt;&gt;"Not Due"),
ROW(ISN!$Q$3:$Q$1000)-ROW(ISN!$Q$3)+1),
ROWS(A$2:A10))),"")</f>
        <v>T/2026/00459</v>
      </c>
      <c r="AM10" s="116" t="str" cm="1">
        <f t="array" aca="1" ref="AM10" ca="1">IFERROR(INDEX(ISN!$D$3:$D$1000,
SMALL(
IF((ISN!$Q$3:$Q$1000&lt;&gt;"")*(ISN!$Q$3:$Q$1000&lt;&gt;"Not Due"),
ROW(ISN!$Q$3:$Q$1000)-ROW(ISN!$Q$3)+1),
ROWS(A$2:A10))),"")</f>
        <v>MYSTOR</v>
      </c>
      <c r="AN10" s="116" t="str" cm="1">
        <f t="array" aca="1" ref="AN10" ca="1">IFERROR(INDEX(ISN!$G$3:$G$1000,
SMALL(
IF((ISN!$Q$3:$Q$1000&lt;&gt;"")*(ISN!$Q$3:$Q$1000&lt;&gt;"Not Due"),
ROW(ISN!$Q$3:$Q$1000)-ROW(ISN!$Q$3)+1),
ROWS(A$2:A10))),"")</f>
        <v>PADA 30/6/2026 SAYA TELAH POS TRANSAKSI STOCK OUT DALAM SISTEM MYSTORE UNTUK TRANSAKSI PEMOHON BERTARIKH 29/6/2026 (FLOORSTOCK UNIT FISIOTERAPI) NAMUN TRANSAKSI BERNOMBOR NO. BPSI K07147 ITU TIDAK DAPAT DIPAPARKAN KETIKA SAYA MAHU MENCETAK KEWPS 8.</v>
      </c>
      <c r="AO10" s="64" t="str" cm="1">
        <f t="array" aca="1" ref="AO10" ca="1">IFERROR(INDEX(ISN!$Q$3:$Q$1000,
SMALL(
IF((ISN!$Q$3:$Q$1000&lt;&gt;"")*(ISN!$Q$3:$Q$1000&lt;&gt;"Not Due"),
ROW(ISN!$Q$3:$Q$1000)-ROW(ISN!$Q$3)+1),
ROWS(A$2:A10))
),"")</f>
        <v>1-30 Days</v>
      </c>
      <c r="AQ10" s="115">
        <v>9</v>
      </c>
      <c r="AR10" s="124" t="str" cm="1">
        <f t="array" aca="1" ref="AR10" ca="1">IFERROR(INDEX(MSN!$E$3:$E$1000,
SMALL(
IF((MSN!$Q$3:$Q$1000&lt;&gt;"")*(MSN!$Q$3:$Q$1000&lt;&gt;"Not Due"),
ROW(MSN!$Q$3:$Q$1000)-ROW(MSN!$Q$3)+1),
ROWS(A$2:A10))),"")</f>
        <v/>
      </c>
      <c r="AS10" s="115" t="str" cm="1">
        <f t="array" aca="1" ref="AS10" ca="1">IFERROR(INDEX(MSN!$B$3:$B$1000,
SMALL(
IF((MSN!$Q$3:$Q$1000&lt;&gt;"")*(MSN!$Q$3:$Q$1000&lt;&gt;"Not Due"),
ROW(MSN!$Q$3:$Q$1000)-ROW(MSN!$Q$3)+1),
ROWS(A$2:A10))),"")</f>
        <v/>
      </c>
      <c r="AT10" s="115" t="str" cm="1">
        <f t="array" aca="1" ref="AT10" ca="1">IFERROR(INDEX(MSN!$D$3:$D$1000,
SMALL(
IF((MSN!$Q$3:$Q$1000&lt;&gt;"")*(MSN!$Q$3:$Q$1000&lt;&gt;"Not Due"),
ROW(MSN!$Q$3:$Q$1000)-ROW(MSN!$Q$3)+1),
ROWS(A$2:A10))),"")</f>
        <v/>
      </c>
      <c r="AU10" s="116" t="str" cm="1">
        <f t="array" aca="1" ref="AU10" ca="1">IFERROR(INDEX(MSN!$G$3:$G$1000,
SMALL(
IF((MSN!$Q$3:$Q$1000&lt;&gt;"")*(MSN!$Q$3:$Q$1000&lt;&gt;"Not Due"),
ROW(MSN!$Q$3:$Q$1000)-ROW(MSN!$Q$3)+1),
ROWS(A$2:A10))),"")</f>
        <v/>
      </c>
      <c r="AV10" s="64" t="str" cm="1">
        <f t="array" aca="1" ref="AV10" ca="1">IFERROR(INDEX(MSN!$Q$3:$Q$1000,
SMALL(
IF((MSN!$Q$3:$Q$1000&lt;&gt;"")*(MSN!$Q$3:$Q$1000&lt;&gt;"Not Due"),
ROW(MSN!$Q$3:$Q$1000)-ROW(MSN!$Q$3)+1),
ROWS(A$2:A10))
),"")</f>
        <v/>
      </c>
    </row>
    <row r="11" spans="1:48" ht="46.8" x14ac:dyDescent="0.3">
      <c r="A11" s="115">
        <v>10</v>
      </c>
      <c r="B11" s="118" t="str" cm="1">
        <f t="array" aca="1" ref="B11" ca="1">IFERROR(INDEX(FRIM!$E$3:$E$1000,
SMALL(IF(FRIM!$Q$3:$Q$1000&lt;&gt;"",
ROW(FRIM!$Q$3:$Q$1000)-ROW(FRIM!$Q$3)+1),
ROWS(A$2:A11))),"")</f>
        <v>FRIM</v>
      </c>
      <c r="C11" s="116" t="str" cm="1">
        <f t="array" aca="1" ref="C11" ca="1">IFERROR(INDEX(FRIM!$B$3:$B$1000,
SMALL(IF(FRIM!$Q$3:$Q$1000&lt;&gt;"",
ROW(FRIM!$Q$3:$Q$1000)-ROW(FRIM!$Q$3)+1),
ROWS(A$2:A11))),"")</f>
        <v>T/2026/00099</v>
      </c>
      <c r="D11" s="116" t="str" cm="1">
        <f t="array" aca="1" ref="D11" ca="1">IFERROR(INDEX(FRIM!$D$3:$D$1000,
SMALL(IF(FRIM!$Q$3:$Q$1000&lt;&gt;"",
ROW(FRIM!$Q$3:$Q$1000)-ROW(FRIM!$Q$3)+1),
ROWS(A$2:A11))),"")</f>
        <v>URUSNIAGA PPS</v>
      </c>
      <c r="E11" s="116" t="str" cm="1">
        <f t="array" aca="1" ref="E11" ca="1">IFERROR(INDEX(FRIM!$G$3:$G$1000,
SMALL(IF(FRIM!$Q$3:$Q$1000&lt;&gt;"",
ROW(FRIM!$Q$3:$Q$1000)-ROW(FRIM!$Q$3)+1),
ROWS(A$2:A11))),"")</f>
        <v>W2401 24/03/2025 NURFAIEZAH BT. MAZERI MOHON PENAMBAIKAN UNTUK ADD ITEM DI MYURUSNIAGA</v>
      </c>
      <c r="F11" s="88" t="str" cm="1">
        <f t="array" aca="1" ref="F11" ca="1">IFERROR(INDEX(FRIM!$Q$3:$Q$1000,
SMALL(IF(FRIM!$Q$3:$Q$1000&lt;&gt;"",
ROW(FRIM!$Q$3:$Q$1000)-ROW(FRIM!$Q$3)+1),
ROWS(A$2:A11))),"")</f>
        <v>&gt;60 Days</v>
      </c>
      <c r="H11" s="115">
        <v>10</v>
      </c>
      <c r="I11" s="119" t="str" cm="1">
        <f t="array" aca="1" ref="I11" ca="1">IFERROR(INDEX(MTIB!$E$3:$E$1000,
SMALL(
IF((MTIB!$Q$3:$Q$1000&lt;&gt;"")*(MTIB!$Q$3:$Q$1000&lt;&gt;"Not Due"),
ROW(MTIB!$Q$3:$Q$1000)-ROW(MTIB!$Q$3)+1),
ROWS(A$2:A11))),"")</f>
        <v>MTIB</v>
      </c>
      <c r="J11" s="115" t="str" cm="1">
        <f t="array" aca="1" ref="J11" ca="1">IFERROR(INDEX(MTIB!$B$3:$B$1000,
SMALL(
IF((MTIB!$Q$3:$Q$1000&lt;&gt;"")*(MTIB!$Q$3:$Q$1000&lt;&gt;"Not Due"),
ROW(MTIB!$Q$3:$Q$1000)-ROW(MTIB!$Q$3)+1),
ROWS(A$2:A11))),"")</f>
        <v>T/2026/00332</v>
      </c>
      <c r="K11" s="115" t="str" cm="1">
        <f t="array" aca="1" ref="K11" ca="1">IFERROR(INDEX(MTIB!$D$3:$D$1000,
SMALL(
IF((MTIB!$Q$3:$Q$1000&lt;&gt;"")*(MTIB!$Q$3:$Q$1000&lt;&gt;"Not Due"),
ROW(MTIB!$Q$3:$Q$1000)-ROW(MTIB!$Q$3)+1),
ROWS(A$2:A11))),"")</f>
        <v>MyPanjar</v>
      </c>
      <c r="L11" s="116" t="str" cm="1">
        <f t="array" aca="1" ref="L11" ca="1">IFERROR(INDEX(MTIB!$G$3:$G$1000,
SMALL(
IF((MTIB!$Q$3:$Q$1000&lt;&gt;"")*(MTIB!$Q$3:$Q$1000&lt;&gt;"Not Due"),
ROW(MTIB!$Q$3:$Q$1000)-ROW(MTIB!$Q$3)+1),
ROWS(A$2:A11))),"")</f>
        <v>Pegawai Pengesah HR (Patmah) tidak dapat membuat pengesahan perubatan dalam sistem MyPanjar. Pengadu: Suhani Hassan</v>
      </c>
      <c r="M11" s="88" t="str" cm="1">
        <f t="array" aca="1" ref="M11" ca="1">IFERROR(INDEX(MTIB!$Q$3:$Q$1000,
SMALL(
IF((MTIB!$Q$3:$Q$1000&lt;&gt;"")*(MTIB!$Q$3:$Q$1000&lt;&gt;"Not Due"),
ROW(MTIB!$Q$3:$Q$1000)-ROW(MTIB!$Q$3)+1),
ROWS(A$2:A11))
),"")</f>
        <v>31-60 Days</v>
      </c>
      <c r="O11" s="115">
        <v>10</v>
      </c>
      <c r="P11" s="120" t="str" cm="1">
        <f t="array" aca="1" ref="P11" ca="1">IFERROR(INDEX(MPOB!$E$3:$E$1000,
SMALL(
IF((MPOB!$Q$3:$Q$1000&lt;&gt;"")*(MPOB!$Q$3:$Q$1000&lt;&gt;"Not Due"),
ROW(MPOB!$Q$3:$Q$1000)-ROW(MPOB!$Q$3)+1),
ROWS(A$2:A11))),"")</f>
        <v>MPOB</v>
      </c>
      <c r="Q11" s="115" t="str" cm="1">
        <f t="array" aca="1" ref="Q11" ca="1">IFERROR(INDEX(MPOB!$B$3:$B$1000,
SMALL(
IF((MPOB!$Q$3:$Q$1000&lt;&gt;"")*(MPOB!$Q$3:$Q$1000&lt;&gt;"Not Due"),
ROW(MPOB!$Q$3:$Q$1000)-ROW(MPOB!$Q$3)+1),
ROWS(A$2:A11))),"")</f>
        <v>T/2026/00160</v>
      </c>
      <c r="R11" s="115" t="str" cm="1">
        <f t="array" aca="1" ref="R11" ca="1">IFERROR(INDEX(MPOB!$D$3:$D$1000,
SMALL(
IF((MPOB!$Q$3:$Q$1000&lt;&gt;"")*(MPOB!$Q$3:$Q$1000&lt;&gt;"Not Due"),
ROW(MPOB!$Q$3:$Q$1000)-ROW(MPOB!$Q$3)+1),
ROWS(A$2:A11))),"")</f>
        <v>MyAsset</v>
      </c>
      <c r="S11" s="116" t="str" cm="1">
        <f t="array" aca="1" ref="S11" ca="1">IFERROR(INDEX(MPOB!$G$3:$G$1000,
SMALL(
IF((MPOB!$Q$3:$Q$1000&lt;&gt;"")*(MPOB!$Q$3:$Q$1000&lt;&gt;"Not Due"),
ROW(MPOB!$Q$3:$Q$1000)-ROW(MPOB!$Q$3)+1),
ROWS(A$2:A11))),"")</f>
        <v>Nama User : Myra Date : 27/1/2026 Isu : Terdapat 40 aset yg telah dihapuskan tetapi GL tak update (reverse) pada 2024. Mohon aktifkan semula aset.</v>
      </c>
      <c r="T11" s="88" t="str" cm="1">
        <f t="array" aca="1" ref="T11" ca="1">IFERROR(INDEX(MPOB!$Q$3:$Q$1000,
SMALL(
IF((MPOB!$Q$3:$Q$1000&lt;&gt;"")*(MPOB!$Q$3:$Q$1000&lt;&gt;"Not Due"),
ROW(MPOB!$Q$3:$Q$1000)-ROW(MPOB!$Q$3)+1),
ROWS(A$2:A11))
),"")</f>
        <v>&gt;60 Days</v>
      </c>
      <c r="V11" s="115">
        <v>10</v>
      </c>
      <c r="W11" s="121" t="str" cm="1">
        <f t="array" aca="1" ref="W11" ca="1">IFERROR(INDEX(LKTN!$E$3:$E$1000,
SMALL(
IF((LKTN!$Q$3:$Q$1000&lt;&gt;"")*(LKTN!$Q$3:$Q$1000&lt;&gt;"Not Due"),
ROW(LKTN!$Q$3:$Q$1000)-ROW(LKTN!$Q$3)+1),
ROWS(A$2:A11))),"")</f>
        <v/>
      </c>
      <c r="X11" s="115" t="str" cm="1">
        <f t="array" aca="1" ref="X11" ca="1">IFERROR(INDEX(LKTN!$B$3:$B$1000,
SMALL(
IF((LKTN!$Q$3:$Q$1000&lt;&gt;"")*(LKTN!$Q$3:$Q$1000&lt;&gt;"Not Due"),
ROW(LKTN!$Q$3:$Q$1000)-ROW(LKTN!$Q$3)+1),
ROWS(A$2:A11))),"")</f>
        <v/>
      </c>
      <c r="Y11" s="115" t="str" cm="1">
        <f t="array" aca="1" ref="Y11" ca="1">IFERROR(INDEX(LKTN!$D$3:$D$1000,
SMALL(
IF((LKTN!$Q$3:$Q$1000&lt;&gt;"")*(LKTN!$Q$3:$Q$1000&lt;&gt;"Not Due"),
ROW(LKTN!$Q$3:$Q$1000)-ROW(LKTN!$Q$3)+1),
ROWS(A$2:A11))),"")</f>
        <v/>
      </c>
      <c r="Z11" s="116" t="str" cm="1">
        <f t="array" aca="1" ref="Z11" ca="1">IFERROR(INDEX(LKTN!$G$3:$G$1000,
SMALL(
IF((LKTN!$Q$3:$Q$1000&lt;&gt;"")*(LKTN!$Q$3:$Q$1000&lt;&gt;"Not Due"),
ROW(LKTN!$Q$3:$Q$1000)-ROW(LKTN!$Q$3)+1),
ROWS(A$2:A11))),"")</f>
        <v/>
      </c>
      <c r="AA11" s="64" t="str" cm="1">
        <f t="array" aca="1" ref="AA11" ca="1">IFERROR(INDEX(LKTN!$Q$3:$Q$1000,
SMALL(
IF((LKTN!$Q$3:$Q$1000&lt;&gt;"")*(LKTN!$Q$3:$Q$1000&lt;&gt;"Not Due"),
ROW(LKTN!$Q$3:$Q$1000)-ROW(LKTN!$Q$3)+1),
ROWS(A$2:A11))
),"")</f>
        <v/>
      </c>
      <c r="AJ11" s="115">
        <v>10</v>
      </c>
      <c r="AK11" s="123" t="str" cm="1">
        <f t="array" aca="1" ref="AK11" ca="1">IFERROR(INDEX(ISN!$E$3:$E$1000,
SMALL(
IF((ISN!$Q$3:$Q$1000&lt;&gt;"")*(ISN!$Q$3:$Q$1000&lt;&gt;"Not Due"),
ROW(ISN!$Q$3:$Q$1000)-ROW(ISN!$Q$3)+1),
ROWS(A$2:A11))),"")</f>
        <v/>
      </c>
      <c r="AL11" s="115" t="str" cm="1">
        <f t="array" aca="1" ref="AL11" ca="1">IFERROR(INDEX(ISN!$B$3:$B$1000,
SMALL(
IF((ISN!$Q$3:$Q$1000&lt;&gt;"")*(ISN!$Q$3:$Q$1000&lt;&gt;"Not Due"),
ROW(ISN!$Q$3:$Q$1000)-ROW(ISN!$Q$3)+1),
ROWS(A$2:A11))),"")</f>
        <v/>
      </c>
      <c r="AM11" s="116" t="str" cm="1">
        <f t="array" aca="1" ref="AM11" ca="1">IFERROR(INDEX(ISN!$D$3:$D$1000,
SMALL(
IF((ISN!$Q$3:$Q$1000&lt;&gt;"")*(ISN!$Q$3:$Q$1000&lt;&gt;"Not Due"),
ROW(ISN!$Q$3:$Q$1000)-ROW(ISN!$Q$3)+1),
ROWS(A$2:A11))),"")</f>
        <v/>
      </c>
      <c r="AN11" s="116" t="str" cm="1">
        <f t="array" aca="1" ref="AN11" ca="1">IFERROR(INDEX(ISN!$G$3:$G$1000,
SMALL(
IF((ISN!$Q$3:$Q$1000&lt;&gt;"")*(ISN!$Q$3:$Q$1000&lt;&gt;"Not Due"),
ROW(ISN!$Q$3:$Q$1000)-ROW(ISN!$Q$3)+1),
ROWS(A$2:A11))),"")</f>
        <v/>
      </c>
      <c r="AO11" s="64" t="str" cm="1">
        <f t="array" aca="1" ref="AO11" ca="1">IFERROR(INDEX(ISN!$Q$3:$Q$1000,
SMALL(
IF((ISN!$Q$3:$Q$1000&lt;&gt;"")*(ISN!$Q$3:$Q$1000&lt;&gt;"Not Due"),
ROW(ISN!$Q$3:$Q$1000)-ROW(ISN!$Q$3)+1),
ROWS(A$2:A11))
),"")</f>
        <v/>
      </c>
      <c r="AQ11" s="115">
        <v>10</v>
      </c>
      <c r="AR11" s="124" t="str" cm="1">
        <f t="array" aca="1" ref="AR11" ca="1">IFERROR(INDEX(MSN!$E$3:$E$1000,
SMALL(
IF((MSN!$Q$3:$Q$1000&lt;&gt;"")*(MSN!$Q$3:$Q$1000&lt;&gt;"Not Due"),
ROW(MSN!$Q$3:$Q$1000)-ROW(MSN!$Q$3)+1),
ROWS(A$2:A11))),"")</f>
        <v/>
      </c>
      <c r="AS11" s="115" t="str" cm="1">
        <f t="array" aca="1" ref="AS11" ca="1">IFERROR(INDEX(MSN!$B$3:$B$1000,
SMALL(
IF((MSN!$Q$3:$Q$1000&lt;&gt;"")*(MSN!$Q$3:$Q$1000&lt;&gt;"Not Due"),
ROW(MSN!$Q$3:$Q$1000)-ROW(MSN!$Q$3)+1),
ROWS(A$2:A11))),"")</f>
        <v/>
      </c>
      <c r="AT11" s="115" t="str" cm="1">
        <f t="array" aca="1" ref="AT11" ca="1">IFERROR(INDEX(MSN!$D$3:$D$1000,
SMALL(
IF((MSN!$Q$3:$Q$1000&lt;&gt;"")*(MSN!$Q$3:$Q$1000&lt;&gt;"Not Due"),
ROW(MSN!$Q$3:$Q$1000)-ROW(MSN!$Q$3)+1),
ROWS(A$2:A11))),"")</f>
        <v/>
      </c>
      <c r="AU11" s="116" t="str" cm="1">
        <f t="array" aca="1" ref="AU11" ca="1">IFERROR(INDEX(MSN!$G$3:$G$1000,
SMALL(
IF((MSN!$Q$3:$Q$1000&lt;&gt;"")*(MSN!$Q$3:$Q$1000&lt;&gt;"Not Due"),
ROW(MSN!$Q$3:$Q$1000)-ROW(MSN!$Q$3)+1),
ROWS(A$2:A11))),"")</f>
        <v/>
      </c>
      <c r="AV11" s="64" t="str" cm="1">
        <f t="array" aca="1" ref="AV11" ca="1">IFERROR(INDEX(MSN!$Q$3:$Q$1000,
SMALL(
IF((MSN!$Q$3:$Q$1000&lt;&gt;"")*(MSN!$Q$3:$Q$1000&lt;&gt;"Not Due"),
ROW(MSN!$Q$3:$Q$1000)-ROW(MSN!$Q$3)+1),
ROWS(A$2:A11))
),"")</f>
        <v/>
      </c>
    </row>
    <row r="12" spans="1:48" ht="140.4" x14ac:dyDescent="0.3">
      <c r="A12" s="115">
        <v>11</v>
      </c>
      <c r="B12" s="118" t="str" cm="1">
        <f t="array" aca="1" ref="B12" ca="1">IFERROR(INDEX(FRIM!$E$3:$E$1000,
SMALL(IF(FRIM!$Q$3:$Q$1000&lt;&gt;"",
ROW(FRIM!$Q$3:$Q$1000)-ROW(FRIM!$Q$3)+1),
ROWS(A$2:A12))),"")</f>
        <v>FRIM</v>
      </c>
      <c r="C12" s="116" t="str" cm="1">
        <f t="array" aca="1" ref="C12" ca="1">IFERROR(INDEX(FRIM!$B$3:$B$1000,
SMALL(IF(FRIM!$Q$3:$Q$1000&lt;&gt;"",
ROW(FRIM!$Q$3:$Q$1000)-ROW(FRIM!$Q$3)+1),
ROWS(A$2:A12))),"")</f>
        <v>T/2026/00102</v>
      </c>
      <c r="D12" s="116" t="str" cm="1">
        <f t="array" aca="1" ref="D12" ca="1">IFERROR(INDEX(FRIM!$D$3:$D$1000,
SMALL(IF(FRIM!$Q$3:$Q$1000&lt;&gt;"",
ROW(FRIM!$Q$3:$Q$1000)-ROW(FRIM!$Q$3)+1),
ROWS(A$2:A12))),"")</f>
        <v>QUERY</v>
      </c>
      <c r="E12" s="116" t="str" cm="1">
        <f t="array" aca="1" ref="E12" ca="1">IFERROR(INDEX(FRIM!$G$3:$G$1000,
SMALL(IF(FRIM!$Q$3:$Q$1000&lt;&gt;"",
ROW(FRIM!$Q$3:$Q$1000)-ROW(FRIM!$Q$3)+1),
ROWS(A$2:A12))),"")</f>
        <v>W2449 28/10/2025 NAJWA NAFIAH BINTI FAUZI MOHON SEMAKAN MODUL PERBELANJAAN IKUT PUSAT KOS DI MYQUERY TIDAK BOLEH DIAKSES. LAPORAN PERUNTUKAN DAN PERBELANJAAN MENGIKUT PUSAT KOS TIDAK KELUAR. SEBELUM NI BOLEH AKSES UNTUK DAPAT KAN LAPORAN. MODUL INI PERLU UNTUK PENYEDIAAN PELAPORAN KEWANGAN PROJEK. CONTOH REPORT SEPERTI LAMPIRAN.</v>
      </c>
      <c r="F12" s="88" t="str" cm="1">
        <f t="array" aca="1" ref="F12" ca="1">IFERROR(INDEX(FRIM!$Q$3:$Q$1000,
SMALL(IF(FRIM!$Q$3:$Q$1000&lt;&gt;"",
ROW(FRIM!$Q$3:$Q$1000)-ROW(FRIM!$Q$3)+1),
ROWS(A$2:A12))),"")</f>
        <v>&gt;60 Days</v>
      </c>
      <c r="H12" s="115">
        <v>11</v>
      </c>
      <c r="I12" s="119" t="str" cm="1">
        <f t="array" aca="1" ref="I12" ca="1">IFERROR(INDEX(MTIB!$E$3:$E$1000,
SMALL(
IF((MTIB!$Q$3:$Q$1000&lt;&gt;"")*(MTIB!$Q$3:$Q$1000&lt;&gt;"Not Due"),
ROW(MTIB!$Q$3:$Q$1000)-ROW(MTIB!$Q$3)+1),
ROWS(A$2:A12))),"")</f>
        <v>MTIB</v>
      </c>
      <c r="J12" s="115" t="str" cm="1">
        <f t="array" aca="1" ref="J12" ca="1">IFERROR(INDEX(MTIB!$B$3:$B$1000,
SMALL(
IF((MTIB!$Q$3:$Q$1000&lt;&gt;"")*(MTIB!$Q$3:$Q$1000&lt;&gt;"Not Due"),
ROW(MTIB!$Q$3:$Q$1000)-ROW(MTIB!$Q$3)+1),
ROWS(A$2:A12))),"")</f>
        <v>T/2026/00337</v>
      </c>
      <c r="K12" s="115" t="str" cm="1">
        <f t="array" aca="1" ref="K12" ca="1">IFERROR(INDEX(MTIB!$D$3:$D$1000,
SMALL(
IF((MTIB!$Q$3:$Q$1000&lt;&gt;"")*(MTIB!$Q$3:$Q$1000&lt;&gt;"Not Due"),
ROW(MTIB!$Q$3:$Q$1000)-ROW(MTIB!$Q$3)+1),
ROWS(A$2:A12))),"")</f>
        <v>MYFINANCIAL</v>
      </c>
      <c r="L12" s="116" t="str" cm="1">
        <f t="array" aca="1" ref="L12" ca="1">IFERROR(INDEX(MTIB!$G$3:$G$1000,
SMALL(
IF((MTIB!$Q$3:$Q$1000&lt;&gt;"")*(MTIB!$Q$3:$Q$1000&lt;&gt;"Not Due"),
ROW(MTIB!$Q$3:$Q$1000)-ROW(MTIB!$Q$3)+1),
ROWS(A$2:A12))),"")</f>
        <v>Mohon laksanakan MyFinancial Client Nama: SHARIFAH SUAIRAH BINTI SAYED KAMARUZAMAN No Kad Pengenalan: 950304-08-5330 No Pekerja: 1233</v>
      </c>
      <c r="M12" s="88" t="str" cm="1">
        <f t="array" aca="1" ref="M12" ca="1">IFERROR(INDEX(MTIB!$Q$3:$Q$1000,
SMALL(
IF((MTIB!$Q$3:$Q$1000&lt;&gt;"")*(MTIB!$Q$3:$Q$1000&lt;&gt;"Not Due"),
ROW(MTIB!$Q$3:$Q$1000)-ROW(MTIB!$Q$3)+1),
ROWS(A$2:A12))
),"")</f>
        <v>31-60 Days</v>
      </c>
      <c r="O12" s="115">
        <v>11</v>
      </c>
      <c r="P12" s="120" t="str" cm="1">
        <f t="array" aca="1" ref="P12" ca="1">IFERROR(INDEX(MPOB!$E$3:$E$1000,
SMALL(
IF((MPOB!$Q$3:$Q$1000&lt;&gt;"")*(MPOB!$Q$3:$Q$1000&lt;&gt;"Not Due"),
ROW(MPOB!$Q$3:$Q$1000)-ROW(MPOB!$Q$3)+1),
ROWS(A$2:A12))),"")</f>
        <v>MPOB</v>
      </c>
      <c r="Q12" s="115" t="str" cm="1">
        <f t="array" aca="1" ref="Q12" ca="1">IFERROR(INDEX(MPOB!$B$3:$B$1000,
SMALL(
IF((MPOB!$Q$3:$Q$1000&lt;&gt;"")*(MPOB!$Q$3:$Q$1000&lt;&gt;"Not Due"),
ROW(MPOB!$Q$3:$Q$1000)-ROW(MPOB!$Q$3)+1),
ROWS(A$2:A12))),"")</f>
        <v>T/2026/00161</v>
      </c>
      <c r="R12" s="115" t="str" cm="1">
        <f t="array" aca="1" ref="R12" ca="1">IFERROR(INDEX(MPOB!$D$3:$D$1000,
SMALL(
IF((MPOB!$Q$3:$Q$1000&lt;&gt;"")*(MPOB!$Q$3:$Q$1000&lt;&gt;"Not Due"),
ROW(MPOB!$Q$3:$Q$1000)-ROW(MPOB!$Q$3)+1),
ROWS(A$2:A12))),"")</f>
        <v>MyFinancial</v>
      </c>
      <c r="S12" s="116" t="str" cm="1">
        <f t="array" aca="1" ref="S12" ca="1">IFERROR(INDEX(MPOB!$G$3:$G$1000,
SMALL(
IF((MPOB!$Q$3:$Q$1000&lt;&gt;"")*(MPOB!$Q$3:$Q$1000&lt;&gt;"Not Due"),
ROW(MPOB!$Q$3:$Q$1000)-ROW(MPOB!$Q$3)+1),
ROWS(A$2:A12))),"")</f>
        <v>Nama User : Fitrah Date : 27/01/2026 Isu : Baucar tidak dijumpai. No Baucar VOPOB/0126/02611 baucar tu dh wujud dekat baucar yg tlah dipos tpi dekat kelulusan baucar dye tk kluar en hasrol tk dpt nk lulus kn</v>
      </c>
      <c r="T12" s="88" t="str" cm="1">
        <f t="array" aca="1" ref="T12" ca="1">IFERROR(INDEX(MPOB!$Q$3:$Q$1000,
SMALL(
IF((MPOB!$Q$3:$Q$1000&lt;&gt;"")*(MPOB!$Q$3:$Q$1000&lt;&gt;"Not Due"),
ROW(MPOB!$Q$3:$Q$1000)-ROW(MPOB!$Q$3)+1),
ROWS(A$2:A12))
),"")</f>
        <v>&gt;60 Days</v>
      </c>
      <c r="V12" s="115">
        <v>11</v>
      </c>
      <c r="W12" s="121" t="str" cm="1">
        <f t="array" aca="1" ref="W12" ca="1">IFERROR(INDEX(LKTN!$E$3:$E$1000,
SMALL(
IF((LKTN!$Q$3:$Q$1000&lt;&gt;"")*(LKTN!$Q$3:$Q$1000&lt;&gt;"Not Due"),
ROW(LKTN!$Q$3:$Q$1000)-ROW(LKTN!$Q$3)+1),
ROWS(A$2:A12))),"")</f>
        <v/>
      </c>
      <c r="X12" s="115" t="str" cm="1">
        <f t="array" aca="1" ref="X12" ca="1">IFERROR(INDEX(LKTN!$B$3:$B$1000,
SMALL(
IF((LKTN!$Q$3:$Q$1000&lt;&gt;"")*(LKTN!$Q$3:$Q$1000&lt;&gt;"Not Due"),
ROW(LKTN!$Q$3:$Q$1000)-ROW(LKTN!$Q$3)+1),
ROWS(A$2:A12))),"")</f>
        <v/>
      </c>
      <c r="Y12" s="115" t="str" cm="1">
        <f t="array" aca="1" ref="Y12" ca="1">IFERROR(INDEX(LKTN!$D$3:$D$1000,
SMALL(
IF((LKTN!$Q$3:$Q$1000&lt;&gt;"")*(LKTN!$Q$3:$Q$1000&lt;&gt;"Not Due"),
ROW(LKTN!$Q$3:$Q$1000)-ROW(LKTN!$Q$3)+1),
ROWS(A$2:A12))),"")</f>
        <v/>
      </c>
      <c r="Z12" s="116" t="str" cm="1">
        <f t="array" aca="1" ref="Z12" ca="1">IFERROR(INDEX(LKTN!$G$3:$G$1000,
SMALL(
IF((LKTN!$Q$3:$Q$1000&lt;&gt;"")*(LKTN!$Q$3:$Q$1000&lt;&gt;"Not Due"),
ROW(LKTN!$Q$3:$Q$1000)-ROW(LKTN!$Q$3)+1),
ROWS(A$2:A12))),"")</f>
        <v/>
      </c>
      <c r="AA12" s="64" t="str" cm="1">
        <f t="array" aca="1" ref="AA12" ca="1">IFERROR(INDEX(LKTN!$Q$3:$Q$1000,
SMALL(
IF((LKTN!$Q$3:$Q$1000&lt;&gt;"")*(LKTN!$Q$3:$Q$1000&lt;&gt;"Not Due"),
ROW(LKTN!$Q$3:$Q$1000)-ROW(LKTN!$Q$3)+1),
ROWS(A$2:A12))
),"")</f>
        <v/>
      </c>
      <c r="AJ12" s="115">
        <v>11</v>
      </c>
      <c r="AK12" s="123" t="str" cm="1">
        <f t="array" aca="1" ref="AK12" ca="1">IFERROR(INDEX(ISN!$E$3:$E$1000,
SMALL(
IF((ISN!$Q$3:$Q$1000&lt;&gt;"")*(ISN!$Q$3:$Q$1000&lt;&gt;"Not Due"),
ROW(ISN!$Q$3:$Q$1000)-ROW(ISN!$Q$3)+1),
ROWS(A$2:A12))),"")</f>
        <v/>
      </c>
      <c r="AL12" s="115" t="str" cm="1">
        <f t="array" aca="1" ref="AL12" ca="1">IFERROR(INDEX(ISN!$B$3:$B$1000,
SMALL(
IF((ISN!$Q$3:$Q$1000&lt;&gt;"")*(ISN!$Q$3:$Q$1000&lt;&gt;"Not Due"),
ROW(ISN!$Q$3:$Q$1000)-ROW(ISN!$Q$3)+1),
ROWS(A$2:A12))),"")</f>
        <v/>
      </c>
      <c r="AM12" s="116" t="str" cm="1">
        <f t="array" aca="1" ref="AM12" ca="1">IFERROR(INDEX(ISN!$D$3:$D$1000,
SMALL(
IF((ISN!$Q$3:$Q$1000&lt;&gt;"")*(ISN!$Q$3:$Q$1000&lt;&gt;"Not Due"),
ROW(ISN!$Q$3:$Q$1000)-ROW(ISN!$Q$3)+1),
ROWS(A$2:A12))),"")</f>
        <v/>
      </c>
      <c r="AN12" s="116" t="str" cm="1">
        <f t="array" aca="1" ref="AN12" ca="1">IFERROR(INDEX(ISN!$G$3:$G$1000,
SMALL(
IF((ISN!$Q$3:$Q$1000&lt;&gt;"")*(ISN!$Q$3:$Q$1000&lt;&gt;"Not Due"),
ROW(ISN!$Q$3:$Q$1000)-ROW(ISN!$Q$3)+1),
ROWS(A$2:A12))),"")</f>
        <v/>
      </c>
      <c r="AO12" s="64" t="str" cm="1">
        <f t="array" aca="1" ref="AO12" ca="1">IFERROR(INDEX(ISN!$Q$3:$Q$1000,
SMALL(
IF((ISN!$Q$3:$Q$1000&lt;&gt;"")*(ISN!$Q$3:$Q$1000&lt;&gt;"Not Due"),
ROW(ISN!$Q$3:$Q$1000)-ROW(ISN!$Q$3)+1),
ROWS(A$2:A12))
),"")</f>
        <v/>
      </c>
      <c r="AQ12" s="115">
        <v>11</v>
      </c>
      <c r="AR12" s="124" t="str" cm="1">
        <f t="array" aca="1" ref="AR12" ca="1">IFERROR(INDEX(MSN!$E$3:$E$1000,
SMALL(
IF((MSN!$Q$3:$Q$1000&lt;&gt;"")*(MSN!$Q$3:$Q$1000&lt;&gt;"Not Due"),
ROW(MSN!$Q$3:$Q$1000)-ROW(MSN!$Q$3)+1),
ROWS(A$2:A12))),"")</f>
        <v/>
      </c>
      <c r="AS12" s="115" t="str" cm="1">
        <f t="array" aca="1" ref="AS12" ca="1">IFERROR(INDEX(MSN!$B$3:$B$1000,
SMALL(
IF((MSN!$Q$3:$Q$1000&lt;&gt;"")*(MSN!$Q$3:$Q$1000&lt;&gt;"Not Due"),
ROW(MSN!$Q$3:$Q$1000)-ROW(MSN!$Q$3)+1),
ROWS(A$2:A12))),"")</f>
        <v/>
      </c>
      <c r="AT12" s="115" t="str" cm="1">
        <f t="array" aca="1" ref="AT12" ca="1">IFERROR(INDEX(MSN!$D$3:$D$1000,
SMALL(
IF((MSN!$Q$3:$Q$1000&lt;&gt;"")*(MSN!$Q$3:$Q$1000&lt;&gt;"Not Due"),
ROW(MSN!$Q$3:$Q$1000)-ROW(MSN!$Q$3)+1),
ROWS(A$2:A12))),"")</f>
        <v/>
      </c>
      <c r="AU12" s="116" t="str" cm="1">
        <f t="array" aca="1" ref="AU12" ca="1">IFERROR(INDEX(MSN!$G$3:$G$1000,
SMALL(
IF((MSN!$Q$3:$Q$1000&lt;&gt;"")*(MSN!$Q$3:$Q$1000&lt;&gt;"Not Due"),
ROW(MSN!$Q$3:$Q$1000)-ROW(MSN!$Q$3)+1),
ROWS(A$2:A12))),"")</f>
        <v/>
      </c>
      <c r="AV12" s="64" t="str" cm="1">
        <f t="array" aca="1" ref="AV12" ca="1">IFERROR(INDEX(MSN!$Q$3:$Q$1000,
SMALL(
IF((MSN!$Q$3:$Q$1000&lt;&gt;"")*(MSN!$Q$3:$Q$1000&lt;&gt;"Not Due"),
ROW(MSN!$Q$3:$Q$1000)-ROW(MSN!$Q$3)+1),
ROWS(A$2:A12))
),"")</f>
        <v/>
      </c>
    </row>
    <row r="13" spans="1:48" ht="124.8" x14ac:dyDescent="0.3">
      <c r="A13" s="115">
        <v>12</v>
      </c>
      <c r="B13" s="118" t="str" cm="1">
        <f t="array" aca="1" ref="B13" ca="1">IFERROR(INDEX(FRIM!$E$3:$E$1000,
SMALL(IF(FRIM!$Q$3:$Q$1000&lt;&gt;"",
ROW(FRIM!$Q$3:$Q$1000)-ROW(FRIM!$Q$3)+1),
ROWS(A$2:A13))),"")</f>
        <v>FRIM</v>
      </c>
      <c r="C13" s="116" t="str" cm="1">
        <f t="array" aca="1" ref="C13" ca="1">IFERROR(INDEX(FRIM!$B$3:$B$1000,
SMALL(IF(FRIM!$Q$3:$Q$1000&lt;&gt;"",
ROW(FRIM!$Q$3:$Q$1000)-ROW(FRIM!$Q$3)+1),
ROWS(A$2:A13))),"")</f>
        <v>T/2026/00103</v>
      </c>
      <c r="D13" s="116" t="str" cm="1">
        <f t="array" aca="1" ref="D13" ca="1">IFERROR(INDEX(FRIM!$D$3:$D$1000,
SMALL(IF(FRIM!$Q$3:$Q$1000&lt;&gt;"",
ROW(FRIM!$Q$3:$Q$1000)-ROW(FRIM!$Q$3)+1),
ROWS(A$2:A13))),"")</f>
        <v>MYFINANCIAL CLIENT</v>
      </c>
      <c r="E13" s="116" t="str" cm="1">
        <f t="array" aca="1" ref="E13" ca="1">IFERROR(INDEX(FRIM!$G$3:$G$1000,
SMALL(IF(FRIM!$Q$3:$Q$1000&lt;&gt;"",
ROW(FRIM!$Q$3:$Q$1000)-ROW(FRIM!$Q$3)+1),
ROWS(A$2:A13))),"")</f>
        <v>W2453 04/11/2025 NAJWA NAFIAH BINTI FAUZI MOHON SEMAKAN BAGI MODUL PENGELUARAN TUNAI - PENYATA PENYESUAIAN BANK - STATUS TUNAI MASUK - SENARAI CEK BELUM DIKREDITKAN. SEMAKAN MENDAPATI SENARAI CEK BELUM DIKREDITKAN TIDAK SAMA DENGAN CEK-CEK BELUM DIKREDITKAN (NOTA 01) DI DALAM LAPORAN PENYATA PENYESUAIAN BANK.</v>
      </c>
      <c r="F13" s="88" t="str" cm="1">
        <f t="array" aca="1" ref="F13" ca="1">IFERROR(INDEX(FRIM!$Q$3:$Q$1000,
SMALL(IF(FRIM!$Q$3:$Q$1000&lt;&gt;"",
ROW(FRIM!$Q$3:$Q$1000)-ROW(FRIM!$Q$3)+1),
ROWS(A$2:A13))),"")</f>
        <v>&gt;60 Days</v>
      </c>
      <c r="H13" s="115">
        <v>12</v>
      </c>
      <c r="I13" s="119" t="str" cm="1">
        <f t="array" aca="1" ref="I13" ca="1">IFERROR(INDEX(MTIB!$E$3:$E$1000,
SMALL(
IF((MTIB!$Q$3:$Q$1000&lt;&gt;"")*(MTIB!$Q$3:$Q$1000&lt;&gt;"Not Due"),
ROW(MTIB!$Q$3:$Q$1000)-ROW(MTIB!$Q$3)+1),
ROWS(A$2:A13))),"")</f>
        <v>MTIB</v>
      </c>
      <c r="J13" s="115" t="str" cm="1">
        <f t="array" aca="1" ref="J13" ca="1">IFERROR(INDEX(MTIB!$B$3:$B$1000,
SMALL(
IF((MTIB!$Q$3:$Q$1000&lt;&gt;"")*(MTIB!$Q$3:$Q$1000&lt;&gt;"Not Due"),
ROW(MTIB!$Q$3:$Q$1000)-ROW(MTIB!$Q$3)+1),
ROWS(A$2:A13))),"")</f>
        <v>T/2026/00354</v>
      </c>
      <c r="K13" s="115" t="str" cm="1">
        <f t="array" aca="1" ref="K13" ca="1">IFERROR(INDEX(MTIB!$D$3:$D$1000,
SMALL(
IF((MTIB!$Q$3:$Q$1000&lt;&gt;"")*(MTIB!$Q$3:$Q$1000&lt;&gt;"Not Due"),
ROW(MTIB!$Q$3:$Q$1000)-ROW(MTIB!$Q$3)+1),
ROWS(A$2:A13))),"")</f>
        <v>MYINVESTMENT</v>
      </c>
      <c r="L13" s="116" t="str" cm="1">
        <f t="array" aca="1" ref="L13" ca="1">IFERROR(INDEX(MTIB!$G$3:$G$1000,
SMALL(
IF((MTIB!$Q$3:$Q$1000&lt;&gt;"")*(MTIB!$Q$3:$Q$1000&lt;&gt;"Not Due"),
ROW(MTIB!$Q$3:$Q$1000)-ROW(MTIB!$Q$3)+1),
ROWS(A$2:A13))),"")</f>
        <v>1. Data di MYINVESTMENT tidak lengkap. 2. Pengguna pos data dua kali. Pengadu: Norhayati Muhamad</v>
      </c>
      <c r="M13" s="88" t="str" cm="1">
        <f t="array" aca="1" ref="M13" ca="1">IFERROR(INDEX(MTIB!$Q$3:$Q$1000,
SMALL(
IF((MTIB!$Q$3:$Q$1000&lt;&gt;"")*(MTIB!$Q$3:$Q$1000&lt;&gt;"Not Due"),
ROW(MTIB!$Q$3:$Q$1000)-ROW(MTIB!$Q$3)+1),
ROWS(A$2:A13))
),"")</f>
        <v>31-60 Days</v>
      </c>
      <c r="O13" s="115">
        <v>12</v>
      </c>
      <c r="P13" s="120" t="str" cm="1">
        <f t="array" aca="1" ref="P13" ca="1">IFERROR(INDEX(MPOB!$E$3:$E$1000,
SMALL(
IF((MPOB!$Q$3:$Q$1000&lt;&gt;"")*(MPOB!$Q$3:$Q$1000&lt;&gt;"Not Due"),
ROW(MPOB!$Q$3:$Q$1000)-ROW(MPOB!$Q$3)+1),
ROWS(A$2:A13))),"")</f>
        <v>MPOB</v>
      </c>
      <c r="Q13" s="115" t="str" cm="1">
        <f t="array" aca="1" ref="Q13" ca="1">IFERROR(INDEX(MPOB!$B$3:$B$1000,
SMALL(
IF((MPOB!$Q$3:$Q$1000&lt;&gt;"")*(MPOB!$Q$3:$Q$1000&lt;&gt;"Not Due"),
ROW(MPOB!$Q$3:$Q$1000)-ROW(MPOB!$Q$3)+1),
ROWS(A$2:A13))),"")</f>
        <v>T/2026/00162</v>
      </c>
      <c r="R13" s="115" t="str" cm="1">
        <f t="array" aca="1" ref="R13" ca="1">IFERROR(INDEX(MPOB!$D$3:$D$1000,
SMALL(
IF((MPOB!$Q$3:$Q$1000&lt;&gt;"")*(MPOB!$Q$3:$Q$1000&lt;&gt;"Not Due"),
ROW(MPOB!$Q$3:$Q$1000)-ROW(MPOB!$Q$3)+1),
ROWS(A$2:A13))),"")</f>
        <v>MyProcurement</v>
      </c>
      <c r="S13" s="116" t="str" cm="1">
        <f t="array" aca="1" ref="S13" ca="1">IFERROR(INDEX(MPOB!$G$3:$G$1000,
SMALL(
IF((MPOB!$Q$3:$Q$1000&lt;&gt;"")*(MPOB!$Q$3:$Q$1000&lt;&gt;"Not Due"),
ROW(MPOB!$Q$3:$Q$1000)-ROW(MPOB!$Q$3)+1),
ROWS(A$2:A13))),"")</f>
        <v>Nama User : AsAlya Date : 28/01/2026 Isu : sy salah terbatalkan Ro ni boleh reverse ke ye? No. Permohonan : R260202</v>
      </c>
      <c r="T13" s="88" t="str" cm="1">
        <f t="array" aca="1" ref="T13" ca="1">IFERROR(INDEX(MPOB!$Q$3:$Q$1000,
SMALL(
IF((MPOB!$Q$3:$Q$1000&lt;&gt;"")*(MPOB!$Q$3:$Q$1000&lt;&gt;"Not Due"),
ROW(MPOB!$Q$3:$Q$1000)-ROW(MPOB!$Q$3)+1),
ROWS(A$2:A13))
),"")</f>
        <v>&gt;60 Days</v>
      </c>
      <c r="V13" s="115">
        <v>12</v>
      </c>
      <c r="W13" s="121" t="str" cm="1">
        <f t="array" aca="1" ref="W13" ca="1">IFERROR(INDEX(LKTN!$E$3:$E$1000,
SMALL(
IF((LKTN!$Q$3:$Q$1000&lt;&gt;"")*(LKTN!$Q$3:$Q$1000&lt;&gt;"Not Due"),
ROW(LKTN!$Q$3:$Q$1000)-ROW(LKTN!$Q$3)+1),
ROWS(A$2:A13))),"")</f>
        <v/>
      </c>
      <c r="X13" s="115" t="str" cm="1">
        <f t="array" aca="1" ref="X13" ca="1">IFERROR(INDEX(LKTN!$B$3:$B$1000,
SMALL(
IF((LKTN!$Q$3:$Q$1000&lt;&gt;"")*(LKTN!$Q$3:$Q$1000&lt;&gt;"Not Due"),
ROW(LKTN!$Q$3:$Q$1000)-ROW(LKTN!$Q$3)+1),
ROWS(A$2:A13))),"")</f>
        <v/>
      </c>
      <c r="Y13" s="115" t="str" cm="1">
        <f t="array" aca="1" ref="Y13" ca="1">IFERROR(INDEX(LKTN!$D$3:$D$1000,
SMALL(
IF((LKTN!$Q$3:$Q$1000&lt;&gt;"")*(LKTN!$Q$3:$Q$1000&lt;&gt;"Not Due"),
ROW(LKTN!$Q$3:$Q$1000)-ROW(LKTN!$Q$3)+1),
ROWS(A$2:A13))),"")</f>
        <v/>
      </c>
      <c r="Z13" s="116" t="str" cm="1">
        <f t="array" aca="1" ref="Z13" ca="1">IFERROR(INDEX(LKTN!$G$3:$G$1000,
SMALL(
IF((LKTN!$Q$3:$Q$1000&lt;&gt;"")*(LKTN!$Q$3:$Q$1000&lt;&gt;"Not Due"),
ROW(LKTN!$Q$3:$Q$1000)-ROW(LKTN!$Q$3)+1),
ROWS(A$2:A13))),"")</f>
        <v/>
      </c>
      <c r="AA13" s="64" t="str" cm="1">
        <f t="array" aca="1" ref="AA13" ca="1">IFERROR(INDEX(LKTN!$Q$3:$Q$1000,
SMALL(
IF((LKTN!$Q$3:$Q$1000&lt;&gt;"")*(LKTN!$Q$3:$Q$1000&lt;&gt;"Not Due"),
ROW(LKTN!$Q$3:$Q$1000)-ROW(LKTN!$Q$3)+1),
ROWS(A$2:A13))
),"")</f>
        <v/>
      </c>
      <c r="AJ13" s="115">
        <v>12</v>
      </c>
      <c r="AK13" s="123" t="str" cm="1">
        <f t="array" aca="1" ref="AK13" ca="1">IFERROR(INDEX(ISN!$E$3:$E$1000,
SMALL(
IF((ISN!$Q$3:$Q$1000&lt;&gt;"")*(ISN!$Q$3:$Q$1000&lt;&gt;"Not Due"),
ROW(ISN!$Q$3:$Q$1000)-ROW(ISN!$Q$3)+1),
ROWS(A$2:A13))),"")</f>
        <v/>
      </c>
      <c r="AL13" s="115" t="str" cm="1">
        <f t="array" aca="1" ref="AL13" ca="1">IFERROR(INDEX(ISN!$B$3:$B$1000,
SMALL(
IF((ISN!$Q$3:$Q$1000&lt;&gt;"")*(ISN!$Q$3:$Q$1000&lt;&gt;"Not Due"),
ROW(ISN!$Q$3:$Q$1000)-ROW(ISN!$Q$3)+1),
ROWS(A$2:A13))),"")</f>
        <v/>
      </c>
      <c r="AM13" s="116" t="str" cm="1">
        <f t="array" aca="1" ref="AM13" ca="1">IFERROR(INDEX(ISN!$D$3:$D$1000,
SMALL(
IF((ISN!$Q$3:$Q$1000&lt;&gt;"")*(ISN!$Q$3:$Q$1000&lt;&gt;"Not Due"),
ROW(ISN!$Q$3:$Q$1000)-ROW(ISN!$Q$3)+1),
ROWS(A$2:A13))),"")</f>
        <v/>
      </c>
      <c r="AN13" s="116" t="str" cm="1">
        <f t="array" aca="1" ref="AN13" ca="1">IFERROR(INDEX(ISN!$G$3:$G$1000,
SMALL(
IF((ISN!$Q$3:$Q$1000&lt;&gt;"")*(ISN!$Q$3:$Q$1000&lt;&gt;"Not Due"),
ROW(ISN!$Q$3:$Q$1000)-ROW(ISN!$Q$3)+1),
ROWS(A$2:A13))),"")</f>
        <v/>
      </c>
      <c r="AO13" s="64" t="str" cm="1">
        <f t="array" aca="1" ref="AO13" ca="1">IFERROR(INDEX(ISN!$Q$3:$Q$1000,
SMALL(
IF((ISN!$Q$3:$Q$1000&lt;&gt;"")*(ISN!$Q$3:$Q$1000&lt;&gt;"Not Due"),
ROW(ISN!$Q$3:$Q$1000)-ROW(ISN!$Q$3)+1),
ROWS(A$2:A13))
),"")</f>
        <v/>
      </c>
      <c r="AQ13" s="115">
        <v>12</v>
      </c>
      <c r="AR13" s="124" t="str" cm="1">
        <f t="array" aca="1" ref="AR13" ca="1">IFERROR(INDEX(MSN!$E$3:$E$1000,
SMALL(
IF((MSN!$Q$3:$Q$1000&lt;&gt;"")*(MSN!$Q$3:$Q$1000&lt;&gt;"Not Due"),
ROW(MSN!$Q$3:$Q$1000)-ROW(MSN!$Q$3)+1),
ROWS(A$2:A13))),"")</f>
        <v/>
      </c>
      <c r="AS13" s="115" t="str" cm="1">
        <f t="array" aca="1" ref="AS13" ca="1">IFERROR(INDEX(MSN!$B$3:$B$1000,
SMALL(
IF((MSN!$Q$3:$Q$1000&lt;&gt;"")*(MSN!$Q$3:$Q$1000&lt;&gt;"Not Due"),
ROW(MSN!$Q$3:$Q$1000)-ROW(MSN!$Q$3)+1),
ROWS(A$2:A13))),"")</f>
        <v/>
      </c>
      <c r="AT13" s="115" t="str" cm="1">
        <f t="array" aca="1" ref="AT13" ca="1">IFERROR(INDEX(MSN!$D$3:$D$1000,
SMALL(
IF((MSN!$Q$3:$Q$1000&lt;&gt;"")*(MSN!$Q$3:$Q$1000&lt;&gt;"Not Due"),
ROW(MSN!$Q$3:$Q$1000)-ROW(MSN!$Q$3)+1),
ROWS(A$2:A13))),"")</f>
        <v/>
      </c>
      <c r="AU13" s="116" t="str" cm="1">
        <f t="array" aca="1" ref="AU13" ca="1">IFERROR(INDEX(MSN!$G$3:$G$1000,
SMALL(
IF((MSN!$Q$3:$Q$1000&lt;&gt;"")*(MSN!$Q$3:$Q$1000&lt;&gt;"Not Due"),
ROW(MSN!$Q$3:$Q$1000)-ROW(MSN!$Q$3)+1),
ROWS(A$2:A13))),"")</f>
        <v/>
      </c>
      <c r="AV13" s="64" t="str" cm="1">
        <f t="array" aca="1" ref="AV13" ca="1">IFERROR(INDEX(MSN!$Q$3:$Q$1000,
SMALL(
IF((MSN!$Q$3:$Q$1000&lt;&gt;"")*(MSN!$Q$3:$Q$1000&lt;&gt;"Not Due"),
ROW(MSN!$Q$3:$Q$1000)-ROW(MSN!$Q$3)+1),
ROWS(A$2:A13))
),"")</f>
        <v/>
      </c>
    </row>
    <row r="14" spans="1:48" ht="93.6" x14ac:dyDescent="0.3">
      <c r="A14" s="115">
        <v>13</v>
      </c>
      <c r="B14" s="118" t="str" cm="1">
        <f t="array" aca="1" ref="B14" ca="1">IFERROR(INDEX(FRIM!$E$3:$E$1000,
SMALL(IF(FRIM!$Q$3:$Q$1000&lt;&gt;"",
ROW(FRIM!$Q$3:$Q$1000)-ROW(FRIM!$Q$3)+1),
ROWS(A$2:A14))),"")</f>
        <v>FRIM</v>
      </c>
      <c r="C14" s="116" t="str" cm="1">
        <f t="array" aca="1" ref="C14" ca="1">IFERROR(INDEX(FRIM!$B$3:$B$1000,
SMALL(IF(FRIM!$Q$3:$Q$1000&lt;&gt;"",
ROW(FRIM!$Q$3:$Q$1000)-ROW(FRIM!$Q$3)+1),
ROWS(A$2:A14))),"")</f>
        <v>T/2026/00108</v>
      </c>
      <c r="D14" s="116" t="str" cm="1">
        <f t="array" aca="1" ref="D14" ca="1">IFERROR(INDEX(FRIM!$D$3:$D$1000,
SMALL(IF(FRIM!$Q$3:$Q$1000&lt;&gt;"",
ROW(FRIM!$Q$3:$Q$1000)-ROW(FRIM!$Q$3)+1),
ROWS(A$2:A14))),"")</f>
        <v>MYPROCUREMENT</v>
      </c>
      <c r="E14" s="116" t="str" cm="1">
        <f t="array" aca="1" ref="E14" ca="1">IFERROR(INDEX(FRIM!$G$3:$G$1000,
SMALL(IF(FRIM!$Q$3:$Q$1000&lt;&gt;"",
ROW(FRIM!$Q$3:$Q$1000)-ROW(FRIM!$Q$3)+1),
ROWS(A$2:A14))),"")</f>
        <v>W2470 04/12/2025 AZMEI B. MARZUKI DARI LUAR SYARIKAT TAK BOLEH MASUKKAN KOD BIDANG. KELUAR ERROR. TAPI SAYA BUAT DI PC SAYA BOLEH KEYIN KOD BIDANG TIADA MASALAH.</v>
      </c>
      <c r="F14" s="88" t="str" cm="1">
        <f t="array" aca="1" ref="F14" ca="1">IFERROR(INDEX(FRIM!$Q$3:$Q$1000,
SMALL(IF(FRIM!$Q$3:$Q$1000&lt;&gt;"",
ROW(FRIM!$Q$3:$Q$1000)-ROW(FRIM!$Q$3)+1),
ROWS(A$2:A14))),"")</f>
        <v>&gt;60 Days</v>
      </c>
      <c r="H14" s="115">
        <v>13</v>
      </c>
      <c r="I14" s="119" t="str" cm="1">
        <f t="array" aca="1" ref="I14" ca="1">IFERROR(INDEX(MTIB!$E$3:$E$1000,
SMALL(
IF((MTIB!$Q$3:$Q$1000&lt;&gt;"")*(MTIB!$Q$3:$Q$1000&lt;&gt;"Not Due"),
ROW(MTIB!$Q$3:$Q$1000)-ROW(MTIB!$Q$3)+1),
ROWS(A$2:A14))),"")</f>
        <v>MTIB</v>
      </c>
      <c r="J14" s="115" t="str" cm="1">
        <f t="array" aca="1" ref="J14" ca="1">IFERROR(INDEX(MTIB!$B$3:$B$1000,
SMALL(
IF((MTIB!$Q$3:$Q$1000&lt;&gt;"")*(MTIB!$Q$3:$Q$1000&lt;&gt;"Not Due"),
ROW(MTIB!$Q$3:$Q$1000)-ROW(MTIB!$Q$3)+1),
ROWS(A$2:A14))),"")</f>
        <v>T/2026/00355</v>
      </c>
      <c r="K14" s="115" t="str" cm="1">
        <f t="array" aca="1" ref="K14" ca="1">IFERROR(INDEX(MTIB!$D$3:$D$1000,
SMALL(
IF((MTIB!$Q$3:$Q$1000&lt;&gt;"")*(MTIB!$Q$3:$Q$1000&lt;&gt;"Not Due"),
ROW(MTIB!$Q$3:$Q$1000)-ROW(MTIB!$Q$3)+1),
ROWS(A$2:A14))),"")</f>
        <v>MYFINANCIAL</v>
      </c>
      <c r="L14" s="116" t="str" cm="1">
        <f t="array" aca="1" ref="L14" ca="1">IFERROR(INDEX(MTIB!$G$3:$G$1000,
SMALL(
IF((MTIB!$Q$3:$Q$1000&lt;&gt;"")*(MTIB!$Q$3:$Q$1000&lt;&gt;"Not Due"),
ROW(MTIB!$Q$3:$Q$1000)-ROW(MTIB!$Q$3)+1),
ROWS(A$2:A14))),"")</f>
        <v>Untuk makluman tuan, dua akaun ini perlu akses kepada MyFinancial Client Nama: Shah Badri Mohd Nor IC: 891214015729 Nama: Nur Adila Badrol Hisham IC: 960414085496 Untuk makluman, akses melalui MySecurity telah dibuat.</v>
      </c>
      <c r="M14" s="88" t="str" cm="1">
        <f t="array" aca="1" ref="M14" ca="1">IFERROR(INDEX(MTIB!$Q$3:$Q$1000,
SMALL(
IF((MTIB!$Q$3:$Q$1000&lt;&gt;"")*(MTIB!$Q$3:$Q$1000&lt;&gt;"Not Due"),
ROW(MTIB!$Q$3:$Q$1000)-ROW(MTIB!$Q$3)+1),
ROWS(A$2:A14))
),"")</f>
        <v>31-60 Days</v>
      </c>
      <c r="O14" s="115">
        <v>13</v>
      </c>
      <c r="P14" s="120" t="str" cm="1">
        <f t="array" aca="1" ref="P14" ca="1">IFERROR(INDEX(MPOB!$E$3:$E$1000,
SMALL(
IF((MPOB!$Q$3:$Q$1000&lt;&gt;"")*(MPOB!$Q$3:$Q$1000&lt;&gt;"Not Due"),
ROW(MPOB!$Q$3:$Q$1000)-ROW(MPOB!$Q$3)+1),
ROWS(A$2:A14))),"")</f>
        <v>MPOB</v>
      </c>
      <c r="Q14" s="115" t="str" cm="1">
        <f t="array" aca="1" ref="Q14" ca="1">IFERROR(INDEX(MPOB!$B$3:$B$1000,
SMALL(
IF((MPOB!$Q$3:$Q$1000&lt;&gt;"")*(MPOB!$Q$3:$Q$1000&lt;&gt;"Not Due"),
ROW(MPOB!$Q$3:$Q$1000)-ROW(MPOB!$Q$3)+1),
ROWS(A$2:A14))),"")</f>
        <v>T/2026/00167</v>
      </c>
      <c r="R14" s="115" t="str" cm="1">
        <f t="array" aca="1" ref="R14" ca="1">IFERROR(INDEX(MPOB!$D$3:$D$1000,
SMALL(
IF((MPOB!$Q$3:$Q$1000&lt;&gt;"")*(MPOB!$Q$3:$Q$1000&lt;&gt;"Not Due"),
ROW(MPOB!$Q$3:$Q$1000)-ROW(MPOB!$Q$3)+1),
ROWS(A$2:A14))),"")</f>
        <v>MyAsset</v>
      </c>
      <c r="S14" s="116" t="str" cm="1">
        <f t="array" aca="1" ref="S14" ca="1">IFERROR(INDEX(MPOB!$G$3:$G$1000,
SMALL(
IF((MPOB!$Q$3:$Q$1000&lt;&gt;"")*(MPOB!$Q$3:$Q$1000&lt;&gt;"Not Due"),
ROW(MPOB!$Q$3:$Q$1000)-ROW(MPOB!$Q$3)+1),
ROWS(A$2:A14))),"")</f>
        <v>Nama User : Myra Date : 29/01/2026 Isu : utk pendaftaran aset 2520211253 sepatutnya link kod A1432203..tapi bile kite print GL AM2601-0079 xappear kod merging aset nya..boleh tlg tgk kn x? klo kata xlink, boleh tlg link kn antara kod A2032203 ke A1432203</v>
      </c>
      <c r="T14" s="88" t="str" cm="1">
        <f t="array" aca="1" ref="T14" ca="1">IFERROR(INDEX(MPOB!$Q$3:$Q$1000,
SMALL(
IF((MPOB!$Q$3:$Q$1000&lt;&gt;"")*(MPOB!$Q$3:$Q$1000&lt;&gt;"Not Due"),
ROW(MPOB!$Q$3:$Q$1000)-ROW(MPOB!$Q$3)+1),
ROWS(A$2:A14))
),"")</f>
        <v>&gt;60 Days</v>
      </c>
      <c r="V14" s="115">
        <v>13</v>
      </c>
      <c r="W14" s="121" t="str" cm="1">
        <f t="array" aca="1" ref="W14" ca="1">IFERROR(INDEX(LKTN!$E$3:$E$1000,
SMALL(
IF((LKTN!$Q$3:$Q$1000&lt;&gt;"")*(LKTN!$Q$3:$Q$1000&lt;&gt;"Not Due"),
ROW(LKTN!$Q$3:$Q$1000)-ROW(LKTN!$Q$3)+1),
ROWS(A$2:A14))),"")</f>
        <v/>
      </c>
      <c r="X14" s="115" t="str" cm="1">
        <f t="array" aca="1" ref="X14" ca="1">IFERROR(INDEX(LKTN!$B$3:$B$1000,
SMALL(
IF((LKTN!$Q$3:$Q$1000&lt;&gt;"")*(LKTN!$Q$3:$Q$1000&lt;&gt;"Not Due"),
ROW(LKTN!$Q$3:$Q$1000)-ROW(LKTN!$Q$3)+1),
ROWS(A$2:A14))),"")</f>
        <v/>
      </c>
      <c r="Y14" s="115" t="str" cm="1">
        <f t="array" aca="1" ref="Y14" ca="1">IFERROR(INDEX(LKTN!$D$3:$D$1000,
SMALL(
IF((LKTN!$Q$3:$Q$1000&lt;&gt;"")*(LKTN!$Q$3:$Q$1000&lt;&gt;"Not Due"),
ROW(LKTN!$Q$3:$Q$1000)-ROW(LKTN!$Q$3)+1),
ROWS(A$2:A14))),"")</f>
        <v/>
      </c>
      <c r="Z14" s="116" t="str" cm="1">
        <f t="array" aca="1" ref="Z14" ca="1">IFERROR(INDEX(LKTN!$G$3:$G$1000,
SMALL(
IF((LKTN!$Q$3:$Q$1000&lt;&gt;"")*(LKTN!$Q$3:$Q$1000&lt;&gt;"Not Due"),
ROW(LKTN!$Q$3:$Q$1000)-ROW(LKTN!$Q$3)+1),
ROWS(A$2:A14))),"")</f>
        <v/>
      </c>
      <c r="AA14" s="64" t="str" cm="1">
        <f t="array" aca="1" ref="AA14" ca="1">IFERROR(INDEX(LKTN!$Q$3:$Q$1000,
SMALL(
IF((LKTN!$Q$3:$Q$1000&lt;&gt;"")*(LKTN!$Q$3:$Q$1000&lt;&gt;"Not Due"),
ROW(LKTN!$Q$3:$Q$1000)-ROW(LKTN!$Q$3)+1),
ROWS(A$2:A14))
),"")</f>
        <v/>
      </c>
      <c r="AJ14" s="115">
        <v>13</v>
      </c>
      <c r="AK14" s="123" t="str" cm="1">
        <f t="array" aca="1" ref="AK14" ca="1">IFERROR(INDEX(ISN!$E$3:$E$1000,
SMALL(
IF((ISN!$Q$3:$Q$1000&lt;&gt;"")*(ISN!$Q$3:$Q$1000&lt;&gt;"Not Due"),
ROW(ISN!$Q$3:$Q$1000)-ROW(ISN!$Q$3)+1),
ROWS(A$2:A14))),"")</f>
        <v/>
      </c>
      <c r="AL14" s="115" t="str" cm="1">
        <f t="array" aca="1" ref="AL14" ca="1">IFERROR(INDEX(ISN!$B$3:$B$1000,
SMALL(
IF((ISN!$Q$3:$Q$1000&lt;&gt;"")*(ISN!$Q$3:$Q$1000&lt;&gt;"Not Due"),
ROW(ISN!$Q$3:$Q$1000)-ROW(ISN!$Q$3)+1),
ROWS(A$2:A14))),"")</f>
        <v/>
      </c>
      <c r="AM14" s="116" t="str" cm="1">
        <f t="array" aca="1" ref="AM14" ca="1">IFERROR(INDEX(ISN!$D$3:$D$1000,
SMALL(
IF((ISN!$Q$3:$Q$1000&lt;&gt;"")*(ISN!$Q$3:$Q$1000&lt;&gt;"Not Due"),
ROW(ISN!$Q$3:$Q$1000)-ROW(ISN!$Q$3)+1),
ROWS(A$2:A14))),"")</f>
        <v/>
      </c>
      <c r="AN14" s="116" t="str" cm="1">
        <f t="array" aca="1" ref="AN14" ca="1">IFERROR(INDEX(ISN!$G$3:$G$1000,
SMALL(
IF((ISN!$Q$3:$Q$1000&lt;&gt;"")*(ISN!$Q$3:$Q$1000&lt;&gt;"Not Due"),
ROW(ISN!$Q$3:$Q$1000)-ROW(ISN!$Q$3)+1),
ROWS(A$2:A14))),"")</f>
        <v/>
      </c>
      <c r="AO14" s="64" t="str" cm="1">
        <f t="array" aca="1" ref="AO14" ca="1">IFERROR(INDEX(ISN!$Q$3:$Q$1000,
SMALL(
IF((ISN!$Q$3:$Q$1000&lt;&gt;"")*(ISN!$Q$3:$Q$1000&lt;&gt;"Not Due"),
ROW(ISN!$Q$3:$Q$1000)-ROW(ISN!$Q$3)+1),
ROWS(A$2:A14))
),"")</f>
        <v/>
      </c>
      <c r="AQ14" s="115">
        <v>13</v>
      </c>
      <c r="AR14" s="124" t="str" cm="1">
        <f t="array" aca="1" ref="AR14" ca="1">IFERROR(INDEX(MSN!$E$3:$E$1000,
SMALL(
IF((MSN!$Q$3:$Q$1000&lt;&gt;"")*(MSN!$Q$3:$Q$1000&lt;&gt;"Not Due"),
ROW(MSN!$Q$3:$Q$1000)-ROW(MSN!$Q$3)+1),
ROWS(A$2:A14))),"")</f>
        <v/>
      </c>
      <c r="AS14" s="115" t="str" cm="1">
        <f t="array" aca="1" ref="AS14" ca="1">IFERROR(INDEX(MSN!$B$3:$B$1000,
SMALL(
IF((MSN!$Q$3:$Q$1000&lt;&gt;"")*(MSN!$Q$3:$Q$1000&lt;&gt;"Not Due"),
ROW(MSN!$Q$3:$Q$1000)-ROW(MSN!$Q$3)+1),
ROWS(A$2:A14))),"")</f>
        <v/>
      </c>
      <c r="AT14" s="115" t="str" cm="1">
        <f t="array" aca="1" ref="AT14" ca="1">IFERROR(INDEX(MSN!$D$3:$D$1000,
SMALL(
IF((MSN!$Q$3:$Q$1000&lt;&gt;"")*(MSN!$Q$3:$Q$1000&lt;&gt;"Not Due"),
ROW(MSN!$Q$3:$Q$1000)-ROW(MSN!$Q$3)+1),
ROWS(A$2:A14))),"")</f>
        <v/>
      </c>
      <c r="AU14" s="116" t="str" cm="1">
        <f t="array" aca="1" ref="AU14" ca="1">IFERROR(INDEX(MSN!$G$3:$G$1000,
SMALL(
IF((MSN!$Q$3:$Q$1000&lt;&gt;"")*(MSN!$Q$3:$Q$1000&lt;&gt;"Not Due"),
ROW(MSN!$Q$3:$Q$1000)-ROW(MSN!$Q$3)+1),
ROWS(A$2:A14))),"")</f>
        <v/>
      </c>
      <c r="AV14" s="64" t="str" cm="1">
        <f t="array" aca="1" ref="AV14" ca="1">IFERROR(INDEX(MSN!$Q$3:$Q$1000,
SMALL(
IF((MSN!$Q$3:$Q$1000&lt;&gt;"")*(MSN!$Q$3:$Q$1000&lt;&gt;"Not Due"),
ROW(MSN!$Q$3:$Q$1000)-ROW(MSN!$Q$3)+1),
ROWS(A$2:A14))
),"")</f>
        <v/>
      </c>
    </row>
    <row r="15" spans="1:48" ht="93.6" x14ac:dyDescent="0.3">
      <c r="A15" s="115">
        <v>14</v>
      </c>
      <c r="B15" s="118" t="str" cm="1">
        <f t="array" aca="1" ref="B15" ca="1">IFERROR(INDEX(FRIM!$E$3:$E$1000,
SMALL(IF(FRIM!$Q$3:$Q$1000&lt;&gt;"",
ROW(FRIM!$Q$3:$Q$1000)-ROW(FRIM!$Q$3)+1),
ROWS(A$2:A15))),"")</f>
        <v>FRIM</v>
      </c>
      <c r="C15" s="116" t="str" cm="1">
        <f t="array" aca="1" ref="C15" ca="1">IFERROR(INDEX(FRIM!$B$3:$B$1000,
SMALL(IF(FRIM!$Q$3:$Q$1000&lt;&gt;"",
ROW(FRIM!$Q$3:$Q$1000)-ROW(FRIM!$Q$3)+1),
ROWS(A$2:A15))),"")</f>
        <v>T/2026/00112</v>
      </c>
      <c r="D15" s="116" t="str" cm="1">
        <f t="array" aca="1" ref="D15" ca="1">IFERROR(INDEX(FRIM!$D$3:$D$1000,
SMALL(IF(FRIM!$Q$3:$Q$1000&lt;&gt;"",
ROW(FRIM!$Q$3:$Q$1000)-ROW(FRIM!$Q$3)+1),
ROWS(A$2:A15))),"")</f>
        <v>MYPROCUREMENT</v>
      </c>
      <c r="E15" s="116" t="str" cm="1">
        <f t="array" aca="1" ref="E15" ca="1">IFERROR(INDEX(FRIM!$G$3:$G$1000,
SMALL(IF(FRIM!$Q$3:$Q$1000&lt;&gt;"",
ROW(FRIM!$Q$3:$Q$1000)-ROW(FRIM!$Q$3)+1),
ROWS(A$2:A15))),"")</f>
        <v>W2477 17/12/2025 AZMEI B. MARZUKI AZTEC SINAR SDN BHD MENGADU. MASALAH TIADA BUTANG UPLOAD SELEPAS KAMI BERI ID &amp; PWORD. SO SYARIKAT TIDAK DAPAT BUAT RENEWAL DI DALAM SISTEM. MOHON TINDAKAN SEGERA SEBAB PROSES PEMBELIAN SEBUTHARGA TERGENDALA.</v>
      </c>
      <c r="F15" s="88" t="str" cm="1">
        <f t="array" aca="1" ref="F15" ca="1">IFERROR(INDEX(FRIM!$Q$3:$Q$1000,
SMALL(IF(FRIM!$Q$3:$Q$1000&lt;&gt;"",
ROW(FRIM!$Q$3:$Q$1000)-ROW(FRIM!$Q$3)+1),
ROWS(A$2:A15))),"")</f>
        <v>&gt;60 Days</v>
      </c>
      <c r="H15" s="115">
        <v>14</v>
      </c>
      <c r="I15" s="119" t="str" cm="1">
        <f t="array" aca="1" ref="I15" ca="1">IFERROR(INDEX(MTIB!$E$3:$E$1000,
SMALL(
IF((MTIB!$Q$3:$Q$1000&lt;&gt;"")*(MTIB!$Q$3:$Q$1000&lt;&gt;"Not Due"),
ROW(MTIB!$Q$3:$Q$1000)-ROW(MTIB!$Q$3)+1),
ROWS(A$2:A15))),"")</f>
        <v>MTIB</v>
      </c>
      <c r="J15" s="115" t="str" cm="1">
        <f t="array" aca="1" ref="J15" ca="1">IFERROR(INDEX(MTIB!$B$3:$B$1000,
SMALL(
IF((MTIB!$Q$3:$Q$1000&lt;&gt;"")*(MTIB!$Q$3:$Q$1000&lt;&gt;"Not Due"),
ROW(MTIB!$Q$3:$Q$1000)-ROW(MTIB!$Q$3)+1),
ROWS(A$2:A15))),"")</f>
        <v>T/2026/00445</v>
      </c>
      <c r="K15" s="115" t="str" cm="1">
        <f t="array" aca="1" ref="K15" ca="1">IFERROR(INDEX(MTIB!$D$3:$D$1000,
SMALL(
IF((MTIB!$Q$3:$Q$1000&lt;&gt;"")*(MTIB!$Q$3:$Q$1000&lt;&gt;"Not Due"),
ROW(MTIB!$Q$3:$Q$1000)-ROW(MTIB!$Q$3)+1),
ROWS(A$2:A15))),"")</f>
        <v>MYFINANCIAL</v>
      </c>
      <c r="L15" s="116" t="str" cm="1">
        <f t="array" aca="1" ref="L15" ca="1">IFERROR(INDEX(MTIB!$G$3:$G$1000,
SMALL(
IF((MTIB!$Q$3:$Q$1000&lt;&gt;"")*(MTIB!$Q$3:$Q$1000&lt;&gt;"Not Due"),
ROW(MTIB!$Q$3:$Q$1000)-ROW(MTIB!$Q$3)+1),
ROWS(A$2:A15))),"")</f>
        <v>Dah banyak kali key-in dan tak boleh nak SIMPAN. Bila click SIMPAN, keluar error "Tambah tidak berjaya". Untuk makluman, bajet mencukupi.</v>
      </c>
      <c r="M15" s="88" t="str" cm="1">
        <f t="array" aca="1" ref="M15" ca="1">IFERROR(INDEX(MTIB!$Q$3:$Q$1000,
SMALL(
IF((MTIB!$Q$3:$Q$1000&lt;&gt;"")*(MTIB!$Q$3:$Q$1000&lt;&gt;"Not Due"),
ROW(MTIB!$Q$3:$Q$1000)-ROW(MTIB!$Q$3)+1),
ROWS(A$2:A15))
),"")</f>
        <v>1-30 Days</v>
      </c>
      <c r="O15" s="115">
        <v>14</v>
      </c>
      <c r="P15" s="120" t="str" cm="1">
        <f t="array" aca="1" ref="P15" ca="1">IFERROR(INDEX(MPOB!$E$3:$E$1000,
SMALL(
IF((MPOB!$Q$3:$Q$1000&lt;&gt;"")*(MPOB!$Q$3:$Q$1000&lt;&gt;"Not Due"),
ROW(MPOB!$Q$3:$Q$1000)-ROW(MPOB!$Q$3)+1),
ROWS(A$2:A15))),"")</f>
        <v>MPOB</v>
      </c>
      <c r="Q15" s="115" t="str" cm="1">
        <f t="array" aca="1" ref="Q15" ca="1">IFERROR(INDEX(MPOB!$B$3:$B$1000,
SMALL(
IF((MPOB!$Q$3:$Q$1000&lt;&gt;"")*(MPOB!$Q$3:$Q$1000&lt;&gt;"Not Due"),
ROW(MPOB!$Q$3:$Q$1000)-ROW(MPOB!$Q$3)+1),
ROWS(A$2:A15))),"")</f>
        <v>T/2026/00168</v>
      </c>
      <c r="R15" s="115" t="str" cm="1">
        <f t="array" aca="1" ref="R15" ca="1">IFERROR(INDEX(MPOB!$D$3:$D$1000,
SMALL(
IF((MPOB!$Q$3:$Q$1000&lt;&gt;"")*(MPOB!$Q$3:$Q$1000&lt;&gt;"Not Due"),
ROW(MPOB!$Q$3:$Q$1000)-ROW(MPOB!$Q$3)+1),
ROWS(A$2:A15))),"")</f>
        <v>MyFinancial</v>
      </c>
      <c r="S15" s="116" t="str" cm="1">
        <f t="array" aca="1" ref="S15" ca="1">IFERROR(INDEX(MPOB!$G$3:$G$1000,
SMALL(
IF((MPOB!$Q$3:$Q$1000&lt;&gt;"")*(MPOB!$Q$3:$Q$1000&lt;&gt;"Not Due"),
ROW(MPOB!$Q$3:$Q$1000)-ROW(MPOB!$Q$3)+1),
ROWS(A$2:A15))),"")</f>
        <v>Nama User : Liyana Date : 30/01/2026 Isu : NO BIL X APPEAR SEMASA BUAT CREDIT NOTE: BILFMDD/1224/01703, BILFMDD/1224/01707, BILFMDD/0624/00283, BILFMDD/0824/002787, BILFMDD/0624/00298, BILFMDD/1124/01470</v>
      </c>
      <c r="T15" s="88" t="str" cm="1">
        <f t="array" aca="1" ref="T15" ca="1">IFERROR(INDEX(MPOB!$Q$3:$Q$1000,
SMALL(
IF((MPOB!$Q$3:$Q$1000&lt;&gt;"")*(MPOB!$Q$3:$Q$1000&lt;&gt;"Not Due"),
ROW(MPOB!$Q$3:$Q$1000)-ROW(MPOB!$Q$3)+1),
ROWS(A$2:A15))
),"")</f>
        <v>&gt;60 Days</v>
      </c>
      <c r="V15" s="115">
        <v>14</v>
      </c>
      <c r="W15" s="121" t="str" cm="1">
        <f t="array" aca="1" ref="W15" ca="1">IFERROR(INDEX(LKTN!$E$3:$E$1000,
SMALL(
IF((LKTN!$Q$3:$Q$1000&lt;&gt;"")*(LKTN!$Q$3:$Q$1000&lt;&gt;"Not Due"),
ROW(LKTN!$Q$3:$Q$1000)-ROW(LKTN!$Q$3)+1),
ROWS(A$2:A15))),"")</f>
        <v/>
      </c>
      <c r="X15" s="115" t="str" cm="1">
        <f t="array" aca="1" ref="X15" ca="1">IFERROR(INDEX(LKTN!$B$3:$B$1000,
SMALL(
IF((LKTN!$Q$3:$Q$1000&lt;&gt;"")*(LKTN!$Q$3:$Q$1000&lt;&gt;"Not Due"),
ROW(LKTN!$Q$3:$Q$1000)-ROW(LKTN!$Q$3)+1),
ROWS(A$2:A15))),"")</f>
        <v/>
      </c>
      <c r="Y15" s="115" t="str" cm="1">
        <f t="array" aca="1" ref="Y15" ca="1">IFERROR(INDEX(LKTN!$D$3:$D$1000,
SMALL(
IF((LKTN!$Q$3:$Q$1000&lt;&gt;"")*(LKTN!$Q$3:$Q$1000&lt;&gt;"Not Due"),
ROW(LKTN!$Q$3:$Q$1000)-ROW(LKTN!$Q$3)+1),
ROWS(A$2:A15))),"")</f>
        <v/>
      </c>
      <c r="Z15" s="116" t="str" cm="1">
        <f t="array" aca="1" ref="Z15" ca="1">IFERROR(INDEX(LKTN!$G$3:$G$1000,
SMALL(
IF((LKTN!$Q$3:$Q$1000&lt;&gt;"")*(LKTN!$Q$3:$Q$1000&lt;&gt;"Not Due"),
ROW(LKTN!$Q$3:$Q$1000)-ROW(LKTN!$Q$3)+1),
ROWS(A$2:A15))),"")</f>
        <v/>
      </c>
      <c r="AA15" s="64" t="str" cm="1">
        <f t="array" aca="1" ref="AA15" ca="1">IFERROR(INDEX(LKTN!$Q$3:$Q$1000,
SMALL(
IF((LKTN!$Q$3:$Q$1000&lt;&gt;"")*(LKTN!$Q$3:$Q$1000&lt;&gt;"Not Due"),
ROW(LKTN!$Q$3:$Q$1000)-ROW(LKTN!$Q$3)+1),
ROWS(A$2:A15))
),"")</f>
        <v/>
      </c>
      <c r="AJ15" s="115">
        <v>14</v>
      </c>
      <c r="AK15" s="123" t="str" cm="1">
        <f t="array" aca="1" ref="AK15" ca="1">IFERROR(INDEX(ISN!$E$3:$E$1000,
SMALL(
IF((ISN!$Q$3:$Q$1000&lt;&gt;"")*(ISN!$Q$3:$Q$1000&lt;&gt;"Not Due"),
ROW(ISN!$Q$3:$Q$1000)-ROW(ISN!$Q$3)+1),
ROWS(A$2:A15))),"")</f>
        <v/>
      </c>
      <c r="AL15" s="115" t="str" cm="1">
        <f t="array" aca="1" ref="AL15" ca="1">IFERROR(INDEX(ISN!$B$3:$B$1000,
SMALL(
IF((ISN!$Q$3:$Q$1000&lt;&gt;"")*(ISN!$Q$3:$Q$1000&lt;&gt;"Not Due"),
ROW(ISN!$Q$3:$Q$1000)-ROW(ISN!$Q$3)+1),
ROWS(A$2:A15))),"")</f>
        <v/>
      </c>
      <c r="AM15" s="116" t="str" cm="1">
        <f t="array" aca="1" ref="AM15" ca="1">IFERROR(INDEX(ISN!$D$3:$D$1000,
SMALL(
IF((ISN!$Q$3:$Q$1000&lt;&gt;"")*(ISN!$Q$3:$Q$1000&lt;&gt;"Not Due"),
ROW(ISN!$Q$3:$Q$1000)-ROW(ISN!$Q$3)+1),
ROWS(A$2:A15))),"")</f>
        <v/>
      </c>
      <c r="AN15" s="116" t="str" cm="1">
        <f t="array" aca="1" ref="AN15" ca="1">IFERROR(INDEX(ISN!$G$3:$G$1000,
SMALL(
IF((ISN!$Q$3:$Q$1000&lt;&gt;"")*(ISN!$Q$3:$Q$1000&lt;&gt;"Not Due"),
ROW(ISN!$Q$3:$Q$1000)-ROW(ISN!$Q$3)+1),
ROWS(A$2:A15))),"")</f>
        <v/>
      </c>
      <c r="AO15" s="64" t="str" cm="1">
        <f t="array" aca="1" ref="AO15" ca="1">IFERROR(INDEX(ISN!$Q$3:$Q$1000,
SMALL(
IF((ISN!$Q$3:$Q$1000&lt;&gt;"")*(ISN!$Q$3:$Q$1000&lt;&gt;"Not Due"),
ROW(ISN!$Q$3:$Q$1000)-ROW(ISN!$Q$3)+1),
ROWS(A$2:A15))
),"")</f>
        <v/>
      </c>
      <c r="AQ15" s="115">
        <v>14</v>
      </c>
      <c r="AR15" s="124" t="str" cm="1">
        <f t="array" aca="1" ref="AR15" ca="1">IFERROR(INDEX(MSN!$E$3:$E$1000,
SMALL(
IF((MSN!$Q$3:$Q$1000&lt;&gt;"")*(MSN!$Q$3:$Q$1000&lt;&gt;"Not Due"),
ROW(MSN!$Q$3:$Q$1000)-ROW(MSN!$Q$3)+1),
ROWS(A$2:A15))),"")</f>
        <v/>
      </c>
      <c r="AS15" s="115" t="str" cm="1">
        <f t="array" aca="1" ref="AS15" ca="1">IFERROR(INDEX(MSN!$B$3:$B$1000,
SMALL(
IF((MSN!$Q$3:$Q$1000&lt;&gt;"")*(MSN!$Q$3:$Q$1000&lt;&gt;"Not Due"),
ROW(MSN!$Q$3:$Q$1000)-ROW(MSN!$Q$3)+1),
ROWS(A$2:A15))),"")</f>
        <v/>
      </c>
      <c r="AT15" s="115" t="str" cm="1">
        <f t="array" aca="1" ref="AT15" ca="1">IFERROR(INDEX(MSN!$D$3:$D$1000,
SMALL(
IF((MSN!$Q$3:$Q$1000&lt;&gt;"")*(MSN!$Q$3:$Q$1000&lt;&gt;"Not Due"),
ROW(MSN!$Q$3:$Q$1000)-ROW(MSN!$Q$3)+1),
ROWS(A$2:A15))),"")</f>
        <v/>
      </c>
      <c r="AU15" s="116" t="str" cm="1">
        <f t="array" aca="1" ref="AU15" ca="1">IFERROR(INDEX(MSN!$G$3:$G$1000,
SMALL(
IF((MSN!$Q$3:$Q$1000&lt;&gt;"")*(MSN!$Q$3:$Q$1000&lt;&gt;"Not Due"),
ROW(MSN!$Q$3:$Q$1000)-ROW(MSN!$Q$3)+1),
ROWS(A$2:A15))),"")</f>
        <v/>
      </c>
      <c r="AV15" s="64" t="str" cm="1">
        <f t="array" aca="1" ref="AV15" ca="1">IFERROR(INDEX(MSN!$Q$3:$Q$1000,
SMALL(
IF((MSN!$Q$3:$Q$1000&lt;&gt;"")*(MSN!$Q$3:$Q$1000&lt;&gt;"Not Due"),
ROW(MSN!$Q$3:$Q$1000)-ROW(MSN!$Q$3)+1),
ROWS(A$2:A15))
),"")</f>
        <v/>
      </c>
    </row>
    <row r="16" spans="1:48" ht="124.8" x14ac:dyDescent="0.3">
      <c r="A16" s="115">
        <v>15</v>
      </c>
      <c r="B16" s="118" t="str" cm="1">
        <f t="array" aca="1" ref="B16" ca="1">IFERROR(INDEX(FRIM!$E$3:$E$1000,
SMALL(IF(FRIM!$Q$3:$Q$1000&lt;&gt;"",
ROW(FRIM!$Q$3:$Q$1000)-ROW(FRIM!$Q$3)+1),
ROWS(A$2:A16))),"")</f>
        <v>FRIM</v>
      </c>
      <c r="C16" s="116" t="str" cm="1">
        <f t="array" aca="1" ref="C16" ca="1">IFERROR(INDEX(FRIM!$B$3:$B$1000,
SMALL(IF(FRIM!$Q$3:$Q$1000&lt;&gt;"",
ROW(FRIM!$Q$3:$Q$1000)-ROW(FRIM!$Q$3)+1),
ROWS(A$2:A16))),"")</f>
        <v>T/2026/00115</v>
      </c>
      <c r="D16" s="116" t="str" cm="1">
        <f t="array" aca="1" ref="D16" ca="1">IFERROR(INDEX(FRIM!$D$3:$D$1000,
SMALL(IF(FRIM!$Q$3:$Q$1000&lt;&gt;"",
ROW(FRIM!$Q$3:$Q$1000)-ROW(FRIM!$Q$3)+1),
ROWS(A$2:A16))),"")</f>
        <v>MYFINANCIAL CLIENT</v>
      </c>
      <c r="E16" s="116" t="str" cm="1">
        <f t="array" aca="1" ref="E16" ca="1">IFERROR(INDEX(FRIM!$G$3:$G$1000,
SMALL(IF(FRIM!$Q$3:$Q$1000&lt;&gt;"",
ROW(FRIM!$Q$3:$Q$1000)-ROW(FRIM!$Q$3)+1),
ROWS(A$2:A16))),"")</f>
        <v>W2480 29/12/2025 NOR AFIZAH BT. ARSHAD file batch dijana hanya dalam bentuk text document sedangkan mengikut keperluan perlu ada gpg file bagi tujuan upload dalam sistem cimb-bizchannel. perkara ini berlaku pada 8.6.2021 (frimeft210604227) sehingga kini dan maklumbalas terkini oleh En. Helmi pada Mesyuarat Petugas SAGA pada 23.12.2025 akan diselesaikan segera.</v>
      </c>
      <c r="F16" s="88" t="str" cm="1">
        <f t="array" aca="1" ref="F16" ca="1">IFERROR(INDEX(FRIM!$Q$3:$Q$1000,
SMALL(IF(FRIM!$Q$3:$Q$1000&lt;&gt;"",
ROW(FRIM!$Q$3:$Q$1000)-ROW(FRIM!$Q$3)+1),
ROWS(A$2:A16))),"")</f>
        <v>&gt;60 Days</v>
      </c>
      <c r="H16" s="115">
        <v>15</v>
      </c>
      <c r="I16" s="119" t="str" cm="1">
        <f t="array" aca="1" ref="I16" ca="1">IFERROR(INDEX(MTIB!$E$3:$E$1000,
SMALL(
IF((MTIB!$Q$3:$Q$1000&lt;&gt;"")*(MTIB!$Q$3:$Q$1000&lt;&gt;"Not Due"),
ROW(MTIB!$Q$3:$Q$1000)-ROW(MTIB!$Q$3)+1),
ROWS(A$2:A16))),"")</f>
        <v>MTIB</v>
      </c>
      <c r="J16" s="115" t="str" cm="1">
        <f t="array" aca="1" ref="J16" ca="1">IFERROR(INDEX(MTIB!$B$3:$B$1000,
SMALL(
IF((MTIB!$Q$3:$Q$1000&lt;&gt;"")*(MTIB!$Q$3:$Q$1000&lt;&gt;"Not Due"),
ROW(MTIB!$Q$3:$Q$1000)-ROW(MTIB!$Q$3)+1),
ROWS(A$2:A16))),"")</f>
        <v>T/2026/00451</v>
      </c>
      <c r="K16" s="115" t="str" cm="1">
        <f t="array" aca="1" ref="K16" ca="1">IFERROR(INDEX(MTIB!$D$3:$D$1000,
SMALL(
IF((MTIB!$Q$3:$Q$1000&lt;&gt;"")*(MTIB!$Q$3:$Q$1000&lt;&gt;"Not Due"),
ROW(MTIB!$Q$3:$Q$1000)-ROW(MTIB!$Q$3)+1),
ROWS(A$2:A16))),"")</f>
        <v>MYFINANCIAL</v>
      </c>
      <c r="L16" s="116" t="str" cm="1">
        <f t="array" aca="1" ref="L16" ca="1">IFERROR(INDEX(MTIB!$G$3:$G$1000,
SMALL(
IF((MTIB!$Q$3:$Q$1000&lt;&gt;"")*(MTIB!$Q$3:$Q$1000&lt;&gt;"Not Due"),
ROW(MTIB!$Q$3:$Q$1000)-ROW(MTIB!$Q$3)+1),
ROWS(A$2:A16))),"")</f>
        <v>Untuk makluman tuan, dua akaun telah di-create namun terdapat error seperti lampiran. Senarai nama pengguna juga tidak terpapar pada Security Manager for MyFinancial. Akses juga telah diberi melalui MySecurity. Nama: En. Zulhelmi bin Mohd Ali (Wilayah Tengah) Pn. Mimi Adrina binti Nor Hazazi (Wilayah Tengah)</v>
      </c>
      <c r="M16" s="88" t="str" cm="1">
        <f t="array" aca="1" ref="M16" ca="1">IFERROR(INDEX(MTIB!$Q$3:$Q$1000,
SMALL(
IF((MTIB!$Q$3:$Q$1000&lt;&gt;"")*(MTIB!$Q$3:$Q$1000&lt;&gt;"Not Due"),
ROW(MTIB!$Q$3:$Q$1000)-ROW(MTIB!$Q$3)+1),
ROWS(A$2:A16))
),"")</f>
        <v>1-30 Days</v>
      </c>
      <c r="O16" s="115">
        <v>15</v>
      </c>
      <c r="P16" s="120" t="str" cm="1">
        <f t="array" aca="1" ref="P16" ca="1">IFERROR(INDEX(MPOB!$E$3:$E$1000,
SMALL(
IF((MPOB!$Q$3:$Q$1000&lt;&gt;"")*(MPOB!$Q$3:$Q$1000&lt;&gt;"Not Due"),
ROW(MPOB!$Q$3:$Q$1000)-ROW(MPOB!$Q$3)+1),
ROWS(A$2:A16))),"")</f>
        <v>MPOB</v>
      </c>
      <c r="Q16" s="115" t="str" cm="1">
        <f t="array" aca="1" ref="Q16" ca="1">IFERROR(INDEX(MPOB!$B$3:$B$1000,
SMALL(
IF((MPOB!$Q$3:$Q$1000&lt;&gt;"")*(MPOB!$Q$3:$Q$1000&lt;&gt;"Not Due"),
ROW(MPOB!$Q$3:$Q$1000)-ROW(MPOB!$Q$3)+1),
ROWS(A$2:A16))),"")</f>
        <v>T/2026/00177</v>
      </c>
      <c r="R16" s="115" t="str" cm="1">
        <f t="array" aca="1" ref="R16" ca="1">IFERROR(INDEX(MPOB!$D$3:$D$1000,
SMALL(
IF((MPOB!$Q$3:$Q$1000&lt;&gt;"")*(MPOB!$Q$3:$Q$1000&lt;&gt;"Not Due"),
ROW(MPOB!$Q$3:$Q$1000)-ROW(MPOB!$Q$3)+1),
ROWS(A$2:A16))),"")</f>
        <v>MyFinancial</v>
      </c>
      <c r="S16" s="116" t="str" cm="1">
        <f t="array" aca="1" ref="S16" ca="1">IFERROR(INDEX(MPOB!$G$3:$G$1000,
SMALL(
IF((MPOB!$Q$3:$Q$1000&lt;&gt;"")*(MPOB!$Q$3:$Q$1000&lt;&gt;"Not Due"),
ROW(MPOB!$Q$3:$Q$1000)-ROW(MPOB!$Q$3)+1),
ROWS(A$2:A16))),"")</f>
        <v>Nama User : Norlizah Date : 4/2/2026 Isu : bila klik cetak..kenapa resit kosong👆</v>
      </c>
      <c r="T16" s="88" t="str" cm="1">
        <f t="array" aca="1" ref="T16" ca="1">IFERROR(INDEX(MPOB!$Q$3:$Q$1000,
SMALL(
IF((MPOB!$Q$3:$Q$1000&lt;&gt;"")*(MPOB!$Q$3:$Q$1000&lt;&gt;"Not Due"),
ROW(MPOB!$Q$3:$Q$1000)-ROW(MPOB!$Q$3)+1),
ROWS(A$2:A16))
),"")</f>
        <v>&gt;60 Days</v>
      </c>
      <c r="V16" s="115">
        <v>15</v>
      </c>
      <c r="W16" s="121" t="str" cm="1">
        <f t="array" aca="1" ref="W16" ca="1">IFERROR(INDEX(LKTN!$E$3:$E$1000,
SMALL(
IF((LKTN!$Q$3:$Q$1000&lt;&gt;"")*(LKTN!$Q$3:$Q$1000&lt;&gt;"Not Due"),
ROW(LKTN!$Q$3:$Q$1000)-ROW(LKTN!$Q$3)+1),
ROWS(A$2:A16))),"")</f>
        <v/>
      </c>
      <c r="X16" s="115" t="str" cm="1">
        <f t="array" aca="1" ref="X16" ca="1">IFERROR(INDEX(LKTN!$B$3:$B$1000,
SMALL(
IF((LKTN!$Q$3:$Q$1000&lt;&gt;"")*(LKTN!$Q$3:$Q$1000&lt;&gt;"Not Due"),
ROW(LKTN!$Q$3:$Q$1000)-ROW(LKTN!$Q$3)+1),
ROWS(A$2:A16))),"")</f>
        <v/>
      </c>
      <c r="Y16" s="115" t="str" cm="1">
        <f t="array" aca="1" ref="Y16" ca="1">IFERROR(INDEX(LKTN!$D$3:$D$1000,
SMALL(
IF((LKTN!$Q$3:$Q$1000&lt;&gt;"")*(LKTN!$Q$3:$Q$1000&lt;&gt;"Not Due"),
ROW(LKTN!$Q$3:$Q$1000)-ROW(LKTN!$Q$3)+1),
ROWS(A$2:A16))),"")</f>
        <v/>
      </c>
      <c r="Z16" s="116" t="str" cm="1">
        <f t="array" aca="1" ref="Z16" ca="1">IFERROR(INDEX(LKTN!$G$3:$G$1000,
SMALL(
IF((LKTN!$Q$3:$Q$1000&lt;&gt;"")*(LKTN!$Q$3:$Q$1000&lt;&gt;"Not Due"),
ROW(LKTN!$Q$3:$Q$1000)-ROW(LKTN!$Q$3)+1),
ROWS(A$2:A16))),"")</f>
        <v/>
      </c>
      <c r="AA16" s="64" t="str" cm="1">
        <f t="array" aca="1" ref="AA16" ca="1">IFERROR(INDEX(LKTN!$Q$3:$Q$1000,
SMALL(
IF((LKTN!$Q$3:$Q$1000&lt;&gt;"")*(LKTN!$Q$3:$Q$1000&lt;&gt;"Not Due"),
ROW(LKTN!$Q$3:$Q$1000)-ROW(LKTN!$Q$3)+1),
ROWS(A$2:A16))
),"")</f>
        <v/>
      </c>
      <c r="AJ16" s="115">
        <v>15</v>
      </c>
      <c r="AK16" s="123" t="str" cm="1">
        <f t="array" aca="1" ref="AK16" ca="1">IFERROR(INDEX(ISN!$E$3:$E$1000,
SMALL(
IF((ISN!$Q$3:$Q$1000&lt;&gt;"")*(ISN!$Q$3:$Q$1000&lt;&gt;"Not Due"),
ROW(ISN!$Q$3:$Q$1000)-ROW(ISN!$Q$3)+1),
ROWS(A$2:A16))),"")</f>
        <v/>
      </c>
      <c r="AL16" s="115" t="str" cm="1">
        <f t="array" aca="1" ref="AL16" ca="1">IFERROR(INDEX(ISN!$B$3:$B$1000,
SMALL(
IF((ISN!$Q$3:$Q$1000&lt;&gt;"")*(ISN!$Q$3:$Q$1000&lt;&gt;"Not Due"),
ROW(ISN!$Q$3:$Q$1000)-ROW(ISN!$Q$3)+1),
ROWS(A$2:A16))),"")</f>
        <v/>
      </c>
      <c r="AM16" s="116" t="str" cm="1">
        <f t="array" aca="1" ref="AM16" ca="1">IFERROR(INDEX(ISN!$D$3:$D$1000,
SMALL(
IF((ISN!$Q$3:$Q$1000&lt;&gt;"")*(ISN!$Q$3:$Q$1000&lt;&gt;"Not Due"),
ROW(ISN!$Q$3:$Q$1000)-ROW(ISN!$Q$3)+1),
ROWS(A$2:A16))),"")</f>
        <v/>
      </c>
      <c r="AN16" s="116" t="str" cm="1">
        <f t="array" aca="1" ref="AN16" ca="1">IFERROR(INDEX(ISN!$G$3:$G$1000,
SMALL(
IF((ISN!$Q$3:$Q$1000&lt;&gt;"")*(ISN!$Q$3:$Q$1000&lt;&gt;"Not Due"),
ROW(ISN!$Q$3:$Q$1000)-ROW(ISN!$Q$3)+1),
ROWS(A$2:A16))),"")</f>
        <v/>
      </c>
      <c r="AO16" s="64" t="str" cm="1">
        <f t="array" aca="1" ref="AO16" ca="1">IFERROR(INDEX(ISN!$Q$3:$Q$1000,
SMALL(
IF((ISN!$Q$3:$Q$1000&lt;&gt;"")*(ISN!$Q$3:$Q$1000&lt;&gt;"Not Due"),
ROW(ISN!$Q$3:$Q$1000)-ROW(ISN!$Q$3)+1),
ROWS(A$2:A16))
),"")</f>
        <v/>
      </c>
      <c r="AQ16" s="115">
        <v>15</v>
      </c>
      <c r="AR16" s="124" t="str" cm="1">
        <f t="array" aca="1" ref="AR16" ca="1">IFERROR(INDEX(MSN!$E$3:$E$1000,
SMALL(
IF((MSN!$Q$3:$Q$1000&lt;&gt;"")*(MSN!$Q$3:$Q$1000&lt;&gt;"Not Due"),
ROW(MSN!$Q$3:$Q$1000)-ROW(MSN!$Q$3)+1),
ROWS(A$2:A16))),"")</f>
        <v/>
      </c>
      <c r="AS16" s="115" t="str" cm="1">
        <f t="array" aca="1" ref="AS16" ca="1">IFERROR(INDEX(MSN!$B$3:$B$1000,
SMALL(
IF((MSN!$Q$3:$Q$1000&lt;&gt;"")*(MSN!$Q$3:$Q$1000&lt;&gt;"Not Due"),
ROW(MSN!$Q$3:$Q$1000)-ROW(MSN!$Q$3)+1),
ROWS(A$2:A16))),"")</f>
        <v/>
      </c>
      <c r="AT16" s="115" t="str" cm="1">
        <f t="array" aca="1" ref="AT16" ca="1">IFERROR(INDEX(MSN!$D$3:$D$1000,
SMALL(
IF((MSN!$Q$3:$Q$1000&lt;&gt;"")*(MSN!$Q$3:$Q$1000&lt;&gt;"Not Due"),
ROW(MSN!$Q$3:$Q$1000)-ROW(MSN!$Q$3)+1),
ROWS(A$2:A16))),"")</f>
        <v/>
      </c>
      <c r="AU16" s="116" t="str" cm="1">
        <f t="array" aca="1" ref="AU16" ca="1">IFERROR(INDEX(MSN!$G$3:$G$1000,
SMALL(
IF((MSN!$Q$3:$Q$1000&lt;&gt;"")*(MSN!$Q$3:$Q$1000&lt;&gt;"Not Due"),
ROW(MSN!$Q$3:$Q$1000)-ROW(MSN!$Q$3)+1),
ROWS(A$2:A16))),"")</f>
        <v/>
      </c>
      <c r="AV16" s="64" t="str" cm="1">
        <f t="array" aca="1" ref="AV16" ca="1">IFERROR(INDEX(MSN!$Q$3:$Q$1000,
SMALL(
IF((MSN!$Q$3:$Q$1000&lt;&gt;"")*(MSN!$Q$3:$Q$1000&lt;&gt;"Not Due"),
ROW(MSN!$Q$3:$Q$1000)-ROW(MSN!$Q$3)+1),
ROWS(A$2:A16))
),"")</f>
        <v/>
      </c>
    </row>
    <row r="17" spans="1:48" ht="62.4" x14ac:dyDescent="0.3">
      <c r="A17" s="115">
        <v>16</v>
      </c>
      <c r="B17" s="118" t="str" cm="1">
        <f t="array" aca="1" ref="B17" ca="1">IFERROR(INDEX(FRIM!$E$3:$E$1000,
SMALL(IF(FRIM!$Q$3:$Q$1000&lt;&gt;"",
ROW(FRIM!$Q$3:$Q$1000)-ROW(FRIM!$Q$3)+1),
ROWS(A$2:A17))),"")</f>
        <v>FRIM</v>
      </c>
      <c r="C17" s="116" t="str" cm="1">
        <f t="array" aca="1" ref="C17" ca="1">IFERROR(INDEX(FRIM!$B$3:$B$1000,
SMALL(IF(FRIM!$Q$3:$Q$1000&lt;&gt;"",
ROW(FRIM!$Q$3:$Q$1000)-ROW(FRIM!$Q$3)+1),
ROWS(A$2:A17))),"")</f>
        <v>T/2026/00122</v>
      </c>
      <c r="D17" s="116" t="str" cm="1">
        <f t="array" aca="1" ref="D17" ca="1">IFERROR(INDEX(FRIM!$D$3:$D$1000,
SMALL(IF(FRIM!$Q$3:$Q$1000&lt;&gt;"",
ROW(FRIM!$Q$3:$Q$1000)-ROW(FRIM!$Q$3)+1),
ROWS(A$2:A17))),"")</f>
        <v>MYPROCUREMENT</v>
      </c>
      <c r="E17" s="116" t="str" cm="1">
        <f t="array" aca="1" ref="E17" ca="1">IFERROR(INDEX(FRIM!$G$3:$G$1000,
SMALL(IF(FRIM!$Q$3:$Q$1000&lt;&gt;"",
ROW(FRIM!$Q$3:$Q$1000)-ROW(FRIM!$Q$3)+1),
ROWS(A$2:A17))),"")</f>
        <v>W2525 12/03/2026 NURUL AIN BINTI MOHD HADZIR Sistem kebenaran perolehan bagi permohonan baru. Terdapat masalah sistem di Konfigurasi capaian.</v>
      </c>
      <c r="F17" s="88" t="str" cm="1">
        <f t="array" aca="1" ref="F17" ca="1">IFERROR(INDEX(FRIM!$Q$3:$Q$1000,
SMALL(IF(FRIM!$Q$3:$Q$1000&lt;&gt;"",
ROW(FRIM!$Q$3:$Q$1000)-ROW(FRIM!$Q$3)+1),
ROWS(A$2:A17))),"")</f>
        <v>&gt;60 Days</v>
      </c>
      <c r="H17" s="115">
        <v>16</v>
      </c>
      <c r="I17" s="119" t="str" cm="1">
        <f t="array" aca="1" ref="I17" ca="1">IFERROR(INDEX(MTIB!$E$3:$E$1000,
SMALL(
IF((MTIB!$Q$3:$Q$1000&lt;&gt;"")*(MTIB!$Q$3:$Q$1000&lt;&gt;"Not Due"),
ROW(MTIB!$Q$3:$Q$1000)-ROW(MTIB!$Q$3)+1),
ROWS(A$2:A17))),"")</f>
        <v/>
      </c>
      <c r="J17" s="115" t="str" cm="1">
        <f t="array" aca="1" ref="J17" ca="1">IFERROR(INDEX(MTIB!$B$3:$B$1000,
SMALL(
IF((MTIB!$Q$3:$Q$1000&lt;&gt;"")*(MTIB!$Q$3:$Q$1000&lt;&gt;"Not Due"),
ROW(MTIB!$Q$3:$Q$1000)-ROW(MTIB!$Q$3)+1),
ROWS(A$2:A17))),"")</f>
        <v/>
      </c>
      <c r="K17" s="115" t="str" cm="1">
        <f t="array" aca="1" ref="K17" ca="1">IFERROR(INDEX(MTIB!$D$3:$D$1000,
SMALL(
IF((MTIB!$Q$3:$Q$1000&lt;&gt;"")*(MTIB!$Q$3:$Q$1000&lt;&gt;"Not Due"),
ROW(MTIB!$Q$3:$Q$1000)-ROW(MTIB!$Q$3)+1),
ROWS(A$2:A17))),"")</f>
        <v/>
      </c>
      <c r="L17" s="116" t="str" cm="1">
        <f t="array" aca="1" ref="L17" ca="1">IFERROR(INDEX(MTIB!$G$3:$G$1000,
SMALL(
IF((MTIB!$Q$3:$Q$1000&lt;&gt;"")*(MTIB!$Q$3:$Q$1000&lt;&gt;"Not Due"),
ROW(MTIB!$Q$3:$Q$1000)-ROW(MTIB!$Q$3)+1),
ROWS(A$2:A17))),"")</f>
        <v/>
      </c>
      <c r="M17" s="88" t="str" cm="1">
        <f t="array" aca="1" ref="M17" ca="1">IFERROR(INDEX(MTIB!$Q$3:$Q$1000,
SMALL(
IF((MTIB!$Q$3:$Q$1000&lt;&gt;"")*(MTIB!$Q$3:$Q$1000&lt;&gt;"Not Due"),
ROW(MTIB!$Q$3:$Q$1000)-ROW(MTIB!$Q$3)+1),
ROWS(A$2:A17))
),"")</f>
        <v/>
      </c>
      <c r="O17" s="115">
        <v>16</v>
      </c>
      <c r="P17" s="120" t="str" cm="1">
        <f t="array" aca="1" ref="P17" ca="1">IFERROR(INDEX(MPOB!$E$3:$E$1000,
SMALL(
IF((MPOB!$Q$3:$Q$1000&lt;&gt;"")*(MPOB!$Q$3:$Q$1000&lt;&gt;"Not Due"),
ROW(MPOB!$Q$3:$Q$1000)-ROW(MPOB!$Q$3)+1),
ROWS(A$2:A17))),"")</f>
        <v>MPOB</v>
      </c>
      <c r="Q17" s="115" t="str" cm="1">
        <f t="array" aca="1" ref="Q17" ca="1">IFERROR(INDEX(MPOB!$B$3:$B$1000,
SMALL(
IF((MPOB!$Q$3:$Q$1000&lt;&gt;"")*(MPOB!$Q$3:$Q$1000&lt;&gt;"Not Due"),
ROW(MPOB!$Q$3:$Q$1000)-ROW(MPOB!$Q$3)+1),
ROWS(A$2:A17))),"")</f>
        <v>T/2026/00178</v>
      </c>
      <c r="R17" s="115" t="str" cm="1">
        <f t="array" aca="1" ref="R17" ca="1">IFERROR(INDEX(MPOB!$D$3:$D$1000,
SMALL(
IF((MPOB!$Q$3:$Q$1000&lt;&gt;"")*(MPOB!$Q$3:$Q$1000&lt;&gt;"Not Due"),
ROW(MPOB!$Q$3:$Q$1000)-ROW(MPOB!$Q$3)+1),
ROWS(A$2:A17))),"")</f>
        <v>MyProcurement</v>
      </c>
      <c r="S17" s="116" t="str" cm="1">
        <f t="array" aca="1" ref="S17" ca="1">IFERROR(INDEX(MPOB!$G$3:$G$1000,
SMALL(
IF((MPOB!$Q$3:$Q$1000&lt;&gt;"")*(MPOB!$Q$3:$Q$1000&lt;&gt;"Not Due"),
ROW(MPOB!$Q$3:$Q$1000)-ROW(MPOB!$Q$3)+1),
ROWS(A$2:A17))),"")</f>
        <v>Nama User : AsAlya Date : 4/2/2026 Isu : user ni xboleh add kat borang prestasi pembekal untk Po ni LPO/BSRD0401/0725/00025 untuk invois yg bayaran berperingkat Mohd Hafiz Mohd Zuki</v>
      </c>
      <c r="T17" s="88" t="str" cm="1">
        <f t="array" aca="1" ref="T17" ca="1">IFERROR(INDEX(MPOB!$Q$3:$Q$1000,
SMALL(
IF((MPOB!$Q$3:$Q$1000&lt;&gt;"")*(MPOB!$Q$3:$Q$1000&lt;&gt;"Not Due"),
ROW(MPOB!$Q$3:$Q$1000)-ROW(MPOB!$Q$3)+1),
ROWS(A$2:A17))
),"")</f>
        <v>&gt;60 Days</v>
      </c>
      <c r="V17" s="115">
        <v>16</v>
      </c>
      <c r="W17" s="121" t="str" cm="1">
        <f t="array" aca="1" ref="W17" ca="1">IFERROR(INDEX(LKTN!$E$3:$E$1000,
SMALL(
IF((LKTN!$Q$3:$Q$1000&lt;&gt;"")*(LKTN!$Q$3:$Q$1000&lt;&gt;"Not Due"),
ROW(LKTN!$Q$3:$Q$1000)-ROW(LKTN!$Q$3)+1),
ROWS(A$2:A17))),"")</f>
        <v/>
      </c>
      <c r="X17" s="115" t="str" cm="1">
        <f t="array" aca="1" ref="X17" ca="1">IFERROR(INDEX(LKTN!$B$3:$B$1000,
SMALL(
IF((LKTN!$Q$3:$Q$1000&lt;&gt;"")*(LKTN!$Q$3:$Q$1000&lt;&gt;"Not Due"),
ROW(LKTN!$Q$3:$Q$1000)-ROW(LKTN!$Q$3)+1),
ROWS(A$2:A17))),"")</f>
        <v/>
      </c>
      <c r="Y17" s="115" t="str" cm="1">
        <f t="array" aca="1" ref="Y17" ca="1">IFERROR(INDEX(LKTN!$D$3:$D$1000,
SMALL(
IF((LKTN!$Q$3:$Q$1000&lt;&gt;"")*(LKTN!$Q$3:$Q$1000&lt;&gt;"Not Due"),
ROW(LKTN!$Q$3:$Q$1000)-ROW(LKTN!$Q$3)+1),
ROWS(A$2:A17))),"")</f>
        <v/>
      </c>
      <c r="Z17" s="116" t="str" cm="1">
        <f t="array" aca="1" ref="Z17" ca="1">IFERROR(INDEX(LKTN!$G$3:$G$1000,
SMALL(
IF((LKTN!$Q$3:$Q$1000&lt;&gt;"")*(LKTN!$Q$3:$Q$1000&lt;&gt;"Not Due"),
ROW(LKTN!$Q$3:$Q$1000)-ROW(LKTN!$Q$3)+1),
ROWS(A$2:A17))),"")</f>
        <v/>
      </c>
      <c r="AA17" s="64" t="str" cm="1">
        <f t="array" aca="1" ref="AA17" ca="1">IFERROR(INDEX(LKTN!$Q$3:$Q$1000,
SMALL(
IF((LKTN!$Q$3:$Q$1000&lt;&gt;"")*(LKTN!$Q$3:$Q$1000&lt;&gt;"Not Due"),
ROW(LKTN!$Q$3:$Q$1000)-ROW(LKTN!$Q$3)+1),
ROWS(A$2:A17))
),"")</f>
        <v/>
      </c>
      <c r="AJ17" s="115">
        <v>16</v>
      </c>
      <c r="AK17" s="123" t="str" cm="1">
        <f t="array" aca="1" ref="AK17" ca="1">IFERROR(INDEX(ISN!$E$3:$E$1000,
SMALL(
IF((ISN!$Q$3:$Q$1000&lt;&gt;"")*(ISN!$Q$3:$Q$1000&lt;&gt;"Not Due"),
ROW(ISN!$Q$3:$Q$1000)-ROW(ISN!$Q$3)+1),
ROWS(A$2:A17))),"")</f>
        <v/>
      </c>
      <c r="AL17" s="115" t="str" cm="1">
        <f t="array" aca="1" ref="AL17" ca="1">IFERROR(INDEX(ISN!$B$3:$B$1000,
SMALL(
IF((ISN!$Q$3:$Q$1000&lt;&gt;"")*(ISN!$Q$3:$Q$1000&lt;&gt;"Not Due"),
ROW(ISN!$Q$3:$Q$1000)-ROW(ISN!$Q$3)+1),
ROWS(A$2:A17))),"")</f>
        <v/>
      </c>
      <c r="AM17" s="116" t="str" cm="1">
        <f t="array" aca="1" ref="AM17" ca="1">IFERROR(INDEX(ISN!$D$3:$D$1000,
SMALL(
IF((ISN!$Q$3:$Q$1000&lt;&gt;"")*(ISN!$Q$3:$Q$1000&lt;&gt;"Not Due"),
ROW(ISN!$Q$3:$Q$1000)-ROW(ISN!$Q$3)+1),
ROWS(A$2:A17))),"")</f>
        <v/>
      </c>
      <c r="AN17" s="116" t="str" cm="1">
        <f t="array" aca="1" ref="AN17" ca="1">IFERROR(INDEX(ISN!$G$3:$G$1000,
SMALL(
IF((ISN!$Q$3:$Q$1000&lt;&gt;"")*(ISN!$Q$3:$Q$1000&lt;&gt;"Not Due"),
ROW(ISN!$Q$3:$Q$1000)-ROW(ISN!$Q$3)+1),
ROWS(A$2:A17))),"")</f>
        <v/>
      </c>
      <c r="AO17" s="64" t="str" cm="1">
        <f t="array" aca="1" ref="AO17" ca="1">IFERROR(INDEX(ISN!$Q$3:$Q$1000,
SMALL(
IF((ISN!$Q$3:$Q$1000&lt;&gt;"")*(ISN!$Q$3:$Q$1000&lt;&gt;"Not Due"),
ROW(ISN!$Q$3:$Q$1000)-ROW(ISN!$Q$3)+1),
ROWS(A$2:A17))
),"")</f>
        <v/>
      </c>
      <c r="AQ17" s="115">
        <v>16</v>
      </c>
      <c r="AR17" s="124" t="str" cm="1">
        <f t="array" aca="1" ref="AR17" ca="1">IFERROR(INDEX(MSN!$E$3:$E$1000,
SMALL(
IF((MSN!$Q$3:$Q$1000&lt;&gt;"")*(MSN!$Q$3:$Q$1000&lt;&gt;"Not Due"),
ROW(MSN!$Q$3:$Q$1000)-ROW(MSN!$Q$3)+1),
ROWS(A$2:A17))),"")</f>
        <v/>
      </c>
      <c r="AS17" s="115" t="str" cm="1">
        <f t="array" aca="1" ref="AS17" ca="1">IFERROR(INDEX(MSN!$B$3:$B$1000,
SMALL(
IF((MSN!$Q$3:$Q$1000&lt;&gt;"")*(MSN!$Q$3:$Q$1000&lt;&gt;"Not Due"),
ROW(MSN!$Q$3:$Q$1000)-ROW(MSN!$Q$3)+1),
ROWS(A$2:A17))),"")</f>
        <v/>
      </c>
      <c r="AT17" s="115" t="str" cm="1">
        <f t="array" aca="1" ref="AT17" ca="1">IFERROR(INDEX(MSN!$D$3:$D$1000,
SMALL(
IF((MSN!$Q$3:$Q$1000&lt;&gt;"")*(MSN!$Q$3:$Q$1000&lt;&gt;"Not Due"),
ROW(MSN!$Q$3:$Q$1000)-ROW(MSN!$Q$3)+1),
ROWS(A$2:A17))),"")</f>
        <v/>
      </c>
      <c r="AU17" s="116" t="str" cm="1">
        <f t="array" aca="1" ref="AU17" ca="1">IFERROR(INDEX(MSN!$G$3:$G$1000,
SMALL(
IF((MSN!$Q$3:$Q$1000&lt;&gt;"")*(MSN!$Q$3:$Q$1000&lt;&gt;"Not Due"),
ROW(MSN!$Q$3:$Q$1000)-ROW(MSN!$Q$3)+1),
ROWS(A$2:A17))),"")</f>
        <v/>
      </c>
      <c r="AV17" s="64" t="str" cm="1">
        <f t="array" aca="1" ref="AV17" ca="1">IFERROR(INDEX(MSN!$Q$3:$Q$1000,
SMALL(
IF((MSN!$Q$3:$Q$1000&lt;&gt;"")*(MSN!$Q$3:$Q$1000&lt;&gt;"Not Due"),
ROW(MSN!$Q$3:$Q$1000)-ROW(MSN!$Q$3)+1),
ROWS(A$2:A17))
),"")</f>
        <v/>
      </c>
    </row>
    <row r="18" spans="1:48" ht="62.4" x14ac:dyDescent="0.3">
      <c r="A18" s="115">
        <v>17</v>
      </c>
      <c r="B18" s="118" t="str" cm="1">
        <f t="array" aca="1" ref="B18" ca="1">IFERROR(INDEX(FRIM!$E$3:$E$1000,
SMALL(IF(FRIM!$Q$3:$Q$1000&lt;&gt;"",
ROW(FRIM!$Q$3:$Q$1000)-ROW(FRIM!$Q$3)+1),
ROWS(A$2:A18))),"")</f>
        <v>FRIM</v>
      </c>
      <c r="C18" s="116" t="str" cm="1">
        <f t="array" aca="1" ref="C18" ca="1">IFERROR(INDEX(FRIM!$B$3:$B$1000,
SMALL(IF(FRIM!$Q$3:$Q$1000&lt;&gt;"",
ROW(FRIM!$Q$3:$Q$1000)-ROW(FRIM!$Q$3)+1),
ROWS(A$2:A18))),"")</f>
        <v>T/2026/00137</v>
      </c>
      <c r="D18" s="116" t="str" cm="1">
        <f t="array" aca="1" ref="D18" ca="1">IFERROR(INDEX(FRIM!$D$3:$D$1000,
SMALL(IF(FRIM!$Q$3:$Q$1000&lt;&gt;"",
ROW(FRIM!$Q$3:$Q$1000)-ROW(FRIM!$Q$3)+1),
ROWS(A$2:A18))),"")</f>
        <v>MYFINANCIAL CLIENT</v>
      </c>
      <c r="E18" s="116" t="str" cm="1">
        <f t="array" aca="1" ref="E18" ca="1">IFERROR(INDEX(FRIM!$G$3:$G$1000,
SMALL(IF(FRIM!$Q$3:$Q$1000&lt;&gt;"",
ROW(FRIM!$Q$3:$Q$1000)-ROW(FRIM!$Q$3)+1),
ROWS(A$2:A18))),"")</f>
        <v>W2529 17 March 2026 AZROL BIN KAMARUDDIN BAKI AKHIR DISEMBER 2025 KOD PELARASAN GAJI 62510 TIDAK SAMA DENGAN BAKI AWAL JANUARI 2026</v>
      </c>
      <c r="F18" s="88" t="str" cm="1">
        <f t="array" aca="1" ref="F18" ca="1">IFERROR(INDEX(FRIM!$Q$3:$Q$1000,
SMALL(IF(FRIM!$Q$3:$Q$1000&lt;&gt;"",
ROW(FRIM!$Q$3:$Q$1000)-ROW(FRIM!$Q$3)+1),
ROWS(A$2:A18))),"")</f>
        <v>&gt;60 Days</v>
      </c>
      <c r="H18" s="115">
        <v>17</v>
      </c>
      <c r="I18" s="119" t="str" cm="1">
        <f t="array" aca="1" ref="I18" ca="1">IFERROR(INDEX(MTIB!$E$3:$E$1000,
SMALL(
IF((MTIB!$Q$3:$Q$1000&lt;&gt;"")*(MTIB!$Q$3:$Q$1000&lt;&gt;"Not Due"),
ROW(MTIB!$Q$3:$Q$1000)-ROW(MTIB!$Q$3)+1),
ROWS(A$2:A18))),"")</f>
        <v/>
      </c>
      <c r="J18" s="115" t="str" cm="1">
        <f t="array" aca="1" ref="J18" ca="1">IFERROR(INDEX(MTIB!$B$3:$B$1000,
SMALL(
IF((MTIB!$Q$3:$Q$1000&lt;&gt;"")*(MTIB!$Q$3:$Q$1000&lt;&gt;"Not Due"),
ROW(MTIB!$Q$3:$Q$1000)-ROW(MTIB!$Q$3)+1),
ROWS(A$2:A18))),"")</f>
        <v/>
      </c>
      <c r="K18" s="115" t="str" cm="1">
        <f t="array" aca="1" ref="K18" ca="1">IFERROR(INDEX(MTIB!$D$3:$D$1000,
SMALL(
IF((MTIB!$Q$3:$Q$1000&lt;&gt;"")*(MTIB!$Q$3:$Q$1000&lt;&gt;"Not Due"),
ROW(MTIB!$Q$3:$Q$1000)-ROW(MTIB!$Q$3)+1),
ROWS(A$2:A18))),"")</f>
        <v/>
      </c>
      <c r="L18" s="116" t="str" cm="1">
        <f t="array" aca="1" ref="L18" ca="1">IFERROR(INDEX(MTIB!$G$3:$G$1000,
SMALL(
IF((MTIB!$Q$3:$Q$1000&lt;&gt;"")*(MTIB!$Q$3:$Q$1000&lt;&gt;"Not Due"),
ROW(MTIB!$Q$3:$Q$1000)-ROW(MTIB!$Q$3)+1),
ROWS(A$2:A18))),"")</f>
        <v/>
      </c>
      <c r="M18" s="88" t="str" cm="1">
        <f t="array" aca="1" ref="M18" ca="1">IFERROR(INDEX(MTIB!$Q$3:$Q$1000,
SMALL(
IF((MTIB!$Q$3:$Q$1000&lt;&gt;"")*(MTIB!$Q$3:$Q$1000&lt;&gt;"Not Due"),
ROW(MTIB!$Q$3:$Q$1000)-ROW(MTIB!$Q$3)+1),
ROWS(A$2:A18))
),"")</f>
        <v/>
      </c>
      <c r="O18" s="115">
        <v>17</v>
      </c>
      <c r="P18" s="120" t="str" cm="1">
        <f t="array" aca="1" ref="P18" ca="1">IFERROR(INDEX(MPOB!$E$3:$E$1000,
SMALL(
IF((MPOB!$Q$3:$Q$1000&lt;&gt;"")*(MPOB!$Q$3:$Q$1000&lt;&gt;"Not Due"),
ROW(MPOB!$Q$3:$Q$1000)-ROW(MPOB!$Q$3)+1),
ROWS(A$2:A18))),"")</f>
        <v>MPOB</v>
      </c>
      <c r="Q18" s="115" t="str" cm="1">
        <f t="array" aca="1" ref="Q18" ca="1">IFERROR(INDEX(MPOB!$B$3:$B$1000,
SMALL(
IF((MPOB!$Q$3:$Q$1000&lt;&gt;"")*(MPOB!$Q$3:$Q$1000&lt;&gt;"Not Due"),
ROW(MPOB!$Q$3:$Q$1000)-ROW(MPOB!$Q$3)+1),
ROWS(A$2:A18))),"")</f>
        <v>T/2026/00186</v>
      </c>
      <c r="R18" s="115" t="str" cm="1">
        <f t="array" aca="1" ref="R18" ca="1">IFERROR(INDEX(MPOB!$D$3:$D$1000,
SMALL(
IF((MPOB!$Q$3:$Q$1000&lt;&gt;"")*(MPOB!$Q$3:$Q$1000&lt;&gt;"Not Due"),
ROW(MPOB!$Q$3:$Q$1000)-ROW(MPOB!$Q$3)+1),
ROWS(A$2:A18))),"")</f>
        <v>MyFinancial</v>
      </c>
      <c r="S18" s="116" t="str" cm="1">
        <f t="array" aca="1" ref="S18" ca="1">IFERROR(INDEX(MPOB!$G$3:$G$1000,
SMALL(
IF((MPOB!$Q$3:$Q$1000&lt;&gt;"")*(MPOB!$Q$3:$Q$1000&lt;&gt;"Not Due"),
ROW(MPOB!$Q$3:$Q$1000)-ROW(MPOB!$Q$3)+1),
ROWS(A$2:A18))),"")</f>
        <v>Nama User : Irda 60182066610 Date : 5/2/2026 Isu : bukan sepatutnya amaun in RM after converted ke?</v>
      </c>
      <c r="T18" s="88" t="str" cm="1">
        <f t="array" aca="1" ref="T18" ca="1">IFERROR(INDEX(MPOB!$Q$3:$Q$1000,
SMALL(
IF((MPOB!$Q$3:$Q$1000&lt;&gt;"")*(MPOB!$Q$3:$Q$1000&lt;&gt;"Not Due"),
ROW(MPOB!$Q$3:$Q$1000)-ROW(MPOB!$Q$3)+1),
ROWS(A$2:A18))
),"")</f>
        <v>&gt;60 Days</v>
      </c>
      <c r="V18" s="115">
        <v>17</v>
      </c>
      <c r="W18" s="121" t="str" cm="1">
        <f t="array" aca="1" ref="W18" ca="1">IFERROR(INDEX(LKTN!$E$3:$E$1000,
SMALL(
IF((LKTN!$Q$3:$Q$1000&lt;&gt;"")*(LKTN!$Q$3:$Q$1000&lt;&gt;"Not Due"),
ROW(LKTN!$Q$3:$Q$1000)-ROW(LKTN!$Q$3)+1),
ROWS(A$2:A18))),"")</f>
        <v/>
      </c>
      <c r="X18" s="115" t="str" cm="1">
        <f t="array" aca="1" ref="X18" ca="1">IFERROR(INDEX(LKTN!$B$3:$B$1000,
SMALL(
IF((LKTN!$Q$3:$Q$1000&lt;&gt;"")*(LKTN!$Q$3:$Q$1000&lt;&gt;"Not Due"),
ROW(LKTN!$Q$3:$Q$1000)-ROW(LKTN!$Q$3)+1),
ROWS(A$2:A18))),"")</f>
        <v/>
      </c>
      <c r="Y18" s="115" t="str" cm="1">
        <f t="array" aca="1" ref="Y18" ca="1">IFERROR(INDEX(LKTN!$D$3:$D$1000,
SMALL(
IF((LKTN!$Q$3:$Q$1000&lt;&gt;"")*(LKTN!$Q$3:$Q$1000&lt;&gt;"Not Due"),
ROW(LKTN!$Q$3:$Q$1000)-ROW(LKTN!$Q$3)+1),
ROWS(A$2:A18))),"")</f>
        <v/>
      </c>
      <c r="Z18" s="116" t="str" cm="1">
        <f t="array" aca="1" ref="Z18" ca="1">IFERROR(INDEX(LKTN!$G$3:$G$1000,
SMALL(
IF((LKTN!$Q$3:$Q$1000&lt;&gt;"")*(LKTN!$Q$3:$Q$1000&lt;&gt;"Not Due"),
ROW(LKTN!$Q$3:$Q$1000)-ROW(LKTN!$Q$3)+1),
ROWS(A$2:A18))),"")</f>
        <v/>
      </c>
      <c r="AA18" s="64" t="str" cm="1">
        <f t="array" aca="1" ref="AA18" ca="1">IFERROR(INDEX(LKTN!$Q$3:$Q$1000,
SMALL(
IF((LKTN!$Q$3:$Q$1000&lt;&gt;"")*(LKTN!$Q$3:$Q$1000&lt;&gt;"Not Due"),
ROW(LKTN!$Q$3:$Q$1000)-ROW(LKTN!$Q$3)+1),
ROWS(A$2:A18))
),"")</f>
        <v/>
      </c>
      <c r="AJ18" s="115">
        <v>17</v>
      </c>
      <c r="AK18" s="123" t="str" cm="1">
        <f t="array" aca="1" ref="AK18" ca="1">IFERROR(INDEX(ISN!$E$3:$E$1000,
SMALL(
IF((ISN!$Q$3:$Q$1000&lt;&gt;"")*(ISN!$Q$3:$Q$1000&lt;&gt;"Not Due"),
ROW(ISN!$Q$3:$Q$1000)-ROW(ISN!$Q$3)+1),
ROWS(A$2:A18))),"")</f>
        <v/>
      </c>
      <c r="AL18" s="115" t="str" cm="1">
        <f t="array" aca="1" ref="AL18" ca="1">IFERROR(INDEX(ISN!$B$3:$B$1000,
SMALL(
IF((ISN!$Q$3:$Q$1000&lt;&gt;"")*(ISN!$Q$3:$Q$1000&lt;&gt;"Not Due"),
ROW(ISN!$Q$3:$Q$1000)-ROW(ISN!$Q$3)+1),
ROWS(A$2:A18))),"")</f>
        <v/>
      </c>
      <c r="AM18" s="116" t="str" cm="1">
        <f t="array" aca="1" ref="AM18" ca="1">IFERROR(INDEX(ISN!$D$3:$D$1000,
SMALL(
IF((ISN!$Q$3:$Q$1000&lt;&gt;"")*(ISN!$Q$3:$Q$1000&lt;&gt;"Not Due"),
ROW(ISN!$Q$3:$Q$1000)-ROW(ISN!$Q$3)+1),
ROWS(A$2:A18))),"")</f>
        <v/>
      </c>
      <c r="AN18" s="116" t="str" cm="1">
        <f t="array" aca="1" ref="AN18" ca="1">IFERROR(INDEX(ISN!$G$3:$G$1000,
SMALL(
IF((ISN!$Q$3:$Q$1000&lt;&gt;"")*(ISN!$Q$3:$Q$1000&lt;&gt;"Not Due"),
ROW(ISN!$Q$3:$Q$1000)-ROW(ISN!$Q$3)+1),
ROWS(A$2:A18))),"")</f>
        <v/>
      </c>
      <c r="AO18" s="64" t="str" cm="1">
        <f t="array" aca="1" ref="AO18" ca="1">IFERROR(INDEX(ISN!$Q$3:$Q$1000,
SMALL(
IF((ISN!$Q$3:$Q$1000&lt;&gt;"")*(ISN!$Q$3:$Q$1000&lt;&gt;"Not Due"),
ROW(ISN!$Q$3:$Q$1000)-ROW(ISN!$Q$3)+1),
ROWS(A$2:A18))
),"")</f>
        <v/>
      </c>
      <c r="AQ18" s="115">
        <v>17</v>
      </c>
      <c r="AR18" s="124" t="str" cm="1">
        <f t="array" aca="1" ref="AR18" ca="1">IFERROR(INDEX(MSN!$E$3:$E$1000,
SMALL(
IF((MSN!$Q$3:$Q$1000&lt;&gt;"")*(MSN!$Q$3:$Q$1000&lt;&gt;"Not Due"),
ROW(MSN!$Q$3:$Q$1000)-ROW(MSN!$Q$3)+1),
ROWS(A$2:A18))),"")</f>
        <v/>
      </c>
      <c r="AS18" s="115" t="str" cm="1">
        <f t="array" aca="1" ref="AS18" ca="1">IFERROR(INDEX(MSN!$B$3:$B$1000,
SMALL(
IF((MSN!$Q$3:$Q$1000&lt;&gt;"")*(MSN!$Q$3:$Q$1000&lt;&gt;"Not Due"),
ROW(MSN!$Q$3:$Q$1000)-ROW(MSN!$Q$3)+1),
ROWS(A$2:A18))),"")</f>
        <v/>
      </c>
      <c r="AT18" s="115" t="str" cm="1">
        <f t="array" aca="1" ref="AT18" ca="1">IFERROR(INDEX(MSN!$D$3:$D$1000,
SMALL(
IF((MSN!$Q$3:$Q$1000&lt;&gt;"")*(MSN!$Q$3:$Q$1000&lt;&gt;"Not Due"),
ROW(MSN!$Q$3:$Q$1000)-ROW(MSN!$Q$3)+1),
ROWS(A$2:A18))),"")</f>
        <v/>
      </c>
      <c r="AU18" s="116" t="str" cm="1">
        <f t="array" aca="1" ref="AU18" ca="1">IFERROR(INDEX(MSN!$G$3:$G$1000,
SMALL(
IF((MSN!$Q$3:$Q$1000&lt;&gt;"")*(MSN!$Q$3:$Q$1000&lt;&gt;"Not Due"),
ROW(MSN!$Q$3:$Q$1000)-ROW(MSN!$Q$3)+1),
ROWS(A$2:A18))),"")</f>
        <v/>
      </c>
      <c r="AV18" s="64" t="str" cm="1">
        <f t="array" aca="1" ref="AV18" ca="1">IFERROR(INDEX(MSN!$Q$3:$Q$1000,
SMALL(
IF((MSN!$Q$3:$Q$1000&lt;&gt;"")*(MSN!$Q$3:$Q$1000&lt;&gt;"Not Due"),
ROW(MSN!$Q$3:$Q$1000)-ROW(MSN!$Q$3)+1),
ROWS(A$2:A18))
),"")</f>
        <v/>
      </c>
    </row>
    <row r="19" spans="1:48" ht="140.4" x14ac:dyDescent="0.3">
      <c r="A19" s="115">
        <v>18</v>
      </c>
      <c r="B19" s="118" t="str" cm="1">
        <f t="array" aca="1" ref="B19" ca="1">IFERROR(INDEX(FRIM!$E$3:$E$1000,
SMALL(IF(FRIM!$Q$3:$Q$1000&lt;&gt;"",
ROW(FRIM!$Q$3:$Q$1000)-ROW(FRIM!$Q$3)+1),
ROWS(A$2:A19))),"")</f>
        <v>FRIM</v>
      </c>
      <c r="C19" s="116" t="str" cm="1">
        <f t="array" aca="1" ref="C19" ca="1">IFERROR(INDEX(FRIM!$B$3:$B$1000,
SMALL(IF(FRIM!$Q$3:$Q$1000&lt;&gt;"",
ROW(FRIM!$Q$3:$Q$1000)-ROW(FRIM!$Q$3)+1),
ROWS(A$2:A19))),"")</f>
        <v>T/2026/00313</v>
      </c>
      <c r="D19" s="116" t="str" cm="1">
        <f t="array" aca="1" ref="D19" ca="1">IFERROR(INDEX(FRIM!$D$3:$D$1000,
SMALL(IF(FRIM!$Q$3:$Q$1000&lt;&gt;"",
ROW(FRIM!$Q$3:$Q$1000)-ROW(FRIM!$Q$3)+1),
ROWS(A$2:A19))),"")</f>
        <v>MYFINANCIAL CLIENT</v>
      </c>
      <c r="E19" s="116" t="str" cm="1">
        <f t="array" aca="1" ref="E19" ca="1">IFERROR(INDEX(FRIM!$G$3:$G$1000,
SMALL(IF(FRIM!$Q$3:$Q$1000&lt;&gt;"",
ROW(FRIM!$Q$3:$Q$1000)-ROW(FRIM!$Q$3)+1),
ROWS(A$2:A19))),"")</f>
        <v>W2548 28 April 2026 NOR AFIZAH BT. ARSHAD mohon semakan bagi baucar per2600678. status baucar dah pos. tarikh cek dan no cek tak update dekat baucar dan baucar tersebut tiada dalam senarai lejar kod bank 65101.</v>
      </c>
      <c r="F19" s="88" t="str" cm="1">
        <f t="array" aca="1" ref="F19" ca="1">IFERROR(INDEX(FRIM!$Q$3:$Q$1000,
SMALL(IF(FRIM!$Q$3:$Q$1000&lt;&gt;"",
ROW(FRIM!$Q$3:$Q$1000)-ROW(FRIM!$Q$3)+1),
ROWS(A$2:A19))),"")</f>
        <v>31-60 Days</v>
      </c>
      <c r="H19" s="115">
        <v>18</v>
      </c>
      <c r="I19" s="119" t="str" cm="1">
        <f t="array" aca="1" ref="I19" ca="1">IFERROR(INDEX(MTIB!$E$3:$E$1000,
SMALL(
IF((MTIB!$Q$3:$Q$1000&lt;&gt;"")*(MTIB!$Q$3:$Q$1000&lt;&gt;"Not Due"),
ROW(MTIB!$Q$3:$Q$1000)-ROW(MTIB!$Q$3)+1),
ROWS(A$2:A19))),"")</f>
        <v/>
      </c>
      <c r="J19" s="115" t="str" cm="1">
        <f t="array" aca="1" ref="J19" ca="1">IFERROR(INDEX(MTIB!$B$3:$B$1000,
SMALL(
IF((MTIB!$Q$3:$Q$1000&lt;&gt;"")*(MTIB!$Q$3:$Q$1000&lt;&gt;"Not Due"),
ROW(MTIB!$Q$3:$Q$1000)-ROW(MTIB!$Q$3)+1),
ROWS(A$2:A19))),"")</f>
        <v/>
      </c>
      <c r="K19" s="115" t="str" cm="1">
        <f t="array" aca="1" ref="K19" ca="1">IFERROR(INDEX(MTIB!$D$3:$D$1000,
SMALL(
IF((MTIB!$Q$3:$Q$1000&lt;&gt;"")*(MTIB!$Q$3:$Q$1000&lt;&gt;"Not Due"),
ROW(MTIB!$Q$3:$Q$1000)-ROW(MTIB!$Q$3)+1),
ROWS(A$2:A19))),"")</f>
        <v/>
      </c>
      <c r="L19" s="116" t="str" cm="1">
        <f t="array" aca="1" ref="L19" ca="1">IFERROR(INDEX(MTIB!$G$3:$G$1000,
SMALL(
IF((MTIB!$Q$3:$Q$1000&lt;&gt;"")*(MTIB!$Q$3:$Q$1000&lt;&gt;"Not Due"),
ROW(MTIB!$Q$3:$Q$1000)-ROW(MTIB!$Q$3)+1),
ROWS(A$2:A19))),"")</f>
        <v/>
      </c>
      <c r="M19" s="88" t="str" cm="1">
        <f t="array" aca="1" ref="M19" ca="1">IFERROR(INDEX(MTIB!$Q$3:$Q$1000,
SMALL(
IF((MTIB!$Q$3:$Q$1000&lt;&gt;"")*(MTIB!$Q$3:$Q$1000&lt;&gt;"Not Due"),
ROW(MTIB!$Q$3:$Q$1000)-ROW(MTIB!$Q$3)+1),
ROWS(A$2:A19))
),"")</f>
        <v/>
      </c>
      <c r="O19" s="115">
        <v>18</v>
      </c>
      <c r="P19" s="120" t="str" cm="1">
        <f t="array" aca="1" ref="P19" ca="1">IFERROR(INDEX(MPOB!$E$3:$E$1000,
SMALL(
IF((MPOB!$Q$3:$Q$1000&lt;&gt;"")*(MPOB!$Q$3:$Q$1000&lt;&gt;"Not Due"),
ROW(MPOB!$Q$3:$Q$1000)-ROW(MPOB!$Q$3)+1),
ROWS(A$2:A19))),"")</f>
        <v>MPOB</v>
      </c>
      <c r="Q19" s="115" t="str" cm="1">
        <f t="array" aca="1" ref="Q19" ca="1">IFERROR(INDEX(MPOB!$B$3:$B$1000,
SMALL(
IF((MPOB!$Q$3:$Q$1000&lt;&gt;"")*(MPOB!$Q$3:$Q$1000&lt;&gt;"Not Due"),
ROW(MPOB!$Q$3:$Q$1000)-ROW(MPOB!$Q$3)+1),
ROWS(A$2:A19))),"")</f>
        <v>T/2026/00187</v>
      </c>
      <c r="R19" s="115" t="str" cm="1">
        <f t="array" aca="1" ref="R19" ca="1">IFERROR(INDEX(MPOB!$D$3:$D$1000,
SMALL(
IF((MPOB!$Q$3:$Q$1000&lt;&gt;"")*(MPOB!$Q$3:$Q$1000&lt;&gt;"Not Due"),
ROW(MPOB!$Q$3:$Q$1000)-ROW(MPOB!$Q$3)+1),
ROWS(A$2:A19))),"")</f>
        <v>MyFinancial</v>
      </c>
      <c r="S19" s="116" t="str" cm="1">
        <f t="array" aca="1" ref="S19" ca="1">IFERROR(INDEX(MPOB!$G$3:$G$1000,
SMALL(
IF((MPOB!$Q$3:$Q$1000&lt;&gt;"")*(MPOB!$Q$3:$Q$1000&lt;&gt;"Not Due"),
ROW(MPOB!$Q$3:$Q$1000)-ROW(MPOB!$Q$3)+1),
ROWS(A$2:A19))),"")</f>
        <v>Nama User : Sabrina 0132241723 Date : 6/2/2026 Isu :Saya nk tanya sikit mengenai system myFas . Utk tab pesanan belian. Saya dh jana sebelum ni dan harini saya perasan butiran nya hilang. Jadi saya edit semula. Bila saya edit dan saya print ia masih ada. Kemudian bila saya tekan button simpan dan cari semula utk tekan POS saya view dia dah hilang 2/3 kali dah jadi LPO/FMDD0301/0126/00005</v>
      </c>
      <c r="T19" s="88" t="str" cm="1">
        <f t="array" aca="1" ref="T19" ca="1">IFERROR(INDEX(MPOB!$Q$3:$Q$1000,
SMALL(
IF((MPOB!$Q$3:$Q$1000&lt;&gt;"")*(MPOB!$Q$3:$Q$1000&lt;&gt;"Not Due"),
ROW(MPOB!$Q$3:$Q$1000)-ROW(MPOB!$Q$3)+1),
ROWS(A$2:A19))
),"")</f>
        <v>&gt;60 Days</v>
      </c>
      <c r="V19" s="115">
        <v>18</v>
      </c>
      <c r="W19" s="121" t="str" cm="1">
        <f t="array" aca="1" ref="W19" ca="1">IFERROR(INDEX(LKTN!$E$3:$E$1000,
SMALL(
IF((LKTN!$Q$3:$Q$1000&lt;&gt;"")*(LKTN!$Q$3:$Q$1000&lt;&gt;"Not Due"),
ROW(LKTN!$Q$3:$Q$1000)-ROW(LKTN!$Q$3)+1),
ROWS(A$2:A19))),"")</f>
        <v/>
      </c>
      <c r="X19" s="115" t="str" cm="1">
        <f t="array" aca="1" ref="X19" ca="1">IFERROR(INDEX(LKTN!$B$3:$B$1000,
SMALL(
IF((LKTN!$Q$3:$Q$1000&lt;&gt;"")*(LKTN!$Q$3:$Q$1000&lt;&gt;"Not Due"),
ROW(LKTN!$Q$3:$Q$1000)-ROW(LKTN!$Q$3)+1),
ROWS(A$2:A19))),"")</f>
        <v/>
      </c>
      <c r="Y19" s="115" t="str" cm="1">
        <f t="array" aca="1" ref="Y19" ca="1">IFERROR(INDEX(LKTN!$D$3:$D$1000,
SMALL(
IF((LKTN!$Q$3:$Q$1000&lt;&gt;"")*(LKTN!$Q$3:$Q$1000&lt;&gt;"Not Due"),
ROW(LKTN!$Q$3:$Q$1000)-ROW(LKTN!$Q$3)+1),
ROWS(A$2:A19))),"")</f>
        <v/>
      </c>
      <c r="Z19" s="116" t="str" cm="1">
        <f t="array" aca="1" ref="Z19" ca="1">IFERROR(INDEX(LKTN!$G$3:$G$1000,
SMALL(
IF((LKTN!$Q$3:$Q$1000&lt;&gt;"")*(LKTN!$Q$3:$Q$1000&lt;&gt;"Not Due"),
ROW(LKTN!$Q$3:$Q$1000)-ROW(LKTN!$Q$3)+1),
ROWS(A$2:A19))),"")</f>
        <v/>
      </c>
      <c r="AA19" s="64" t="str" cm="1">
        <f t="array" aca="1" ref="AA19" ca="1">IFERROR(INDEX(LKTN!$Q$3:$Q$1000,
SMALL(
IF((LKTN!$Q$3:$Q$1000&lt;&gt;"")*(LKTN!$Q$3:$Q$1000&lt;&gt;"Not Due"),
ROW(LKTN!$Q$3:$Q$1000)-ROW(LKTN!$Q$3)+1),
ROWS(A$2:A19))
),"")</f>
        <v/>
      </c>
      <c r="AJ19" s="115">
        <v>18</v>
      </c>
      <c r="AK19" s="123" t="str" cm="1">
        <f t="array" aca="1" ref="AK19" ca="1">IFERROR(INDEX(ISN!$E$3:$E$1000,
SMALL(
IF((ISN!$Q$3:$Q$1000&lt;&gt;"")*(ISN!$Q$3:$Q$1000&lt;&gt;"Not Due"),
ROW(ISN!$Q$3:$Q$1000)-ROW(ISN!$Q$3)+1),
ROWS(A$2:A19))),"")</f>
        <v/>
      </c>
      <c r="AL19" s="115" t="str" cm="1">
        <f t="array" aca="1" ref="AL19" ca="1">IFERROR(INDEX(ISN!$B$3:$B$1000,
SMALL(
IF((ISN!$Q$3:$Q$1000&lt;&gt;"")*(ISN!$Q$3:$Q$1000&lt;&gt;"Not Due"),
ROW(ISN!$Q$3:$Q$1000)-ROW(ISN!$Q$3)+1),
ROWS(A$2:A19))),"")</f>
        <v/>
      </c>
      <c r="AM19" s="116" t="str" cm="1">
        <f t="array" aca="1" ref="AM19" ca="1">IFERROR(INDEX(ISN!$D$3:$D$1000,
SMALL(
IF((ISN!$Q$3:$Q$1000&lt;&gt;"")*(ISN!$Q$3:$Q$1000&lt;&gt;"Not Due"),
ROW(ISN!$Q$3:$Q$1000)-ROW(ISN!$Q$3)+1),
ROWS(A$2:A19))),"")</f>
        <v/>
      </c>
      <c r="AN19" s="116" t="str" cm="1">
        <f t="array" aca="1" ref="AN19" ca="1">IFERROR(INDEX(ISN!$G$3:$G$1000,
SMALL(
IF((ISN!$Q$3:$Q$1000&lt;&gt;"")*(ISN!$Q$3:$Q$1000&lt;&gt;"Not Due"),
ROW(ISN!$Q$3:$Q$1000)-ROW(ISN!$Q$3)+1),
ROWS(A$2:A19))),"")</f>
        <v/>
      </c>
      <c r="AO19" s="64" t="str" cm="1">
        <f t="array" aca="1" ref="AO19" ca="1">IFERROR(INDEX(ISN!$Q$3:$Q$1000,
SMALL(
IF((ISN!$Q$3:$Q$1000&lt;&gt;"")*(ISN!$Q$3:$Q$1000&lt;&gt;"Not Due"),
ROW(ISN!$Q$3:$Q$1000)-ROW(ISN!$Q$3)+1),
ROWS(A$2:A19))
),"")</f>
        <v/>
      </c>
      <c r="AQ19" s="115">
        <v>18</v>
      </c>
      <c r="AR19" s="124" t="str" cm="1">
        <f t="array" aca="1" ref="AR19" ca="1">IFERROR(INDEX(MSN!$E$3:$E$1000,
SMALL(
IF((MSN!$Q$3:$Q$1000&lt;&gt;"")*(MSN!$Q$3:$Q$1000&lt;&gt;"Not Due"),
ROW(MSN!$Q$3:$Q$1000)-ROW(MSN!$Q$3)+1),
ROWS(A$2:A19))),"")</f>
        <v/>
      </c>
      <c r="AS19" s="115" t="str" cm="1">
        <f t="array" aca="1" ref="AS19" ca="1">IFERROR(INDEX(MSN!$B$3:$B$1000,
SMALL(
IF((MSN!$Q$3:$Q$1000&lt;&gt;"")*(MSN!$Q$3:$Q$1000&lt;&gt;"Not Due"),
ROW(MSN!$Q$3:$Q$1000)-ROW(MSN!$Q$3)+1),
ROWS(A$2:A19))),"")</f>
        <v/>
      </c>
      <c r="AT19" s="115" t="str" cm="1">
        <f t="array" aca="1" ref="AT19" ca="1">IFERROR(INDEX(MSN!$D$3:$D$1000,
SMALL(
IF((MSN!$Q$3:$Q$1000&lt;&gt;"")*(MSN!$Q$3:$Q$1000&lt;&gt;"Not Due"),
ROW(MSN!$Q$3:$Q$1000)-ROW(MSN!$Q$3)+1),
ROWS(A$2:A19))),"")</f>
        <v/>
      </c>
      <c r="AU19" s="116" t="str" cm="1">
        <f t="array" aca="1" ref="AU19" ca="1">IFERROR(INDEX(MSN!$G$3:$G$1000,
SMALL(
IF((MSN!$Q$3:$Q$1000&lt;&gt;"")*(MSN!$Q$3:$Q$1000&lt;&gt;"Not Due"),
ROW(MSN!$Q$3:$Q$1000)-ROW(MSN!$Q$3)+1),
ROWS(A$2:A19))),"")</f>
        <v/>
      </c>
      <c r="AV19" s="64" t="str" cm="1">
        <f t="array" aca="1" ref="AV19" ca="1">IFERROR(INDEX(MSN!$Q$3:$Q$1000,
SMALL(
IF((MSN!$Q$3:$Q$1000&lt;&gt;"")*(MSN!$Q$3:$Q$1000&lt;&gt;"Not Due"),
ROW(MSN!$Q$3:$Q$1000)-ROW(MSN!$Q$3)+1),
ROWS(A$2:A19))
),"")</f>
        <v/>
      </c>
    </row>
    <row r="20" spans="1:48" ht="156" x14ac:dyDescent="0.3">
      <c r="A20" s="115">
        <v>19</v>
      </c>
      <c r="B20" s="118" t="str" cm="1">
        <f t="array" aca="1" ref="B20" ca="1">IFERROR(INDEX(FRIM!$E$3:$E$1000,
SMALL(IF(FRIM!$Q$3:$Q$1000&lt;&gt;"",
ROW(FRIM!$Q$3:$Q$1000)-ROW(FRIM!$Q$3)+1),
ROWS(A$2:A20))),"")</f>
        <v>FRIM</v>
      </c>
      <c r="C20" s="116" t="str" cm="1">
        <f t="array" aca="1" ref="C20" ca="1">IFERROR(INDEX(FRIM!$B$3:$B$1000,
SMALL(IF(FRIM!$Q$3:$Q$1000&lt;&gt;"",
ROW(FRIM!$Q$3:$Q$1000)-ROW(FRIM!$Q$3)+1),
ROWS(A$2:A20))),"")</f>
        <v>T/2026/00314</v>
      </c>
      <c r="D20" s="116" t="str" cm="1">
        <f t="array" aca="1" ref="D20" ca="1">IFERROR(INDEX(FRIM!$D$3:$D$1000,
SMALL(IF(FRIM!$Q$3:$Q$1000&lt;&gt;"",
ROW(FRIM!$Q$3:$Q$1000)-ROW(FRIM!$Q$3)+1),
ROWS(A$2:A20))),"")</f>
        <v>MYASSET</v>
      </c>
      <c r="E20" s="116" t="str" cm="1">
        <f t="array" aca="1" ref="E20" ca="1">IFERROR(INDEX(FRIM!$G$3:$G$1000,
SMALL(IF(FRIM!$Q$3:$Q$1000&lt;&gt;"",
ROW(FRIM!$Q$3:$Q$1000)-ROW(FRIM!$Q$3)+1),
ROWS(A$2:A20))),"")</f>
        <v>W2546 27 April 2026 EMYLIA BINTI AYOUB modul konfigurasi capaian pengguna, admin telah membuat pendaftaran baru untuk 2 orang pegawai iaitu: 1. dr mohd faridzuan bin majid [3874] 2. noor amira binti mohd kasim (3858). semakan mendapati paparan capaian modul sistem pegawai berkenaan berjaya dilakukan oleh admin tetapi apabila pegawai cuba untuk melayari portal myasset notifikasi "server error in'/myasset' application" terpapar. mohon untuk dibuat semakan.</v>
      </c>
      <c r="F20" s="88" t="str" cm="1">
        <f t="array" aca="1" ref="F20" ca="1">IFERROR(INDEX(FRIM!$Q$3:$Q$1000,
SMALL(IF(FRIM!$Q$3:$Q$1000&lt;&gt;"",
ROW(FRIM!$Q$3:$Q$1000)-ROW(FRIM!$Q$3)+1),
ROWS(A$2:A20))),"")</f>
        <v>31-60 Days</v>
      </c>
      <c r="H20" s="115">
        <v>19</v>
      </c>
      <c r="I20" s="119" t="str" cm="1">
        <f t="array" aca="1" ref="I20" ca="1">IFERROR(INDEX(MTIB!$E$3:$E$1000,
SMALL(
IF((MTIB!$Q$3:$Q$1000&lt;&gt;"")*(MTIB!$Q$3:$Q$1000&lt;&gt;"Not Due"),
ROW(MTIB!$Q$3:$Q$1000)-ROW(MTIB!$Q$3)+1),
ROWS(A$2:A20))),"")</f>
        <v/>
      </c>
      <c r="J20" s="115" t="str" cm="1">
        <f t="array" aca="1" ref="J20" ca="1">IFERROR(INDEX(MTIB!$B$3:$B$1000,
SMALL(
IF((MTIB!$Q$3:$Q$1000&lt;&gt;"")*(MTIB!$Q$3:$Q$1000&lt;&gt;"Not Due"),
ROW(MTIB!$Q$3:$Q$1000)-ROW(MTIB!$Q$3)+1),
ROWS(A$2:A20))),"")</f>
        <v/>
      </c>
      <c r="K20" s="115" t="str" cm="1">
        <f t="array" aca="1" ref="K20" ca="1">IFERROR(INDEX(MTIB!$D$3:$D$1000,
SMALL(
IF((MTIB!$Q$3:$Q$1000&lt;&gt;"")*(MTIB!$Q$3:$Q$1000&lt;&gt;"Not Due"),
ROW(MTIB!$Q$3:$Q$1000)-ROW(MTIB!$Q$3)+1),
ROWS(A$2:A20))),"")</f>
        <v/>
      </c>
      <c r="L20" s="116" t="str" cm="1">
        <f t="array" aca="1" ref="L20" ca="1">IFERROR(INDEX(MTIB!$G$3:$G$1000,
SMALL(
IF((MTIB!$Q$3:$Q$1000&lt;&gt;"")*(MTIB!$Q$3:$Q$1000&lt;&gt;"Not Due"),
ROW(MTIB!$Q$3:$Q$1000)-ROW(MTIB!$Q$3)+1),
ROWS(A$2:A20))),"")</f>
        <v/>
      </c>
      <c r="M20" s="88" t="str" cm="1">
        <f t="array" aca="1" ref="M20" ca="1">IFERROR(INDEX(MTIB!$Q$3:$Q$1000,
SMALL(
IF((MTIB!$Q$3:$Q$1000&lt;&gt;"")*(MTIB!$Q$3:$Q$1000&lt;&gt;"Not Due"),
ROW(MTIB!$Q$3:$Q$1000)-ROW(MTIB!$Q$3)+1),
ROWS(A$2:A20))
),"")</f>
        <v/>
      </c>
      <c r="O20" s="115">
        <v>19</v>
      </c>
      <c r="P20" s="120" t="str" cm="1">
        <f t="array" aca="1" ref="P20" ca="1">IFERROR(INDEX(MPOB!$E$3:$E$1000,
SMALL(
IF((MPOB!$Q$3:$Q$1000&lt;&gt;"")*(MPOB!$Q$3:$Q$1000&lt;&gt;"Not Due"),
ROW(MPOB!$Q$3:$Q$1000)-ROW(MPOB!$Q$3)+1),
ROWS(A$2:A20))),"")</f>
        <v>MPOB</v>
      </c>
      <c r="Q20" s="115" t="str" cm="1">
        <f t="array" aca="1" ref="Q20" ca="1">IFERROR(INDEX(MPOB!$B$3:$B$1000,
SMALL(
IF((MPOB!$Q$3:$Q$1000&lt;&gt;"")*(MPOB!$Q$3:$Q$1000&lt;&gt;"Not Due"),
ROW(MPOB!$Q$3:$Q$1000)-ROW(MPOB!$Q$3)+1),
ROWS(A$2:A20))),"")</f>
        <v>T/2026/00198</v>
      </c>
      <c r="R20" s="115" t="str" cm="1">
        <f t="array" aca="1" ref="R20" ca="1">IFERROR(INDEX(MPOB!$D$3:$D$1000,
SMALL(
IF((MPOB!$Q$3:$Q$1000&lt;&gt;"")*(MPOB!$Q$3:$Q$1000&lt;&gt;"Not Due"),
ROW(MPOB!$Q$3:$Q$1000)-ROW(MPOB!$Q$3)+1),
ROWS(A$2:A20))),"")</f>
        <v>MyAsset</v>
      </c>
      <c r="S20" s="116" t="str" cm="1">
        <f t="array" aca="1" ref="S20" ca="1">IFERROR(INDEX(MPOB!$G$3:$G$1000,
SMALL(
IF((MPOB!$Q$3:$Q$1000&lt;&gt;"")*(MPOB!$Q$3:$Q$1000&lt;&gt;"Not Due"),
ROW(MPOB!$Q$3:$Q$1000)-ROW(MPOB!$Q$3)+1),
ROWS(A$2:A20))),"")</f>
        <v>Nama User : 60182583185 Date : 11/2/2026 Isu : boleh semakkan kenapa syor kaedah pelupusan dari ketua pengarah tak keluar bila nak cetak borang? bila view dari sistem status pemeriksaan ni dah diluluskan oleh ketua pengarah</v>
      </c>
      <c r="T20" s="88" t="str" cm="1">
        <f t="array" aca="1" ref="T20" ca="1">IFERROR(INDEX(MPOB!$Q$3:$Q$1000,
SMALL(
IF((MPOB!$Q$3:$Q$1000&lt;&gt;"")*(MPOB!$Q$3:$Q$1000&lt;&gt;"Not Due"),
ROW(MPOB!$Q$3:$Q$1000)-ROW(MPOB!$Q$3)+1),
ROWS(A$2:A20))
),"")</f>
        <v>&gt;60 Days</v>
      </c>
      <c r="V20" s="115">
        <v>19</v>
      </c>
      <c r="W20" s="121" t="str" cm="1">
        <f t="array" aca="1" ref="W20" ca="1">IFERROR(INDEX(LKTN!$E$3:$E$1000,
SMALL(
IF((LKTN!$Q$3:$Q$1000&lt;&gt;"")*(LKTN!$Q$3:$Q$1000&lt;&gt;"Not Due"),
ROW(LKTN!$Q$3:$Q$1000)-ROW(LKTN!$Q$3)+1),
ROWS(A$2:A20))),"")</f>
        <v/>
      </c>
      <c r="X20" s="115" t="str" cm="1">
        <f t="array" aca="1" ref="X20" ca="1">IFERROR(INDEX(LKTN!$B$3:$B$1000,
SMALL(
IF((LKTN!$Q$3:$Q$1000&lt;&gt;"")*(LKTN!$Q$3:$Q$1000&lt;&gt;"Not Due"),
ROW(LKTN!$Q$3:$Q$1000)-ROW(LKTN!$Q$3)+1),
ROWS(A$2:A20))),"")</f>
        <v/>
      </c>
      <c r="Y20" s="115" t="str" cm="1">
        <f t="array" aca="1" ref="Y20" ca="1">IFERROR(INDEX(LKTN!$D$3:$D$1000,
SMALL(
IF((LKTN!$Q$3:$Q$1000&lt;&gt;"")*(LKTN!$Q$3:$Q$1000&lt;&gt;"Not Due"),
ROW(LKTN!$Q$3:$Q$1000)-ROW(LKTN!$Q$3)+1),
ROWS(A$2:A20))),"")</f>
        <v/>
      </c>
      <c r="Z20" s="116" t="str" cm="1">
        <f t="array" aca="1" ref="Z20" ca="1">IFERROR(INDEX(LKTN!$G$3:$G$1000,
SMALL(
IF((LKTN!$Q$3:$Q$1000&lt;&gt;"")*(LKTN!$Q$3:$Q$1000&lt;&gt;"Not Due"),
ROW(LKTN!$Q$3:$Q$1000)-ROW(LKTN!$Q$3)+1),
ROWS(A$2:A20))),"")</f>
        <v/>
      </c>
      <c r="AA20" s="64" t="str" cm="1">
        <f t="array" aca="1" ref="AA20" ca="1">IFERROR(INDEX(LKTN!$Q$3:$Q$1000,
SMALL(
IF((LKTN!$Q$3:$Q$1000&lt;&gt;"")*(LKTN!$Q$3:$Q$1000&lt;&gt;"Not Due"),
ROW(LKTN!$Q$3:$Q$1000)-ROW(LKTN!$Q$3)+1),
ROWS(A$2:A20))
),"")</f>
        <v/>
      </c>
      <c r="AJ20" s="115">
        <v>19</v>
      </c>
      <c r="AK20" s="123" t="str" cm="1">
        <f t="array" aca="1" ref="AK20" ca="1">IFERROR(INDEX(ISN!$E$3:$E$1000,
SMALL(
IF((ISN!$Q$3:$Q$1000&lt;&gt;"")*(ISN!$Q$3:$Q$1000&lt;&gt;"Not Due"),
ROW(ISN!$Q$3:$Q$1000)-ROW(ISN!$Q$3)+1),
ROWS(A$2:A20))),"")</f>
        <v/>
      </c>
      <c r="AL20" s="115" t="str" cm="1">
        <f t="array" aca="1" ref="AL20" ca="1">IFERROR(INDEX(ISN!$B$3:$B$1000,
SMALL(
IF((ISN!$Q$3:$Q$1000&lt;&gt;"")*(ISN!$Q$3:$Q$1000&lt;&gt;"Not Due"),
ROW(ISN!$Q$3:$Q$1000)-ROW(ISN!$Q$3)+1),
ROWS(A$2:A20))),"")</f>
        <v/>
      </c>
      <c r="AM20" s="116" t="str" cm="1">
        <f t="array" aca="1" ref="AM20" ca="1">IFERROR(INDEX(ISN!$D$3:$D$1000,
SMALL(
IF((ISN!$Q$3:$Q$1000&lt;&gt;"")*(ISN!$Q$3:$Q$1000&lt;&gt;"Not Due"),
ROW(ISN!$Q$3:$Q$1000)-ROW(ISN!$Q$3)+1),
ROWS(A$2:A20))),"")</f>
        <v/>
      </c>
      <c r="AN20" s="116" t="str" cm="1">
        <f t="array" aca="1" ref="AN20" ca="1">IFERROR(INDEX(ISN!$G$3:$G$1000,
SMALL(
IF((ISN!$Q$3:$Q$1000&lt;&gt;"")*(ISN!$Q$3:$Q$1000&lt;&gt;"Not Due"),
ROW(ISN!$Q$3:$Q$1000)-ROW(ISN!$Q$3)+1),
ROWS(A$2:A20))),"")</f>
        <v/>
      </c>
      <c r="AO20" s="64" t="str" cm="1">
        <f t="array" aca="1" ref="AO20" ca="1">IFERROR(INDEX(ISN!$Q$3:$Q$1000,
SMALL(
IF((ISN!$Q$3:$Q$1000&lt;&gt;"")*(ISN!$Q$3:$Q$1000&lt;&gt;"Not Due"),
ROW(ISN!$Q$3:$Q$1000)-ROW(ISN!$Q$3)+1),
ROWS(A$2:A20))
),"")</f>
        <v/>
      </c>
      <c r="AQ20" s="115">
        <v>19</v>
      </c>
      <c r="AR20" s="124" t="str" cm="1">
        <f t="array" aca="1" ref="AR20" ca="1">IFERROR(INDEX(MSN!$E$3:$E$1000,
SMALL(
IF((MSN!$Q$3:$Q$1000&lt;&gt;"")*(MSN!$Q$3:$Q$1000&lt;&gt;"Not Due"),
ROW(MSN!$Q$3:$Q$1000)-ROW(MSN!$Q$3)+1),
ROWS(A$2:A20))),"")</f>
        <v/>
      </c>
      <c r="AS20" s="115" t="str" cm="1">
        <f t="array" aca="1" ref="AS20" ca="1">IFERROR(INDEX(MSN!$B$3:$B$1000,
SMALL(
IF((MSN!$Q$3:$Q$1000&lt;&gt;"")*(MSN!$Q$3:$Q$1000&lt;&gt;"Not Due"),
ROW(MSN!$Q$3:$Q$1000)-ROW(MSN!$Q$3)+1),
ROWS(A$2:A20))),"")</f>
        <v/>
      </c>
      <c r="AT20" s="115" t="str" cm="1">
        <f t="array" aca="1" ref="AT20" ca="1">IFERROR(INDEX(MSN!$D$3:$D$1000,
SMALL(
IF((MSN!$Q$3:$Q$1000&lt;&gt;"")*(MSN!$Q$3:$Q$1000&lt;&gt;"Not Due"),
ROW(MSN!$Q$3:$Q$1000)-ROW(MSN!$Q$3)+1),
ROWS(A$2:A20))),"")</f>
        <v/>
      </c>
      <c r="AU20" s="116" t="str" cm="1">
        <f t="array" aca="1" ref="AU20" ca="1">IFERROR(INDEX(MSN!$G$3:$G$1000,
SMALL(
IF((MSN!$Q$3:$Q$1000&lt;&gt;"")*(MSN!$Q$3:$Q$1000&lt;&gt;"Not Due"),
ROW(MSN!$Q$3:$Q$1000)-ROW(MSN!$Q$3)+1),
ROWS(A$2:A20))),"")</f>
        <v/>
      </c>
      <c r="AV20" s="64" t="str" cm="1">
        <f t="array" aca="1" ref="AV20" ca="1">IFERROR(INDEX(MSN!$Q$3:$Q$1000,
SMALL(
IF((MSN!$Q$3:$Q$1000&lt;&gt;"")*(MSN!$Q$3:$Q$1000&lt;&gt;"Not Due"),
ROW(MSN!$Q$3:$Q$1000)-ROW(MSN!$Q$3)+1),
ROWS(A$2:A20))
),"")</f>
        <v/>
      </c>
    </row>
    <row r="21" spans="1:48" ht="93.6" x14ac:dyDescent="0.3">
      <c r="A21" s="115">
        <v>20</v>
      </c>
      <c r="B21" s="118" t="str" cm="1">
        <f t="array" aca="1" ref="B21" ca="1">IFERROR(INDEX(FRIM!$E$3:$E$1000,
SMALL(IF(FRIM!$Q$3:$Q$1000&lt;&gt;"",
ROW(FRIM!$Q$3:$Q$1000)-ROW(FRIM!$Q$3)+1),
ROWS(A$2:A21))),"")</f>
        <v>FRIM</v>
      </c>
      <c r="C21" s="116" t="str" cm="1">
        <f t="array" aca="1" ref="C21" ca="1">IFERROR(INDEX(FRIM!$B$3:$B$1000,
SMALL(IF(FRIM!$Q$3:$Q$1000&lt;&gt;"",
ROW(FRIM!$Q$3:$Q$1000)-ROW(FRIM!$Q$3)+1),
ROWS(A$2:A21))),"")</f>
        <v>T/2026/00316</v>
      </c>
      <c r="D21" s="116" t="str" cm="1">
        <f t="array" aca="1" ref="D21" ca="1">IFERROR(INDEX(FRIM!$D$3:$D$1000,
SMALL(IF(FRIM!$Q$3:$Q$1000&lt;&gt;"",
ROW(FRIM!$Q$3:$Q$1000)-ROW(FRIM!$Q$3)+1),
ROWS(A$2:A21))),"")</f>
        <v>MYINVENTORY</v>
      </c>
      <c r="E21" s="116" t="str" cm="1">
        <f t="array" aca="1" ref="E21" ca="1">IFERROR(INDEX(FRIM!$G$3:$G$1000,
SMALL(IF(FRIM!$Q$3:$Q$1000&lt;&gt;"",
ROW(FRIM!$Q$3:$Q$1000)-ROW(FRIM!$Q$3)+1),
ROWS(A$2:A21))),"")</f>
        <v>W2533 08 April 2026 NURFAIEZAH BT. MAZERI mohon bantuan untuk email seperti ini myinventory: status permohonan pengeluaran item (26-04031) masuk ke email saya. untuk makluman, saya juga menjawab email enquiry dan feedback yang mencapai lebih dari 100 email.</v>
      </c>
      <c r="F21" s="88" t="str" cm="1">
        <f t="array" aca="1" ref="F21" ca="1">IFERROR(INDEX(FRIM!$Q$3:$Q$1000,
SMALL(IF(FRIM!$Q$3:$Q$1000&lt;&gt;"",
ROW(FRIM!$Q$3:$Q$1000)-ROW(FRIM!$Q$3)+1),
ROWS(A$2:A21))),"")</f>
        <v>31-60 Days</v>
      </c>
      <c r="H21" s="115">
        <v>20</v>
      </c>
      <c r="I21" s="119" t="str" cm="1">
        <f t="array" aca="1" ref="I21" ca="1">IFERROR(INDEX(MTIB!$E$3:$E$1000,
SMALL(
IF((MTIB!$Q$3:$Q$1000&lt;&gt;"")*(MTIB!$Q$3:$Q$1000&lt;&gt;"Not Due"),
ROW(MTIB!$Q$3:$Q$1000)-ROW(MTIB!$Q$3)+1),
ROWS(A$2:A21))),"")</f>
        <v/>
      </c>
      <c r="J21" s="115" t="str" cm="1">
        <f t="array" aca="1" ref="J21" ca="1">IFERROR(INDEX(MTIB!$B$3:$B$1000,
SMALL(
IF((MTIB!$Q$3:$Q$1000&lt;&gt;"")*(MTIB!$Q$3:$Q$1000&lt;&gt;"Not Due"),
ROW(MTIB!$Q$3:$Q$1000)-ROW(MTIB!$Q$3)+1),
ROWS(A$2:A21))),"")</f>
        <v/>
      </c>
      <c r="K21" s="115" t="str" cm="1">
        <f t="array" aca="1" ref="K21" ca="1">IFERROR(INDEX(MTIB!$D$3:$D$1000,
SMALL(
IF((MTIB!$Q$3:$Q$1000&lt;&gt;"")*(MTIB!$Q$3:$Q$1000&lt;&gt;"Not Due"),
ROW(MTIB!$Q$3:$Q$1000)-ROW(MTIB!$Q$3)+1),
ROWS(A$2:A21))),"")</f>
        <v/>
      </c>
      <c r="L21" s="116" t="str" cm="1">
        <f t="array" aca="1" ref="L21" ca="1">IFERROR(INDEX(MTIB!$G$3:$G$1000,
SMALL(
IF((MTIB!$Q$3:$Q$1000&lt;&gt;"")*(MTIB!$Q$3:$Q$1000&lt;&gt;"Not Due"),
ROW(MTIB!$Q$3:$Q$1000)-ROW(MTIB!$Q$3)+1),
ROWS(A$2:A21))),"")</f>
        <v/>
      </c>
      <c r="M21" s="88" t="str" cm="1">
        <f t="array" aca="1" ref="M21" ca="1">IFERROR(INDEX(MTIB!$Q$3:$Q$1000,
SMALL(
IF((MTIB!$Q$3:$Q$1000&lt;&gt;"")*(MTIB!$Q$3:$Q$1000&lt;&gt;"Not Due"),
ROW(MTIB!$Q$3:$Q$1000)-ROW(MTIB!$Q$3)+1),
ROWS(A$2:A21))
),"")</f>
        <v/>
      </c>
      <c r="O21" s="115">
        <v>20</v>
      </c>
      <c r="P21" s="120" t="str" cm="1">
        <f t="array" aca="1" ref="P21" ca="1">IFERROR(INDEX(MPOB!$E$3:$E$1000,
SMALL(
IF((MPOB!$Q$3:$Q$1000&lt;&gt;"")*(MPOB!$Q$3:$Q$1000&lt;&gt;"Not Due"),
ROW(MPOB!$Q$3:$Q$1000)-ROW(MPOB!$Q$3)+1),
ROWS(A$2:A21))),"")</f>
        <v>MPOB</v>
      </c>
      <c r="Q21" s="115" t="str" cm="1">
        <f t="array" aca="1" ref="Q21" ca="1">IFERROR(INDEX(MPOB!$B$3:$B$1000,
SMALL(
IF((MPOB!$Q$3:$Q$1000&lt;&gt;"")*(MPOB!$Q$3:$Q$1000&lt;&gt;"Not Due"),
ROW(MPOB!$Q$3:$Q$1000)-ROW(MPOB!$Q$3)+1),
ROWS(A$2:A21))),"")</f>
        <v>T/2026/00223</v>
      </c>
      <c r="R21" s="115" t="str" cm="1">
        <f t="array" aca="1" ref="R21" ca="1">IFERROR(INDEX(MPOB!$D$3:$D$1000,
SMALL(
IF((MPOB!$Q$3:$Q$1000&lt;&gt;"")*(MPOB!$Q$3:$Q$1000&lt;&gt;"Not Due"),
ROW(MPOB!$Q$3:$Q$1000)-ROW(MPOB!$Q$3)+1),
ROWS(A$2:A21))),"")</f>
        <v>MyFinancial</v>
      </c>
      <c r="S21" s="116" t="str" cm="1">
        <f t="array" aca="1" ref="S21" ca="1">IFERROR(INDEX(MPOB!$G$3:$G$1000,
SMALL(
IF((MPOB!$Q$3:$Q$1000&lt;&gt;"")*(MPOB!$Q$3:$Q$1000&lt;&gt;"Not Due"),
ROW(MPOB!$Q$3:$Q$1000)-ROW(MPOB!$Q$3)+1),
ROWS(A$2:A21))),"")</f>
        <v>vocher : 09319 tak boleh post dalam modul kelulusan VOUCHER.</v>
      </c>
      <c r="T21" s="88" t="str" cm="1">
        <f t="array" aca="1" ref="T21" ca="1">IFERROR(INDEX(MPOB!$Q$3:$Q$1000,
SMALL(
IF((MPOB!$Q$3:$Q$1000&lt;&gt;"")*(MPOB!$Q$3:$Q$1000&lt;&gt;"Not Due"),
ROW(MPOB!$Q$3:$Q$1000)-ROW(MPOB!$Q$3)+1),
ROWS(A$2:A21))
),"")</f>
        <v>&gt;60 Days</v>
      </c>
      <c r="V21" s="115">
        <v>20</v>
      </c>
      <c r="W21" s="121" t="str" cm="1">
        <f t="array" aca="1" ref="W21" ca="1">IFERROR(INDEX(LKTN!$E$3:$E$1000,
SMALL(
IF((LKTN!$Q$3:$Q$1000&lt;&gt;"")*(LKTN!$Q$3:$Q$1000&lt;&gt;"Not Due"),
ROW(LKTN!$Q$3:$Q$1000)-ROW(LKTN!$Q$3)+1),
ROWS(A$2:A21))),"")</f>
        <v/>
      </c>
      <c r="X21" s="115" t="str" cm="1">
        <f t="array" aca="1" ref="X21" ca="1">IFERROR(INDEX(LKTN!$B$3:$B$1000,
SMALL(
IF((LKTN!$Q$3:$Q$1000&lt;&gt;"")*(LKTN!$Q$3:$Q$1000&lt;&gt;"Not Due"),
ROW(LKTN!$Q$3:$Q$1000)-ROW(LKTN!$Q$3)+1),
ROWS(A$2:A21))),"")</f>
        <v/>
      </c>
      <c r="Y21" s="115" t="str" cm="1">
        <f t="array" aca="1" ref="Y21" ca="1">IFERROR(INDEX(LKTN!$D$3:$D$1000,
SMALL(
IF((LKTN!$Q$3:$Q$1000&lt;&gt;"")*(LKTN!$Q$3:$Q$1000&lt;&gt;"Not Due"),
ROW(LKTN!$Q$3:$Q$1000)-ROW(LKTN!$Q$3)+1),
ROWS(A$2:A21))),"")</f>
        <v/>
      </c>
      <c r="Z21" s="116" t="str" cm="1">
        <f t="array" aca="1" ref="Z21" ca="1">IFERROR(INDEX(LKTN!$G$3:$G$1000,
SMALL(
IF((LKTN!$Q$3:$Q$1000&lt;&gt;"")*(LKTN!$Q$3:$Q$1000&lt;&gt;"Not Due"),
ROW(LKTN!$Q$3:$Q$1000)-ROW(LKTN!$Q$3)+1),
ROWS(A$2:A21))),"")</f>
        <v/>
      </c>
      <c r="AA21" s="64" t="str" cm="1">
        <f t="array" aca="1" ref="AA21" ca="1">IFERROR(INDEX(LKTN!$Q$3:$Q$1000,
SMALL(
IF((LKTN!$Q$3:$Q$1000&lt;&gt;"")*(LKTN!$Q$3:$Q$1000&lt;&gt;"Not Due"),
ROW(LKTN!$Q$3:$Q$1000)-ROW(LKTN!$Q$3)+1),
ROWS(A$2:A21))
),"")</f>
        <v/>
      </c>
      <c r="AJ21" s="115">
        <v>20</v>
      </c>
      <c r="AK21" s="123" t="str" cm="1">
        <f t="array" aca="1" ref="AK21" ca="1">IFERROR(INDEX(ISN!$E$3:$E$1000,
SMALL(
IF((ISN!$Q$3:$Q$1000&lt;&gt;"")*(ISN!$Q$3:$Q$1000&lt;&gt;"Not Due"),
ROW(ISN!$Q$3:$Q$1000)-ROW(ISN!$Q$3)+1),
ROWS(A$2:A21))),"")</f>
        <v/>
      </c>
      <c r="AL21" s="115" t="str" cm="1">
        <f t="array" aca="1" ref="AL21" ca="1">IFERROR(INDEX(ISN!$B$3:$B$1000,
SMALL(
IF((ISN!$Q$3:$Q$1000&lt;&gt;"")*(ISN!$Q$3:$Q$1000&lt;&gt;"Not Due"),
ROW(ISN!$Q$3:$Q$1000)-ROW(ISN!$Q$3)+1),
ROWS(A$2:A21))),"")</f>
        <v/>
      </c>
      <c r="AM21" s="116" t="str" cm="1">
        <f t="array" aca="1" ref="AM21" ca="1">IFERROR(INDEX(ISN!$D$3:$D$1000,
SMALL(
IF((ISN!$Q$3:$Q$1000&lt;&gt;"")*(ISN!$Q$3:$Q$1000&lt;&gt;"Not Due"),
ROW(ISN!$Q$3:$Q$1000)-ROW(ISN!$Q$3)+1),
ROWS(A$2:A21))),"")</f>
        <v/>
      </c>
      <c r="AN21" s="116" t="str" cm="1">
        <f t="array" aca="1" ref="AN21" ca="1">IFERROR(INDEX(ISN!$G$3:$G$1000,
SMALL(
IF((ISN!$Q$3:$Q$1000&lt;&gt;"")*(ISN!$Q$3:$Q$1000&lt;&gt;"Not Due"),
ROW(ISN!$Q$3:$Q$1000)-ROW(ISN!$Q$3)+1),
ROWS(A$2:A21))),"")</f>
        <v/>
      </c>
      <c r="AO21" s="64" t="str" cm="1">
        <f t="array" aca="1" ref="AO21" ca="1">IFERROR(INDEX(ISN!$Q$3:$Q$1000,
SMALL(
IF((ISN!$Q$3:$Q$1000&lt;&gt;"")*(ISN!$Q$3:$Q$1000&lt;&gt;"Not Due"),
ROW(ISN!$Q$3:$Q$1000)-ROW(ISN!$Q$3)+1),
ROWS(A$2:A21))
),"")</f>
        <v/>
      </c>
      <c r="AQ21" s="115">
        <v>20</v>
      </c>
      <c r="AR21" s="124" t="str" cm="1">
        <f t="array" aca="1" ref="AR21" ca="1">IFERROR(INDEX(MSN!$E$3:$E$1000,
SMALL(
IF((MSN!$Q$3:$Q$1000&lt;&gt;"")*(MSN!$Q$3:$Q$1000&lt;&gt;"Not Due"),
ROW(MSN!$Q$3:$Q$1000)-ROW(MSN!$Q$3)+1),
ROWS(A$2:A21))),"")</f>
        <v/>
      </c>
      <c r="AS21" s="115" t="str" cm="1">
        <f t="array" aca="1" ref="AS21" ca="1">IFERROR(INDEX(MSN!$B$3:$B$1000,
SMALL(
IF((MSN!$Q$3:$Q$1000&lt;&gt;"")*(MSN!$Q$3:$Q$1000&lt;&gt;"Not Due"),
ROW(MSN!$Q$3:$Q$1000)-ROW(MSN!$Q$3)+1),
ROWS(A$2:A21))),"")</f>
        <v/>
      </c>
      <c r="AT21" s="115" t="str" cm="1">
        <f t="array" aca="1" ref="AT21" ca="1">IFERROR(INDEX(MSN!$D$3:$D$1000,
SMALL(
IF((MSN!$Q$3:$Q$1000&lt;&gt;"")*(MSN!$Q$3:$Q$1000&lt;&gt;"Not Due"),
ROW(MSN!$Q$3:$Q$1000)-ROW(MSN!$Q$3)+1),
ROWS(A$2:A21))),"")</f>
        <v/>
      </c>
      <c r="AU21" s="116" t="str" cm="1">
        <f t="array" aca="1" ref="AU21" ca="1">IFERROR(INDEX(MSN!$G$3:$G$1000,
SMALL(
IF((MSN!$Q$3:$Q$1000&lt;&gt;"")*(MSN!$Q$3:$Q$1000&lt;&gt;"Not Due"),
ROW(MSN!$Q$3:$Q$1000)-ROW(MSN!$Q$3)+1),
ROWS(A$2:A21))),"")</f>
        <v/>
      </c>
      <c r="AV21" s="64" t="str" cm="1">
        <f t="array" aca="1" ref="AV21" ca="1">IFERROR(INDEX(MSN!$Q$3:$Q$1000,
SMALL(
IF((MSN!$Q$3:$Q$1000&lt;&gt;"")*(MSN!$Q$3:$Q$1000&lt;&gt;"Not Due"),
ROW(MSN!$Q$3:$Q$1000)-ROW(MSN!$Q$3)+1),
ROWS(A$2:A21))
),"")</f>
        <v/>
      </c>
    </row>
    <row r="22" spans="1:48" ht="124.8" x14ac:dyDescent="0.3">
      <c r="A22" s="115">
        <v>21</v>
      </c>
      <c r="B22" s="118" t="str" cm="1">
        <f t="array" aca="1" ref="B22" ca="1">IFERROR(INDEX(FRIM!$E$3:$E$1000,
SMALL(IF(FRIM!$Q$3:$Q$1000&lt;&gt;"",
ROW(FRIM!$Q$3:$Q$1000)-ROW(FRIM!$Q$3)+1),
ROWS(A$2:A22))),"")</f>
        <v>FRIM</v>
      </c>
      <c r="C22" s="116" t="str" cm="1">
        <f t="array" aca="1" ref="C22" ca="1">IFERROR(INDEX(FRIM!$B$3:$B$1000,
SMALL(IF(FRIM!$Q$3:$Q$1000&lt;&gt;"",
ROW(FRIM!$Q$3:$Q$1000)-ROW(FRIM!$Q$3)+1),
ROWS(A$2:A22))),"")</f>
        <v>T/2026/00328</v>
      </c>
      <c r="D22" s="116" t="str" cm="1">
        <f t="array" aca="1" ref="D22" ca="1">IFERROR(INDEX(FRIM!$D$3:$D$1000,
SMALL(IF(FRIM!$Q$3:$Q$1000&lt;&gt;"",
ROW(FRIM!$Q$3:$Q$1000)-ROW(FRIM!$Q$3)+1),
ROWS(A$2:A22))),"")</f>
        <v>MYASSET</v>
      </c>
      <c r="E22" s="116" t="str" cm="1">
        <f t="array" aca="1" ref="E22" ca="1">IFERROR(INDEX(FRIM!$G$3:$G$1000,
SMALL(IF(FRIM!$Q$3:$Q$1000&lt;&gt;"",
ROW(FRIM!$Q$3:$Q$1000)-ROW(FRIM!$Q$3)+1),
ROWS(A$2:A22))),"")</f>
        <v>W2550 29 April 2026 SAILESUZE BT. MOHD SALIM mohon semak kenapa label aset tidak boleh di print. ada keluar paparan "access to the path 'c:\inetpub\wwwroot\myasset\laporan_myasset\2da2wn x35eig0k1ko0aqea4p.pdf' is denied sama juga dengan penyata laporan ikut kategori, ikut penempatan,ikut dana, ikut kakitangan dan senarai aset juga tidak boleh di print</v>
      </c>
      <c r="F22" s="88" t="str" cm="1">
        <f t="array" aca="1" ref="F22" ca="1">IFERROR(INDEX(FRIM!$Q$3:$Q$1000,
SMALL(IF(FRIM!$Q$3:$Q$1000&lt;&gt;"",
ROW(FRIM!$Q$3:$Q$1000)-ROW(FRIM!$Q$3)+1),
ROWS(A$2:A22))),"")</f>
        <v>31-60 Days</v>
      </c>
      <c r="H22" s="115">
        <v>21</v>
      </c>
      <c r="I22" s="119" t="str" cm="1">
        <f t="array" aca="1" ref="I22" ca="1">IFERROR(INDEX(MTIB!$E$3:$E$1000,
SMALL(
IF((MTIB!$Q$3:$Q$1000&lt;&gt;"")*(MTIB!$Q$3:$Q$1000&lt;&gt;"Not Due"),
ROW(MTIB!$Q$3:$Q$1000)-ROW(MTIB!$Q$3)+1),
ROWS(A$2:A22))),"")</f>
        <v/>
      </c>
      <c r="J22" s="115" t="str" cm="1">
        <f t="array" aca="1" ref="J22" ca="1">IFERROR(INDEX(MTIB!$B$3:$B$1000,
SMALL(
IF((MTIB!$Q$3:$Q$1000&lt;&gt;"")*(MTIB!$Q$3:$Q$1000&lt;&gt;"Not Due"),
ROW(MTIB!$Q$3:$Q$1000)-ROW(MTIB!$Q$3)+1),
ROWS(A$2:A22))),"")</f>
        <v/>
      </c>
      <c r="K22" s="115" t="str" cm="1">
        <f t="array" aca="1" ref="K22" ca="1">IFERROR(INDEX(MTIB!$D$3:$D$1000,
SMALL(
IF((MTIB!$Q$3:$Q$1000&lt;&gt;"")*(MTIB!$Q$3:$Q$1000&lt;&gt;"Not Due"),
ROW(MTIB!$Q$3:$Q$1000)-ROW(MTIB!$Q$3)+1),
ROWS(A$2:A22))),"")</f>
        <v/>
      </c>
      <c r="L22" s="116" t="str" cm="1">
        <f t="array" aca="1" ref="L22" ca="1">IFERROR(INDEX(MTIB!$G$3:$G$1000,
SMALL(
IF((MTIB!$Q$3:$Q$1000&lt;&gt;"")*(MTIB!$Q$3:$Q$1000&lt;&gt;"Not Due"),
ROW(MTIB!$Q$3:$Q$1000)-ROW(MTIB!$Q$3)+1),
ROWS(A$2:A22))),"")</f>
        <v/>
      </c>
      <c r="M22" s="88" t="str" cm="1">
        <f t="array" aca="1" ref="M22" ca="1">IFERROR(INDEX(MTIB!$Q$3:$Q$1000,
SMALL(
IF((MTIB!$Q$3:$Q$1000&lt;&gt;"")*(MTIB!$Q$3:$Q$1000&lt;&gt;"Not Due"),
ROW(MTIB!$Q$3:$Q$1000)-ROW(MTIB!$Q$3)+1),
ROWS(A$2:A22))
),"")</f>
        <v/>
      </c>
      <c r="O22" s="115">
        <v>21</v>
      </c>
      <c r="P22" s="120" t="str" cm="1">
        <f t="array" aca="1" ref="P22" ca="1">IFERROR(INDEX(MPOB!$E$3:$E$1000,
SMALL(
IF((MPOB!$Q$3:$Q$1000&lt;&gt;"")*(MPOB!$Q$3:$Q$1000&lt;&gt;"Not Due"),
ROW(MPOB!$Q$3:$Q$1000)-ROW(MPOB!$Q$3)+1),
ROWS(A$2:A22))),"")</f>
        <v>MPOB</v>
      </c>
      <c r="Q22" s="115" t="str" cm="1">
        <f t="array" aca="1" ref="Q22" ca="1">IFERROR(INDEX(MPOB!$B$3:$B$1000,
SMALL(
IF((MPOB!$Q$3:$Q$1000&lt;&gt;"")*(MPOB!$Q$3:$Q$1000&lt;&gt;"Not Due"),
ROW(MPOB!$Q$3:$Q$1000)-ROW(MPOB!$Q$3)+1),
ROWS(A$2:A22))),"")</f>
        <v>T/2026/00235</v>
      </c>
      <c r="R22" s="115" t="str" cm="1">
        <f t="array" aca="1" ref="R22" ca="1">IFERROR(INDEX(MPOB!$D$3:$D$1000,
SMALL(
IF((MPOB!$Q$3:$Q$1000&lt;&gt;"")*(MPOB!$Q$3:$Q$1000&lt;&gt;"Not Due"),
ROW(MPOB!$Q$3:$Q$1000)-ROW(MPOB!$Q$3)+1),
ROWS(A$2:A22))),"")</f>
        <v>MyFinancial</v>
      </c>
      <c r="S22" s="116" t="str" cm="1">
        <f t="array" aca="1" ref="S22" ca="1">IFERROR(INDEX(MPOB!$G$3:$G$1000,
SMALL(
IF((MPOB!$Q$3:$Q$1000&lt;&gt;"")*(MPOB!$Q$3:$Q$1000&lt;&gt;"Not Due"),
ROW(MPOB!$Q$3:$Q$1000)-ROW(MPOB!$Q$3)+1),
ROWS(A$2:A22))),"")</f>
        <v>SEMASA PENGESAHAN RESIT - MAKLUMAT BIL DAN AMAUN BAYARAN TIDAK APPEAR - RUJUK RESIT NO RCPFMDD/0225/10615</v>
      </c>
      <c r="T22" s="88" t="str" cm="1">
        <f t="array" aca="1" ref="T22" ca="1">IFERROR(INDEX(MPOB!$Q$3:$Q$1000,
SMALL(
IF((MPOB!$Q$3:$Q$1000&lt;&gt;"")*(MPOB!$Q$3:$Q$1000&lt;&gt;"Not Due"),
ROW(MPOB!$Q$3:$Q$1000)-ROW(MPOB!$Q$3)+1),
ROWS(A$2:A22))
),"")</f>
        <v>&gt;60 Days</v>
      </c>
      <c r="V22" s="115">
        <v>21</v>
      </c>
      <c r="W22" s="121" t="str" cm="1">
        <f t="array" aca="1" ref="W22" ca="1">IFERROR(INDEX(LKTN!$E$3:$E$1000,
SMALL(
IF((LKTN!$Q$3:$Q$1000&lt;&gt;"")*(LKTN!$Q$3:$Q$1000&lt;&gt;"Not Due"),
ROW(LKTN!$Q$3:$Q$1000)-ROW(LKTN!$Q$3)+1),
ROWS(A$2:A22))),"")</f>
        <v/>
      </c>
      <c r="X22" s="115" t="str" cm="1">
        <f t="array" aca="1" ref="X22" ca="1">IFERROR(INDEX(LKTN!$B$3:$B$1000,
SMALL(
IF((LKTN!$Q$3:$Q$1000&lt;&gt;"")*(LKTN!$Q$3:$Q$1000&lt;&gt;"Not Due"),
ROW(LKTN!$Q$3:$Q$1000)-ROW(LKTN!$Q$3)+1),
ROWS(A$2:A22))),"")</f>
        <v/>
      </c>
      <c r="Y22" s="115" t="str" cm="1">
        <f t="array" aca="1" ref="Y22" ca="1">IFERROR(INDEX(LKTN!$D$3:$D$1000,
SMALL(
IF((LKTN!$Q$3:$Q$1000&lt;&gt;"")*(LKTN!$Q$3:$Q$1000&lt;&gt;"Not Due"),
ROW(LKTN!$Q$3:$Q$1000)-ROW(LKTN!$Q$3)+1),
ROWS(A$2:A22))),"")</f>
        <v/>
      </c>
      <c r="Z22" s="116" t="str" cm="1">
        <f t="array" aca="1" ref="Z22" ca="1">IFERROR(INDEX(LKTN!$G$3:$G$1000,
SMALL(
IF((LKTN!$Q$3:$Q$1000&lt;&gt;"")*(LKTN!$Q$3:$Q$1000&lt;&gt;"Not Due"),
ROW(LKTN!$Q$3:$Q$1000)-ROW(LKTN!$Q$3)+1),
ROWS(A$2:A22))),"")</f>
        <v/>
      </c>
      <c r="AA22" s="64" t="str" cm="1">
        <f t="array" aca="1" ref="AA22" ca="1">IFERROR(INDEX(LKTN!$Q$3:$Q$1000,
SMALL(
IF((LKTN!$Q$3:$Q$1000&lt;&gt;"")*(LKTN!$Q$3:$Q$1000&lt;&gt;"Not Due"),
ROW(LKTN!$Q$3:$Q$1000)-ROW(LKTN!$Q$3)+1),
ROWS(A$2:A22))
),"")</f>
        <v/>
      </c>
      <c r="AJ22" s="115">
        <v>21</v>
      </c>
      <c r="AK22" s="123" t="str" cm="1">
        <f t="array" aca="1" ref="AK22" ca="1">IFERROR(INDEX(ISN!$E$3:$E$1000,
SMALL(
IF((ISN!$Q$3:$Q$1000&lt;&gt;"")*(ISN!$Q$3:$Q$1000&lt;&gt;"Not Due"),
ROW(ISN!$Q$3:$Q$1000)-ROW(ISN!$Q$3)+1),
ROWS(A$2:A22))),"")</f>
        <v/>
      </c>
      <c r="AL22" s="115" t="str" cm="1">
        <f t="array" aca="1" ref="AL22" ca="1">IFERROR(INDEX(ISN!$B$3:$B$1000,
SMALL(
IF((ISN!$Q$3:$Q$1000&lt;&gt;"")*(ISN!$Q$3:$Q$1000&lt;&gt;"Not Due"),
ROW(ISN!$Q$3:$Q$1000)-ROW(ISN!$Q$3)+1),
ROWS(A$2:A22))),"")</f>
        <v/>
      </c>
      <c r="AM22" s="116" t="str" cm="1">
        <f t="array" aca="1" ref="AM22" ca="1">IFERROR(INDEX(ISN!$D$3:$D$1000,
SMALL(
IF((ISN!$Q$3:$Q$1000&lt;&gt;"")*(ISN!$Q$3:$Q$1000&lt;&gt;"Not Due"),
ROW(ISN!$Q$3:$Q$1000)-ROW(ISN!$Q$3)+1),
ROWS(A$2:A22))),"")</f>
        <v/>
      </c>
      <c r="AN22" s="116" t="str" cm="1">
        <f t="array" aca="1" ref="AN22" ca="1">IFERROR(INDEX(ISN!$G$3:$G$1000,
SMALL(
IF((ISN!$Q$3:$Q$1000&lt;&gt;"")*(ISN!$Q$3:$Q$1000&lt;&gt;"Not Due"),
ROW(ISN!$Q$3:$Q$1000)-ROW(ISN!$Q$3)+1),
ROWS(A$2:A22))),"")</f>
        <v/>
      </c>
      <c r="AO22" s="64" t="str" cm="1">
        <f t="array" aca="1" ref="AO22" ca="1">IFERROR(INDEX(ISN!$Q$3:$Q$1000,
SMALL(
IF((ISN!$Q$3:$Q$1000&lt;&gt;"")*(ISN!$Q$3:$Q$1000&lt;&gt;"Not Due"),
ROW(ISN!$Q$3:$Q$1000)-ROW(ISN!$Q$3)+1),
ROWS(A$2:A22))
),"")</f>
        <v/>
      </c>
      <c r="AQ22" s="115">
        <v>21</v>
      </c>
      <c r="AR22" s="124" t="str" cm="1">
        <f t="array" aca="1" ref="AR22" ca="1">IFERROR(INDEX(MSN!$E$3:$E$1000,
SMALL(
IF((MSN!$Q$3:$Q$1000&lt;&gt;"")*(MSN!$Q$3:$Q$1000&lt;&gt;"Not Due"),
ROW(MSN!$Q$3:$Q$1000)-ROW(MSN!$Q$3)+1),
ROWS(A$2:A22))),"")</f>
        <v/>
      </c>
      <c r="AS22" s="115" t="str" cm="1">
        <f t="array" aca="1" ref="AS22" ca="1">IFERROR(INDEX(MSN!$B$3:$B$1000,
SMALL(
IF((MSN!$Q$3:$Q$1000&lt;&gt;"")*(MSN!$Q$3:$Q$1000&lt;&gt;"Not Due"),
ROW(MSN!$Q$3:$Q$1000)-ROW(MSN!$Q$3)+1),
ROWS(A$2:A22))),"")</f>
        <v/>
      </c>
      <c r="AT22" s="115" t="str" cm="1">
        <f t="array" aca="1" ref="AT22" ca="1">IFERROR(INDEX(MSN!$D$3:$D$1000,
SMALL(
IF((MSN!$Q$3:$Q$1000&lt;&gt;"")*(MSN!$Q$3:$Q$1000&lt;&gt;"Not Due"),
ROW(MSN!$Q$3:$Q$1000)-ROW(MSN!$Q$3)+1),
ROWS(A$2:A22))),"")</f>
        <v/>
      </c>
      <c r="AU22" s="116" t="str" cm="1">
        <f t="array" aca="1" ref="AU22" ca="1">IFERROR(INDEX(MSN!$G$3:$G$1000,
SMALL(
IF((MSN!$Q$3:$Q$1000&lt;&gt;"")*(MSN!$Q$3:$Q$1000&lt;&gt;"Not Due"),
ROW(MSN!$Q$3:$Q$1000)-ROW(MSN!$Q$3)+1),
ROWS(A$2:A22))),"")</f>
        <v/>
      </c>
      <c r="AV22" s="64" t="str" cm="1">
        <f t="array" aca="1" ref="AV22" ca="1">IFERROR(INDEX(MSN!$Q$3:$Q$1000,
SMALL(
IF((MSN!$Q$3:$Q$1000&lt;&gt;"")*(MSN!$Q$3:$Q$1000&lt;&gt;"Not Due"),
ROW(MSN!$Q$3:$Q$1000)-ROW(MSN!$Q$3)+1),
ROWS(A$2:A22))
),"")</f>
        <v/>
      </c>
    </row>
    <row r="23" spans="1:48" ht="124.8" x14ac:dyDescent="0.3">
      <c r="A23" s="115">
        <v>22</v>
      </c>
      <c r="B23" s="118" t="str" cm="1">
        <f t="array" aca="1" ref="B23" ca="1">IFERROR(INDEX(FRIM!$E$3:$E$1000,
SMALL(IF(FRIM!$Q$3:$Q$1000&lt;&gt;"",
ROW(FRIM!$Q$3:$Q$1000)-ROW(FRIM!$Q$3)+1),
ROWS(A$2:A23))),"")</f>
        <v>FRIM</v>
      </c>
      <c r="C23" s="116" t="str" cm="1">
        <f t="array" aca="1" ref="C23" ca="1">IFERROR(INDEX(FRIM!$B$3:$B$1000,
SMALL(IF(FRIM!$Q$3:$Q$1000&lt;&gt;"",
ROW(FRIM!$Q$3:$Q$1000)-ROW(FRIM!$Q$3)+1),
ROWS(A$2:A23))),"")</f>
        <v>T/2026/00353</v>
      </c>
      <c r="D23" s="116" t="str" cm="1">
        <f t="array" aca="1" ref="D23" ca="1">IFERROR(INDEX(FRIM!$D$3:$D$1000,
SMALL(IF(FRIM!$Q$3:$Q$1000&lt;&gt;"",
ROW(FRIM!$Q$3:$Q$1000)-ROW(FRIM!$Q$3)+1),
ROWS(A$2:A23))),"")</f>
        <v>MYPROCUREMENT</v>
      </c>
      <c r="E23" s="116" t="str" cm="1">
        <f t="array" aca="1" ref="E23" ca="1">IFERROR(INDEX(FRIM!$G$3:$G$1000,
SMALL(IF(FRIM!$Q$3:$Q$1000&lt;&gt;"",
ROW(FRIM!$Q$3:$Q$1000)-ROW(FRIM!$Q$3)+1),
ROWS(A$2:A23))),"")</f>
        <v>W2554 15 May 2026 NUR SYAQIRAH BINTI MOHAMED FOZI emel 15/5/2026 adalah dirujuk dan aduan w2534 (no tiket: t/2026/00255) syarikat sri comm travel services sdn bhd tidak dapat kemaskini maklumat. syarikat juga tidak dapat upload dokumen. mohon bantuan segera.</v>
      </c>
      <c r="F23" s="88" t="str" cm="1">
        <f t="array" aca="1" ref="F23" ca="1">IFERROR(INDEX(FRIM!$Q$3:$Q$1000,
SMALL(IF(FRIM!$Q$3:$Q$1000&lt;&gt;"",
ROW(FRIM!$Q$3:$Q$1000)-ROW(FRIM!$Q$3)+1),
ROWS(A$2:A23))),"")</f>
        <v>31-60 Days</v>
      </c>
      <c r="H23" s="115">
        <v>22</v>
      </c>
      <c r="I23" s="119" t="str" cm="1">
        <f t="array" aca="1" ref="I23" ca="1">IFERROR(INDEX(MTIB!$E$3:$E$1000,
SMALL(
IF((MTIB!$Q$3:$Q$1000&lt;&gt;"")*(MTIB!$Q$3:$Q$1000&lt;&gt;"Not Due"),
ROW(MTIB!$Q$3:$Q$1000)-ROW(MTIB!$Q$3)+1),
ROWS(A$2:A23))),"")</f>
        <v/>
      </c>
      <c r="J23" s="115" t="str" cm="1">
        <f t="array" aca="1" ref="J23" ca="1">IFERROR(INDEX(MTIB!$B$3:$B$1000,
SMALL(
IF((MTIB!$Q$3:$Q$1000&lt;&gt;"")*(MTIB!$Q$3:$Q$1000&lt;&gt;"Not Due"),
ROW(MTIB!$Q$3:$Q$1000)-ROW(MTIB!$Q$3)+1),
ROWS(A$2:A23))),"")</f>
        <v/>
      </c>
      <c r="K23" s="115" t="str" cm="1">
        <f t="array" aca="1" ref="K23" ca="1">IFERROR(INDEX(MTIB!$D$3:$D$1000,
SMALL(
IF((MTIB!$Q$3:$Q$1000&lt;&gt;"")*(MTIB!$Q$3:$Q$1000&lt;&gt;"Not Due"),
ROW(MTIB!$Q$3:$Q$1000)-ROW(MTIB!$Q$3)+1),
ROWS(A$2:A23))),"")</f>
        <v/>
      </c>
      <c r="L23" s="116" t="str" cm="1">
        <f t="array" aca="1" ref="L23" ca="1">IFERROR(INDEX(MTIB!$G$3:$G$1000,
SMALL(
IF((MTIB!$Q$3:$Q$1000&lt;&gt;"")*(MTIB!$Q$3:$Q$1000&lt;&gt;"Not Due"),
ROW(MTIB!$Q$3:$Q$1000)-ROW(MTIB!$Q$3)+1),
ROWS(A$2:A23))),"")</f>
        <v/>
      </c>
      <c r="M23" s="88" t="str" cm="1">
        <f t="array" aca="1" ref="M23" ca="1">IFERROR(INDEX(MTIB!$Q$3:$Q$1000,
SMALL(
IF((MTIB!$Q$3:$Q$1000&lt;&gt;"")*(MTIB!$Q$3:$Q$1000&lt;&gt;"Not Due"),
ROW(MTIB!$Q$3:$Q$1000)-ROW(MTIB!$Q$3)+1),
ROWS(A$2:A23))
),"")</f>
        <v/>
      </c>
      <c r="O23" s="115">
        <v>22</v>
      </c>
      <c r="P23" s="120" t="str" cm="1">
        <f t="array" aca="1" ref="P23" ca="1">IFERROR(INDEX(MPOB!$E$3:$E$1000,
SMALL(
IF((MPOB!$Q$3:$Q$1000&lt;&gt;"")*(MPOB!$Q$3:$Q$1000&lt;&gt;"Not Due"),
ROW(MPOB!$Q$3:$Q$1000)-ROW(MPOB!$Q$3)+1),
ROWS(A$2:A23))),"")</f>
        <v>MPOB</v>
      </c>
      <c r="Q23" s="115" t="str" cm="1">
        <f t="array" aca="1" ref="Q23" ca="1">IFERROR(INDEX(MPOB!$B$3:$B$1000,
SMALL(
IF((MPOB!$Q$3:$Q$1000&lt;&gt;"")*(MPOB!$Q$3:$Q$1000&lt;&gt;"Not Due"),
ROW(MPOB!$Q$3:$Q$1000)-ROW(MPOB!$Q$3)+1),
ROWS(A$2:A23))),"")</f>
        <v>T/2026/00239</v>
      </c>
      <c r="R23" s="115" t="str" cm="1">
        <f t="array" aca="1" ref="R23" ca="1">IFERROR(INDEX(MPOB!$D$3:$D$1000,
SMALL(
IF((MPOB!$Q$3:$Q$1000&lt;&gt;"")*(MPOB!$Q$3:$Q$1000&lt;&gt;"Not Due"),
ROW(MPOB!$Q$3:$Q$1000)-ROW(MPOB!$Q$3)+1),
ROWS(A$2:A23))),"")</f>
        <v>MyLoan</v>
      </c>
      <c r="S23" s="116" t="str" cm="1">
        <f t="array" aca="1" ref="S23" ca="1">IFERROR(INDEX(MPOB!$G$3:$G$1000,
SMALL(
IF((MPOB!$Q$3:$Q$1000&lt;&gt;"")*(MPOB!$Q$3:$Q$1000&lt;&gt;"Not Due"),
ROW(MPOB!$Q$3:$Q$1000)-ROW(MPOB!$Q$3)+1),
ROWS(A$2:A23))),"")</f>
        <v>BAGI TUJUAN PENUTUPAN AKAUN 31/12/2025, PENYATA PINJAMAN INDIVIDU PERLU DIKEMASKINI DENGAN MENGAMBILKIRA BAKI AWAL, POTONGAN GAJI 2025, DAN MEMAPARKAN BAKI AKHIR YANG TEPAT. DOKUMEN INI WAJIB ADA BAGI TUJUAN SEMAKAN AUDIT. TOLONG PROSES SEGERA PENYATA BAGI 46 PEMINJAM KENDERAAN &amp; 10 PEMINJAM KOMPUTER. TQ</v>
      </c>
      <c r="T23" s="88" t="str" cm="1">
        <f t="array" aca="1" ref="T23" ca="1">IFERROR(INDEX(MPOB!$Q$3:$Q$1000,
SMALL(
IF((MPOB!$Q$3:$Q$1000&lt;&gt;"")*(MPOB!$Q$3:$Q$1000&lt;&gt;"Not Due"),
ROW(MPOB!$Q$3:$Q$1000)-ROW(MPOB!$Q$3)+1),
ROWS(A$2:A23))
),"")</f>
        <v>&gt;60 Days</v>
      </c>
      <c r="V23" s="115">
        <v>22</v>
      </c>
      <c r="W23" s="121" t="str" cm="1">
        <f t="array" aca="1" ref="W23" ca="1">IFERROR(INDEX(LKTN!$E$3:$E$1000,
SMALL(
IF((LKTN!$Q$3:$Q$1000&lt;&gt;"")*(LKTN!$Q$3:$Q$1000&lt;&gt;"Not Due"),
ROW(LKTN!$Q$3:$Q$1000)-ROW(LKTN!$Q$3)+1),
ROWS(A$2:A23))),"")</f>
        <v/>
      </c>
      <c r="X23" s="115" t="str" cm="1">
        <f t="array" aca="1" ref="X23" ca="1">IFERROR(INDEX(LKTN!$B$3:$B$1000,
SMALL(
IF((LKTN!$Q$3:$Q$1000&lt;&gt;"")*(LKTN!$Q$3:$Q$1000&lt;&gt;"Not Due"),
ROW(LKTN!$Q$3:$Q$1000)-ROW(LKTN!$Q$3)+1),
ROWS(A$2:A23))),"")</f>
        <v/>
      </c>
      <c r="Y23" s="115" t="str" cm="1">
        <f t="array" aca="1" ref="Y23" ca="1">IFERROR(INDEX(LKTN!$D$3:$D$1000,
SMALL(
IF((LKTN!$Q$3:$Q$1000&lt;&gt;"")*(LKTN!$Q$3:$Q$1000&lt;&gt;"Not Due"),
ROW(LKTN!$Q$3:$Q$1000)-ROW(LKTN!$Q$3)+1),
ROWS(A$2:A23))),"")</f>
        <v/>
      </c>
      <c r="Z23" s="116" t="str" cm="1">
        <f t="array" aca="1" ref="Z23" ca="1">IFERROR(INDEX(LKTN!$G$3:$G$1000,
SMALL(
IF((LKTN!$Q$3:$Q$1000&lt;&gt;"")*(LKTN!$Q$3:$Q$1000&lt;&gt;"Not Due"),
ROW(LKTN!$Q$3:$Q$1000)-ROW(LKTN!$Q$3)+1),
ROWS(A$2:A23))),"")</f>
        <v/>
      </c>
      <c r="AA23" s="64" t="str" cm="1">
        <f t="array" aca="1" ref="AA23" ca="1">IFERROR(INDEX(LKTN!$Q$3:$Q$1000,
SMALL(
IF((LKTN!$Q$3:$Q$1000&lt;&gt;"")*(LKTN!$Q$3:$Q$1000&lt;&gt;"Not Due"),
ROW(LKTN!$Q$3:$Q$1000)-ROW(LKTN!$Q$3)+1),
ROWS(A$2:A23))
),"")</f>
        <v/>
      </c>
      <c r="AJ23" s="115">
        <v>22</v>
      </c>
      <c r="AK23" s="123" t="str" cm="1">
        <f t="array" aca="1" ref="AK23" ca="1">IFERROR(INDEX(ISN!$E$3:$E$1000,
SMALL(
IF((ISN!$Q$3:$Q$1000&lt;&gt;"")*(ISN!$Q$3:$Q$1000&lt;&gt;"Not Due"),
ROW(ISN!$Q$3:$Q$1000)-ROW(ISN!$Q$3)+1),
ROWS(A$2:A23))),"")</f>
        <v/>
      </c>
      <c r="AL23" s="115" t="str" cm="1">
        <f t="array" aca="1" ref="AL23" ca="1">IFERROR(INDEX(ISN!$B$3:$B$1000,
SMALL(
IF((ISN!$Q$3:$Q$1000&lt;&gt;"")*(ISN!$Q$3:$Q$1000&lt;&gt;"Not Due"),
ROW(ISN!$Q$3:$Q$1000)-ROW(ISN!$Q$3)+1),
ROWS(A$2:A23))),"")</f>
        <v/>
      </c>
      <c r="AM23" s="116" t="str" cm="1">
        <f t="array" aca="1" ref="AM23" ca="1">IFERROR(INDEX(ISN!$D$3:$D$1000,
SMALL(
IF((ISN!$Q$3:$Q$1000&lt;&gt;"")*(ISN!$Q$3:$Q$1000&lt;&gt;"Not Due"),
ROW(ISN!$Q$3:$Q$1000)-ROW(ISN!$Q$3)+1),
ROWS(A$2:A23))),"")</f>
        <v/>
      </c>
      <c r="AN23" s="116" t="str" cm="1">
        <f t="array" aca="1" ref="AN23" ca="1">IFERROR(INDEX(ISN!$G$3:$G$1000,
SMALL(
IF((ISN!$Q$3:$Q$1000&lt;&gt;"")*(ISN!$Q$3:$Q$1000&lt;&gt;"Not Due"),
ROW(ISN!$Q$3:$Q$1000)-ROW(ISN!$Q$3)+1),
ROWS(A$2:A23))),"")</f>
        <v/>
      </c>
      <c r="AO23" s="64" t="str" cm="1">
        <f t="array" aca="1" ref="AO23" ca="1">IFERROR(INDEX(ISN!$Q$3:$Q$1000,
SMALL(
IF((ISN!$Q$3:$Q$1000&lt;&gt;"")*(ISN!$Q$3:$Q$1000&lt;&gt;"Not Due"),
ROW(ISN!$Q$3:$Q$1000)-ROW(ISN!$Q$3)+1),
ROWS(A$2:A23))
),"")</f>
        <v/>
      </c>
      <c r="AQ23" s="115">
        <v>22</v>
      </c>
      <c r="AR23" s="124" t="str" cm="1">
        <f t="array" aca="1" ref="AR23" ca="1">IFERROR(INDEX(MSN!$E$3:$E$1000,
SMALL(
IF((MSN!$Q$3:$Q$1000&lt;&gt;"")*(MSN!$Q$3:$Q$1000&lt;&gt;"Not Due"),
ROW(MSN!$Q$3:$Q$1000)-ROW(MSN!$Q$3)+1),
ROWS(A$2:A23))),"")</f>
        <v/>
      </c>
      <c r="AS23" s="115" t="str" cm="1">
        <f t="array" aca="1" ref="AS23" ca="1">IFERROR(INDEX(MSN!$B$3:$B$1000,
SMALL(
IF((MSN!$Q$3:$Q$1000&lt;&gt;"")*(MSN!$Q$3:$Q$1000&lt;&gt;"Not Due"),
ROW(MSN!$Q$3:$Q$1000)-ROW(MSN!$Q$3)+1),
ROWS(A$2:A23))),"")</f>
        <v/>
      </c>
      <c r="AT23" s="115" t="str" cm="1">
        <f t="array" aca="1" ref="AT23" ca="1">IFERROR(INDEX(MSN!$D$3:$D$1000,
SMALL(
IF((MSN!$Q$3:$Q$1000&lt;&gt;"")*(MSN!$Q$3:$Q$1000&lt;&gt;"Not Due"),
ROW(MSN!$Q$3:$Q$1000)-ROW(MSN!$Q$3)+1),
ROWS(A$2:A23))),"")</f>
        <v/>
      </c>
      <c r="AU23" s="116" t="str" cm="1">
        <f t="array" aca="1" ref="AU23" ca="1">IFERROR(INDEX(MSN!$G$3:$G$1000,
SMALL(
IF((MSN!$Q$3:$Q$1000&lt;&gt;"")*(MSN!$Q$3:$Q$1000&lt;&gt;"Not Due"),
ROW(MSN!$Q$3:$Q$1000)-ROW(MSN!$Q$3)+1),
ROWS(A$2:A23))),"")</f>
        <v/>
      </c>
      <c r="AV23" s="64" t="str" cm="1">
        <f t="array" aca="1" ref="AV23" ca="1">IFERROR(INDEX(MSN!$Q$3:$Q$1000,
SMALL(
IF((MSN!$Q$3:$Q$1000&lt;&gt;"")*(MSN!$Q$3:$Q$1000&lt;&gt;"Not Due"),
ROW(MSN!$Q$3:$Q$1000)-ROW(MSN!$Q$3)+1),
ROWS(A$2:A23))
),"")</f>
        <v/>
      </c>
    </row>
    <row r="24" spans="1:48" ht="62.4" x14ac:dyDescent="0.3">
      <c r="A24" s="115">
        <v>23</v>
      </c>
      <c r="B24" s="118" t="str" cm="1">
        <f t="array" aca="1" ref="B24" ca="1">IFERROR(INDEX(FRIM!$E$3:$E$1000,
SMALL(IF(FRIM!$Q$3:$Q$1000&lt;&gt;"",
ROW(FRIM!$Q$3:$Q$1000)-ROW(FRIM!$Q$3)+1),
ROWS(A$2:A24))),"")</f>
        <v>FRIM</v>
      </c>
      <c r="C24" s="116" t="str" cm="1">
        <f t="array" aca="1" ref="C24" ca="1">IFERROR(INDEX(FRIM!$B$3:$B$1000,
SMALL(IF(FRIM!$Q$3:$Q$1000&lt;&gt;"",
ROW(FRIM!$Q$3:$Q$1000)-ROW(FRIM!$Q$3)+1),
ROWS(A$2:A24))),"")</f>
        <v>T/2026/00363</v>
      </c>
      <c r="D24" s="116" t="str" cm="1">
        <f t="array" aca="1" ref="D24" ca="1">IFERROR(INDEX(FRIM!$D$3:$D$1000,
SMALL(IF(FRIM!$Q$3:$Q$1000&lt;&gt;"",
ROW(FRIM!$Q$3:$Q$1000)-ROW(FRIM!$Q$3)+1),
ROWS(A$2:A24))),"")</f>
        <v>MYFINANCIAL CLIENT</v>
      </c>
      <c r="E24" s="116" t="str" cm="1">
        <f t="array" aca="1" ref="E24" ca="1">IFERROR(INDEX(FRIM!$G$3:$G$1000,
SMALL(IF(FRIM!$Q$3:$Q$1000&lt;&gt;"",
ROW(FRIM!$Q$3:$Q$1000)-ROW(FRIM!$Q$3)+1),
ROWS(A$2:A24))),"")</f>
        <v>W2556 20 May 2026 FATIN NUR AFIQA BINTI MAHAYUDIN format laporan document details format 2 tidak selari. sila rujuk lampiran</v>
      </c>
      <c r="F24" s="88" t="str" cm="1">
        <f t="array" aca="1" ref="F24" ca="1">IFERROR(INDEX(FRIM!$Q$3:$Q$1000,
SMALL(IF(FRIM!$Q$3:$Q$1000&lt;&gt;"",
ROW(FRIM!$Q$3:$Q$1000)-ROW(FRIM!$Q$3)+1),
ROWS(A$2:A24))),"")</f>
        <v>31-60 Days</v>
      </c>
      <c r="H24" s="115">
        <v>23</v>
      </c>
      <c r="I24" s="119" t="str" cm="1">
        <f t="array" aca="1" ref="I24" ca="1">IFERROR(INDEX(MTIB!$E$3:$E$1000,
SMALL(
IF((MTIB!$Q$3:$Q$1000&lt;&gt;"")*(MTIB!$Q$3:$Q$1000&lt;&gt;"Not Due"),
ROW(MTIB!$Q$3:$Q$1000)-ROW(MTIB!$Q$3)+1),
ROWS(A$2:A24))),"")</f>
        <v/>
      </c>
      <c r="J24" s="115" t="str" cm="1">
        <f t="array" aca="1" ref="J24" ca="1">IFERROR(INDEX(MTIB!$B$3:$B$1000,
SMALL(
IF((MTIB!$Q$3:$Q$1000&lt;&gt;"")*(MTIB!$Q$3:$Q$1000&lt;&gt;"Not Due"),
ROW(MTIB!$Q$3:$Q$1000)-ROW(MTIB!$Q$3)+1),
ROWS(A$2:A24))),"")</f>
        <v/>
      </c>
      <c r="K24" s="115" t="str" cm="1">
        <f t="array" aca="1" ref="K24" ca="1">IFERROR(INDEX(MTIB!$D$3:$D$1000,
SMALL(
IF((MTIB!$Q$3:$Q$1000&lt;&gt;"")*(MTIB!$Q$3:$Q$1000&lt;&gt;"Not Due"),
ROW(MTIB!$Q$3:$Q$1000)-ROW(MTIB!$Q$3)+1),
ROWS(A$2:A24))),"")</f>
        <v/>
      </c>
      <c r="L24" s="116" t="str" cm="1">
        <f t="array" aca="1" ref="L24" ca="1">IFERROR(INDEX(MTIB!$G$3:$G$1000,
SMALL(
IF((MTIB!$Q$3:$Q$1000&lt;&gt;"")*(MTIB!$Q$3:$Q$1000&lt;&gt;"Not Due"),
ROW(MTIB!$Q$3:$Q$1000)-ROW(MTIB!$Q$3)+1),
ROWS(A$2:A24))),"")</f>
        <v/>
      </c>
      <c r="M24" s="88" t="str" cm="1">
        <f t="array" aca="1" ref="M24" ca="1">IFERROR(INDEX(MTIB!$Q$3:$Q$1000,
SMALL(
IF((MTIB!$Q$3:$Q$1000&lt;&gt;"")*(MTIB!$Q$3:$Q$1000&lt;&gt;"Not Due"),
ROW(MTIB!$Q$3:$Q$1000)-ROW(MTIB!$Q$3)+1),
ROWS(A$2:A24))
),"")</f>
        <v/>
      </c>
      <c r="O24" s="115">
        <v>23</v>
      </c>
      <c r="P24" s="120" t="str" cm="1">
        <f t="array" aca="1" ref="P24" ca="1">IFERROR(INDEX(MPOB!$E$3:$E$1000,
SMALL(
IF((MPOB!$Q$3:$Q$1000&lt;&gt;"")*(MPOB!$Q$3:$Q$1000&lt;&gt;"Not Due"),
ROW(MPOB!$Q$3:$Q$1000)-ROW(MPOB!$Q$3)+1),
ROWS(A$2:A24))),"")</f>
        <v>MPOB</v>
      </c>
      <c r="Q24" s="115" t="str" cm="1">
        <f t="array" aca="1" ref="Q24" ca="1">IFERROR(INDEX(MPOB!$B$3:$B$1000,
SMALL(
IF((MPOB!$Q$3:$Q$1000&lt;&gt;"")*(MPOB!$Q$3:$Q$1000&lt;&gt;"Not Due"),
ROW(MPOB!$Q$3:$Q$1000)-ROW(MPOB!$Q$3)+1),
ROWS(A$2:A24))),"")</f>
        <v>T/2026/00243</v>
      </c>
      <c r="R24" s="115" t="str" cm="1">
        <f t="array" aca="1" ref="R24" ca="1">IFERROR(INDEX(MPOB!$D$3:$D$1000,
SMALL(
IF((MPOB!$Q$3:$Q$1000&lt;&gt;"")*(MPOB!$Q$3:$Q$1000&lt;&gt;"Not Due"),
ROW(MPOB!$Q$3:$Q$1000)-ROW(MPOB!$Q$3)+1),
ROWS(A$2:A24))),"")</f>
        <v>MyFinancial</v>
      </c>
      <c r="S24" s="116" t="str" cm="1">
        <f t="array" aca="1" ref="S24" ca="1">IFERROR(INDEX(MPOB!$G$3:$G$1000,
SMALL(
IF((MPOB!$Q$3:$Q$1000&lt;&gt;"")*(MPOB!$Q$3:$Q$1000&lt;&gt;"Not Due"),
ROW(MPOB!$Q$3:$Q$1000)-ROW(MPOB!$Q$3)+1),
ROWS(A$2:A24))),"")</f>
        <v>no bil BILFMDD/0524/00015 mempunyai ID dan nama berbeza.. pada paparan penyata penghutang dan pertanyaan bil, pohon semakan lanjut pihak myfas NAMA: LIYANA No.TEL: 01110405664</v>
      </c>
      <c r="T24" s="88" t="str" cm="1">
        <f t="array" aca="1" ref="T24" ca="1">IFERROR(INDEX(MPOB!$Q$3:$Q$1000,
SMALL(
IF((MPOB!$Q$3:$Q$1000&lt;&gt;"")*(MPOB!$Q$3:$Q$1000&lt;&gt;"Not Due"),
ROW(MPOB!$Q$3:$Q$1000)-ROW(MPOB!$Q$3)+1),
ROWS(A$2:A24))
),"")</f>
        <v>&gt;60 Days</v>
      </c>
      <c r="V24" s="115">
        <v>23</v>
      </c>
      <c r="W24" s="121" t="str" cm="1">
        <f t="array" aca="1" ref="W24" ca="1">IFERROR(INDEX(LKTN!$E$3:$E$1000,
SMALL(
IF((LKTN!$Q$3:$Q$1000&lt;&gt;"")*(LKTN!$Q$3:$Q$1000&lt;&gt;"Not Due"),
ROW(LKTN!$Q$3:$Q$1000)-ROW(LKTN!$Q$3)+1),
ROWS(A$2:A24))),"")</f>
        <v/>
      </c>
      <c r="X24" s="115" t="str" cm="1">
        <f t="array" aca="1" ref="X24" ca="1">IFERROR(INDEX(LKTN!$B$3:$B$1000,
SMALL(
IF((LKTN!$Q$3:$Q$1000&lt;&gt;"")*(LKTN!$Q$3:$Q$1000&lt;&gt;"Not Due"),
ROW(LKTN!$Q$3:$Q$1000)-ROW(LKTN!$Q$3)+1),
ROWS(A$2:A24))),"")</f>
        <v/>
      </c>
      <c r="Y24" s="115" t="str" cm="1">
        <f t="array" aca="1" ref="Y24" ca="1">IFERROR(INDEX(LKTN!$D$3:$D$1000,
SMALL(
IF((LKTN!$Q$3:$Q$1000&lt;&gt;"")*(LKTN!$Q$3:$Q$1000&lt;&gt;"Not Due"),
ROW(LKTN!$Q$3:$Q$1000)-ROW(LKTN!$Q$3)+1),
ROWS(A$2:A24))),"")</f>
        <v/>
      </c>
      <c r="Z24" s="116" t="str" cm="1">
        <f t="array" aca="1" ref="Z24" ca="1">IFERROR(INDEX(LKTN!$G$3:$G$1000,
SMALL(
IF((LKTN!$Q$3:$Q$1000&lt;&gt;"")*(LKTN!$Q$3:$Q$1000&lt;&gt;"Not Due"),
ROW(LKTN!$Q$3:$Q$1000)-ROW(LKTN!$Q$3)+1),
ROWS(A$2:A24))),"")</f>
        <v/>
      </c>
      <c r="AA24" s="64" t="str" cm="1">
        <f t="array" aca="1" ref="AA24" ca="1">IFERROR(INDEX(LKTN!$Q$3:$Q$1000,
SMALL(
IF((LKTN!$Q$3:$Q$1000&lt;&gt;"")*(LKTN!$Q$3:$Q$1000&lt;&gt;"Not Due"),
ROW(LKTN!$Q$3:$Q$1000)-ROW(LKTN!$Q$3)+1),
ROWS(A$2:A24))
),"")</f>
        <v/>
      </c>
      <c r="AJ24" s="115">
        <v>23</v>
      </c>
      <c r="AK24" s="123" t="str" cm="1">
        <f t="array" aca="1" ref="AK24" ca="1">IFERROR(INDEX(ISN!$E$3:$E$1000,
SMALL(
IF((ISN!$Q$3:$Q$1000&lt;&gt;"")*(ISN!$Q$3:$Q$1000&lt;&gt;"Not Due"),
ROW(ISN!$Q$3:$Q$1000)-ROW(ISN!$Q$3)+1),
ROWS(A$2:A24))),"")</f>
        <v/>
      </c>
      <c r="AL24" s="115" t="str" cm="1">
        <f t="array" aca="1" ref="AL24" ca="1">IFERROR(INDEX(ISN!$B$3:$B$1000,
SMALL(
IF((ISN!$Q$3:$Q$1000&lt;&gt;"")*(ISN!$Q$3:$Q$1000&lt;&gt;"Not Due"),
ROW(ISN!$Q$3:$Q$1000)-ROW(ISN!$Q$3)+1),
ROWS(A$2:A24))),"")</f>
        <v/>
      </c>
      <c r="AM24" s="116" t="str" cm="1">
        <f t="array" aca="1" ref="AM24" ca="1">IFERROR(INDEX(ISN!$D$3:$D$1000,
SMALL(
IF((ISN!$Q$3:$Q$1000&lt;&gt;"")*(ISN!$Q$3:$Q$1000&lt;&gt;"Not Due"),
ROW(ISN!$Q$3:$Q$1000)-ROW(ISN!$Q$3)+1),
ROWS(A$2:A24))),"")</f>
        <v/>
      </c>
      <c r="AN24" s="116" t="str" cm="1">
        <f t="array" aca="1" ref="AN24" ca="1">IFERROR(INDEX(ISN!$G$3:$G$1000,
SMALL(
IF((ISN!$Q$3:$Q$1000&lt;&gt;"")*(ISN!$Q$3:$Q$1000&lt;&gt;"Not Due"),
ROW(ISN!$Q$3:$Q$1000)-ROW(ISN!$Q$3)+1),
ROWS(A$2:A24))),"")</f>
        <v/>
      </c>
      <c r="AO24" s="64" t="str" cm="1">
        <f t="array" aca="1" ref="AO24" ca="1">IFERROR(INDEX(ISN!$Q$3:$Q$1000,
SMALL(
IF((ISN!$Q$3:$Q$1000&lt;&gt;"")*(ISN!$Q$3:$Q$1000&lt;&gt;"Not Due"),
ROW(ISN!$Q$3:$Q$1000)-ROW(ISN!$Q$3)+1),
ROWS(A$2:A24))
),"")</f>
        <v/>
      </c>
      <c r="AQ24" s="115">
        <v>23</v>
      </c>
      <c r="AR24" s="124" t="str" cm="1">
        <f t="array" aca="1" ref="AR24" ca="1">IFERROR(INDEX(MSN!$E$3:$E$1000,
SMALL(
IF((MSN!$Q$3:$Q$1000&lt;&gt;"")*(MSN!$Q$3:$Q$1000&lt;&gt;"Not Due"),
ROW(MSN!$Q$3:$Q$1000)-ROW(MSN!$Q$3)+1),
ROWS(A$2:A24))),"")</f>
        <v/>
      </c>
      <c r="AS24" s="115" t="str" cm="1">
        <f t="array" aca="1" ref="AS24" ca="1">IFERROR(INDEX(MSN!$B$3:$B$1000,
SMALL(
IF((MSN!$Q$3:$Q$1000&lt;&gt;"")*(MSN!$Q$3:$Q$1000&lt;&gt;"Not Due"),
ROW(MSN!$Q$3:$Q$1000)-ROW(MSN!$Q$3)+1),
ROWS(A$2:A24))),"")</f>
        <v/>
      </c>
      <c r="AT24" s="115" t="str" cm="1">
        <f t="array" aca="1" ref="AT24" ca="1">IFERROR(INDEX(MSN!$D$3:$D$1000,
SMALL(
IF((MSN!$Q$3:$Q$1000&lt;&gt;"")*(MSN!$Q$3:$Q$1000&lt;&gt;"Not Due"),
ROW(MSN!$Q$3:$Q$1000)-ROW(MSN!$Q$3)+1),
ROWS(A$2:A24))),"")</f>
        <v/>
      </c>
      <c r="AU24" s="116" t="str" cm="1">
        <f t="array" aca="1" ref="AU24" ca="1">IFERROR(INDEX(MSN!$G$3:$G$1000,
SMALL(
IF((MSN!$Q$3:$Q$1000&lt;&gt;"")*(MSN!$Q$3:$Q$1000&lt;&gt;"Not Due"),
ROW(MSN!$Q$3:$Q$1000)-ROW(MSN!$Q$3)+1),
ROWS(A$2:A24))),"")</f>
        <v/>
      </c>
      <c r="AV24" s="64" t="str" cm="1">
        <f t="array" aca="1" ref="AV24" ca="1">IFERROR(INDEX(MSN!$Q$3:$Q$1000,
SMALL(
IF((MSN!$Q$3:$Q$1000&lt;&gt;"")*(MSN!$Q$3:$Q$1000&lt;&gt;"Not Due"),
ROW(MSN!$Q$3:$Q$1000)-ROW(MSN!$Q$3)+1),
ROWS(A$2:A24))
),"")</f>
        <v/>
      </c>
    </row>
    <row r="25" spans="1:48" ht="124.8" x14ac:dyDescent="0.3">
      <c r="A25" s="115">
        <v>24</v>
      </c>
      <c r="B25" s="118" t="str" cm="1">
        <f t="array" aca="1" ref="B25" ca="1">IFERROR(INDEX(FRIM!$E$3:$E$1000,
SMALL(IF(FRIM!$Q$3:$Q$1000&lt;&gt;"",
ROW(FRIM!$Q$3:$Q$1000)-ROW(FRIM!$Q$3)+1),
ROWS(A$2:A25))),"")</f>
        <v>FRIM</v>
      </c>
      <c r="C25" s="116" t="str" cm="1">
        <f t="array" aca="1" ref="C25" ca="1">IFERROR(INDEX(FRIM!$B$3:$B$1000,
SMALL(IF(FRIM!$Q$3:$Q$1000&lt;&gt;"",
ROW(FRIM!$Q$3:$Q$1000)-ROW(FRIM!$Q$3)+1),
ROWS(A$2:A25))),"")</f>
        <v>T/2026/00378</v>
      </c>
      <c r="D25" s="116" t="str" cm="1">
        <f t="array" aca="1" ref="D25" ca="1">IFERROR(INDEX(FRIM!$D$3:$D$1000,
SMALL(IF(FRIM!$Q$3:$Q$1000&lt;&gt;"",
ROW(FRIM!$Q$3:$Q$1000)-ROW(FRIM!$Q$3)+1),
ROWS(A$2:A25))),"")</f>
        <v>MYPROCUREMENT</v>
      </c>
      <c r="E25" s="116" t="str" cm="1">
        <f t="array" aca="1" ref="E25" ca="1">IFERROR(INDEX(FRIM!$G$3:$G$1000,
SMALL(IF(FRIM!$Q$3:$Q$1000&lt;&gt;"",
ROW(FRIM!$Q$3:$Q$1000)-ROW(FRIM!$Q$3)+1),
ROWS(A$2:A25))),"")</f>
        <v>W2558 26 May 2026 NUR SYAQIRAH BINTI MOHAMED FOZI syarikat: maritime waterfront suites sdn bhd id: 201001015855 kemaskini gagal di peringkat perolehan kerana status menyatakan terdapat duplicate bank. semakan mendapati no akaun bank berbeza. mohon bantuan sekiranya tidak boleh key in nama bank yang sama, mohon sekat di peringkat awal. terima kasih.</v>
      </c>
      <c r="F25" s="88" t="str" cm="1">
        <f t="array" aca="1" ref="F25" ca="1">IFERROR(INDEX(FRIM!$Q$3:$Q$1000,
SMALL(IF(FRIM!$Q$3:$Q$1000&lt;&gt;"",
ROW(FRIM!$Q$3:$Q$1000)-ROW(FRIM!$Q$3)+1),
ROWS(A$2:A25))),"")</f>
        <v>1-30 Days</v>
      </c>
      <c r="H25" s="115">
        <v>24</v>
      </c>
      <c r="I25" s="119" t="str" cm="1">
        <f t="array" aca="1" ref="I25" ca="1">IFERROR(INDEX(MTIB!$E$3:$E$1000,
SMALL(
IF((MTIB!$Q$3:$Q$1000&lt;&gt;"")*(MTIB!$Q$3:$Q$1000&lt;&gt;"Not Due"),
ROW(MTIB!$Q$3:$Q$1000)-ROW(MTIB!$Q$3)+1),
ROWS(A$2:A25))),"")</f>
        <v/>
      </c>
      <c r="J25" s="115" t="str" cm="1">
        <f t="array" aca="1" ref="J25" ca="1">IFERROR(INDEX(MTIB!$B$3:$B$1000,
SMALL(
IF((MTIB!$Q$3:$Q$1000&lt;&gt;"")*(MTIB!$Q$3:$Q$1000&lt;&gt;"Not Due"),
ROW(MTIB!$Q$3:$Q$1000)-ROW(MTIB!$Q$3)+1),
ROWS(A$2:A25))),"")</f>
        <v/>
      </c>
      <c r="K25" s="115" t="str" cm="1">
        <f t="array" aca="1" ref="K25" ca="1">IFERROR(INDEX(MTIB!$D$3:$D$1000,
SMALL(
IF((MTIB!$Q$3:$Q$1000&lt;&gt;"")*(MTIB!$Q$3:$Q$1000&lt;&gt;"Not Due"),
ROW(MTIB!$Q$3:$Q$1000)-ROW(MTIB!$Q$3)+1),
ROWS(A$2:A25))),"")</f>
        <v/>
      </c>
      <c r="L25" s="116" t="str" cm="1">
        <f t="array" aca="1" ref="L25" ca="1">IFERROR(INDEX(MTIB!$G$3:$G$1000,
SMALL(
IF((MTIB!$Q$3:$Q$1000&lt;&gt;"")*(MTIB!$Q$3:$Q$1000&lt;&gt;"Not Due"),
ROW(MTIB!$Q$3:$Q$1000)-ROW(MTIB!$Q$3)+1),
ROWS(A$2:A25))),"")</f>
        <v/>
      </c>
      <c r="M25" s="88" t="str" cm="1">
        <f t="array" aca="1" ref="M25" ca="1">IFERROR(INDEX(MTIB!$Q$3:$Q$1000,
SMALL(
IF((MTIB!$Q$3:$Q$1000&lt;&gt;"")*(MTIB!$Q$3:$Q$1000&lt;&gt;"Not Due"),
ROW(MTIB!$Q$3:$Q$1000)-ROW(MTIB!$Q$3)+1),
ROWS(A$2:A25))
),"")</f>
        <v/>
      </c>
      <c r="O25" s="115">
        <v>24</v>
      </c>
      <c r="P25" s="120" t="str" cm="1">
        <f t="array" aca="1" ref="P25" ca="1">IFERROR(INDEX(MPOB!$E$3:$E$1000,
SMALL(
IF((MPOB!$Q$3:$Q$1000&lt;&gt;"")*(MPOB!$Q$3:$Q$1000&lt;&gt;"Not Due"),
ROW(MPOB!$Q$3:$Q$1000)-ROW(MPOB!$Q$3)+1),
ROWS(A$2:A25))),"")</f>
        <v>MPOB</v>
      </c>
      <c r="Q25" s="115" t="str" cm="1">
        <f t="array" aca="1" ref="Q25" ca="1">IFERROR(INDEX(MPOB!$B$3:$B$1000,
SMALL(
IF((MPOB!$Q$3:$Q$1000&lt;&gt;"")*(MPOB!$Q$3:$Q$1000&lt;&gt;"Not Due"),
ROW(MPOB!$Q$3:$Q$1000)-ROW(MPOB!$Q$3)+1),
ROWS(A$2:A25))),"")</f>
        <v>T/2026/00249</v>
      </c>
      <c r="R25" s="115" t="str" cm="1">
        <f t="array" aca="1" ref="R25" ca="1">IFERROR(INDEX(MPOB!$D$3:$D$1000,
SMALL(
IF((MPOB!$Q$3:$Q$1000&lt;&gt;"")*(MPOB!$Q$3:$Q$1000&lt;&gt;"Not Due"),
ROW(MPOB!$Q$3:$Q$1000)-ROW(MPOB!$Q$3)+1),
ROWS(A$2:A25))),"")</f>
        <v>MyDeposit</v>
      </c>
      <c r="S25" s="116" t="str" cm="1">
        <f t="array" aca="1" ref="S25" ca="1">IFERROR(INDEX(MPOB!$G$3:$G$1000,
SMALL(
IF((MPOB!$Q$3:$Q$1000&lt;&gt;"")*(MPOB!$Q$3:$Q$1000&lt;&gt;"Not Due"),
ROW(MPOB!$Q$3:$Q$1000)-ROW(MPOB!$Q$3)+1),
ROWS(A$2:A25))),"")</f>
        <v>No. Resit tidak boleh tarik untuk proses di mydeposit</v>
      </c>
      <c r="T25" s="88" t="str" cm="1">
        <f t="array" aca="1" ref="T25" ca="1">IFERROR(INDEX(MPOB!$Q$3:$Q$1000,
SMALL(
IF((MPOB!$Q$3:$Q$1000&lt;&gt;"")*(MPOB!$Q$3:$Q$1000&lt;&gt;"Not Due"),
ROW(MPOB!$Q$3:$Q$1000)-ROW(MPOB!$Q$3)+1),
ROWS(A$2:A25))
),"")</f>
        <v>&gt;60 Days</v>
      </c>
      <c r="V25" s="115">
        <v>24</v>
      </c>
      <c r="W25" s="121" t="str" cm="1">
        <f t="array" aca="1" ref="W25" ca="1">IFERROR(INDEX(LKTN!$E$3:$E$1000,
SMALL(
IF((LKTN!$Q$3:$Q$1000&lt;&gt;"")*(LKTN!$Q$3:$Q$1000&lt;&gt;"Not Due"),
ROW(LKTN!$Q$3:$Q$1000)-ROW(LKTN!$Q$3)+1),
ROWS(A$2:A25))),"")</f>
        <v/>
      </c>
      <c r="X25" s="115" t="str" cm="1">
        <f t="array" aca="1" ref="X25" ca="1">IFERROR(INDEX(LKTN!$B$3:$B$1000,
SMALL(
IF((LKTN!$Q$3:$Q$1000&lt;&gt;"")*(LKTN!$Q$3:$Q$1000&lt;&gt;"Not Due"),
ROW(LKTN!$Q$3:$Q$1000)-ROW(LKTN!$Q$3)+1),
ROWS(A$2:A25))),"")</f>
        <v/>
      </c>
      <c r="Y25" s="115" t="str" cm="1">
        <f t="array" aca="1" ref="Y25" ca="1">IFERROR(INDEX(LKTN!$D$3:$D$1000,
SMALL(
IF((LKTN!$Q$3:$Q$1000&lt;&gt;"")*(LKTN!$Q$3:$Q$1000&lt;&gt;"Not Due"),
ROW(LKTN!$Q$3:$Q$1000)-ROW(LKTN!$Q$3)+1),
ROWS(A$2:A25))),"")</f>
        <v/>
      </c>
      <c r="Z25" s="116" t="str" cm="1">
        <f t="array" aca="1" ref="Z25" ca="1">IFERROR(INDEX(LKTN!$G$3:$G$1000,
SMALL(
IF((LKTN!$Q$3:$Q$1000&lt;&gt;"")*(LKTN!$Q$3:$Q$1000&lt;&gt;"Not Due"),
ROW(LKTN!$Q$3:$Q$1000)-ROW(LKTN!$Q$3)+1),
ROWS(A$2:A25))),"")</f>
        <v/>
      </c>
      <c r="AA25" s="64" t="str" cm="1">
        <f t="array" aca="1" ref="AA25" ca="1">IFERROR(INDEX(LKTN!$Q$3:$Q$1000,
SMALL(
IF((LKTN!$Q$3:$Q$1000&lt;&gt;"")*(LKTN!$Q$3:$Q$1000&lt;&gt;"Not Due"),
ROW(LKTN!$Q$3:$Q$1000)-ROW(LKTN!$Q$3)+1),
ROWS(A$2:A25))
),"")</f>
        <v/>
      </c>
      <c r="AJ25" s="115">
        <v>24</v>
      </c>
      <c r="AK25" s="123" t="str" cm="1">
        <f t="array" aca="1" ref="AK25" ca="1">IFERROR(INDEX(ISN!$E$3:$E$1000,
SMALL(
IF((ISN!$Q$3:$Q$1000&lt;&gt;"")*(ISN!$Q$3:$Q$1000&lt;&gt;"Not Due"),
ROW(ISN!$Q$3:$Q$1000)-ROW(ISN!$Q$3)+1),
ROWS(A$2:A25))),"")</f>
        <v/>
      </c>
      <c r="AL25" s="115" t="str" cm="1">
        <f t="array" aca="1" ref="AL25" ca="1">IFERROR(INDEX(ISN!$B$3:$B$1000,
SMALL(
IF((ISN!$Q$3:$Q$1000&lt;&gt;"")*(ISN!$Q$3:$Q$1000&lt;&gt;"Not Due"),
ROW(ISN!$Q$3:$Q$1000)-ROW(ISN!$Q$3)+1),
ROWS(A$2:A25))),"")</f>
        <v/>
      </c>
      <c r="AM25" s="116" t="str" cm="1">
        <f t="array" aca="1" ref="AM25" ca="1">IFERROR(INDEX(ISN!$D$3:$D$1000,
SMALL(
IF((ISN!$Q$3:$Q$1000&lt;&gt;"")*(ISN!$Q$3:$Q$1000&lt;&gt;"Not Due"),
ROW(ISN!$Q$3:$Q$1000)-ROW(ISN!$Q$3)+1),
ROWS(A$2:A25))),"")</f>
        <v/>
      </c>
      <c r="AN25" s="116" t="str" cm="1">
        <f t="array" aca="1" ref="AN25" ca="1">IFERROR(INDEX(ISN!$G$3:$G$1000,
SMALL(
IF((ISN!$Q$3:$Q$1000&lt;&gt;"")*(ISN!$Q$3:$Q$1000&lt;&gt;"Not Due"),
ROW(ISN!$Q$3:$Q$1000)-ROW(ISN!$Q$3)+1),
ROWS(A$2:A25))),"")</f>
        <v/>
      </c>
      <c r="AO25" s="64" t="str" cm="1">
        <f t="array" aca="1" ref="AO25" ca="1">IFERROR(INDEX(ISN!$Q$3:$Q$1000,
SMALL(
IF((ISN!$Q$3:$Q$1000&lt;&gt;"")*(ISN!$Q$3:$Q$1000&lt;&gt;"Not Due"),
ROW(ISN!$Q$3:$Q$1000)-ROW(ISN!$Q$3)+1),
ROWS(A$2:A25))
),"")</f>
        <v/>
      </c>
      <c r="AQ25" s="115">
        <v>24</v>
      </c>
      <c r="AR25" s="124" t="str" cm="1">
        <f t="array" aca="1" ref="AR25" ca="1">IFERROR(INDEX(MSN!$E$3:$E$1000,
SMALL(
IF((MSN!$Q$3:$Q$1000&lt;&gt;"")*(MSN!$Q$3:$Q$1000&lt;&gt;"Not Due"),
ROW(MSN!$Q$3:$Q$1000)-ROW(MSN!$Q$3)+1),
ROWS(A$2:A25))),"")</f>
        <v/>
      </c>
      <c r="AS25" s="115" t="str" cm="1">
        <f t="array" aca="1" ref="AS25" ca="1">IFERROR(INDEX(MSN!$B$3:$B$1000,
SMALL(
IF((MSN!$Q$3:$Q$1000&lt;&gt;"")*(MSN!$Q$3:$Q$1000&lt;&gt;"Not Due"),
ROW(MSN!$Q$3:$Q$1000)-ROW(MSN!$Q$3)+1),
ROWS(A$2:A25))),"")</f>
        <v/>
      </c>
      <c r="AT25" s="115" t="str" cm="1">
        <f t="array" aca="1" ref="AT25" ca="1">IFERROR(INDEX(MSN!$D$3:$D$1000,
SMALL(
IF((MSN!$Q$3:$Q$1000&lt;&gt;"")*(MSN!$Q$3:$Q$1000&lt;&gt;"Not Due"),
ROW(MSN!$Q$3:$Q$1000)-ROW(MSN!$Q$3)+1),
ROWS(A$2:A25))),"")</f>
        <v/>
      </c>
      <c r="AU25" s="116" t="str" cm="1">
        <f t="array" aca="1" ref="AU25" ca="1">IFERROR(INDEX(MSN!$G$3:$G$1000,
SMALL(
IF((MSN!$Q$3:$Q$1000&lt;&gt;"")*(MSN!$Q$3:$Q$1000&lt;&gt;"Not Due"),
ROW(MSN!$Q$3:$Q$1000)-ROW(MSN!$Q$3)+1),
ROWS(A$2:A25))),"")</f>
        <v/>
      </c>
      <c r="AV25" s="64" t="str" cm="1">
        <f t="array" aca="1" ref="AV25" ca="1">IFERROR(INDEX(MSN!$Q$3:$Q$1000,
SMALL(
IF((MSN!$Q$3:$Q$1000&lt;&gt;"")*(MSN!$Q$3:$Q$1000&lt;&gt;"Not Due"),
ROW(MSN!$Q$3:$Q$1000)-ROW(MSN!$Q$3)+1),
ROWS(A$2:A25))
),"")</f>
        <v/>
      </c>
    </row>
    <row r="26" spans="1:48" ht="156" x14ac:dyDescent="0.3">
      <c r="A26" s="115">
        <v>25</v>
      </c>
      <c r="B26" s="118" t="str" cm="1">
        <f t="array" aca="1" ref="B26" ca="1">IFERROR(INDEX(FRIM!$E$3:$E$1000,
SMALL(IF(FRIM!$Q$3:$Q$1000&lt;&gt;"",
ROW(FRIM!$Q$3:$Q$1000)-ROW(FRIM!$Q$3)+1),
ROWS(A$2:A26))),"")</f>
        <v>FRIM</v>
      </c>
      <c r="C26" s="116" t="str" cm="1">
        <f t="array" aca="1" ref="C26" ca="1">IFERROR(INDEX(FRIM!$B$3:$B$1000,
SMALL(IF(FRIM!$Q$3:$Q$1000&lt;&gt;"",
ROW(FRIM!$Q$3:$Q$1000)-ROW(FRIM!$Q$3)+1),
ROWS(A$2:A26))),"")</f>
        <v>T/2026/00379</v>
      </c>
      <c r="D26" s="116" t="str" cm="1">
        <f t="array" aca="1" ref="D26" ca="1">IFERROR(INDEX(FRIM!$D$3:$D$1000,
SMALL(IF(FRIM!$Q$3:$Q$1000&lt;&gt;"",
ROW(FRIM!$Q$3:$Q$1000)-ROW(FRIM!$Q$3)+1),
ROWS(A$2:A26))),"")</f>
        <v>MYFINANCIAL CLIENT</v>
      </c>
      <c r="E26" s="116" t="str" cm="1">
        <f t="array" aca="1" ref="E26" ca="1">IFERROR(INDEX(FRIM!$G$3:$G$1000,
SMALL(IF(FRIM!$Q$3:$Q$1000&lt;&gt;"",
ROW(FRIM!$Q$3:$Q$1000)-ROW(FRIM!$Q$3)+1),
ROWS(A$2:A26))),"")</f>
        <v>W2560 04 June 2026 NOR AFIZAH BT. ARSHAD berkaitan info bayaran. mohon bantuan: 1) mengeluarkan nama cik suhaila dalam bahagian nota (pegawai untuk dihubungi) dan email penerima makluman pembayaran. 2) menambah nama pn. siti sanisah (03-62797044) dan en. mohamad arni shah (03-62797048) di bahagian nota (pegawai untuk dihubungi) dan penerima email makluman pembayaran. (rujuk lampiran)</v>
      </c>
      <c r="F26" s="88" t="str" cm="1">
        <f t="array" aca="1" ref="F26" ca="1">IFERROR(INDEX(FRIM!$Q$3:$Q$1000,
SMALL(IF(FRIM!$Q$3:$Q$1000&lt;&gt;"",
ROW(FRIM!$Q$3:$Q$1000)-ROW(FRIM!$Q$3)+1),
ROWS(A$2:A26))),"")</f>
        <v>1-30 Days</v>
      </c>
      <c r="H26" s="115">
        <v>25</v>
      </c>
      <c r="I26" s="119" t="str" cm="1">
        <f t="array" aca="1" ref="I26" ca="1">IFERROR(INDEX(MTIB!$E$3:$E$1000,
SMALL(
IF((MTIB!$Q$3:$Q$1000&lt;&gt;"")*(MTIB!$Q$3:$Q$1000&lt;&gt;"Not Due"),
ROW(MTIB!$Q$3:$Q$1000)-ROW(MTIB!$Q$3)+1),
ROWS(A$2:A26))),"")</f>
        <v/>
      </c>
      <c r="J26" s="115" t="str" cm="1">
        <f t="array" aca="1" ref="J26" ca="1">IFERROR(INDEX(MTIB!$B$3:$B$1000,
SMALL(
IF((MTIB!$Q$3:$Q$1000&lt;&gt;"")*(MTIB!$Q$3:$Q$1000&lt;&gt;"Not Due"),
ROW(MTIB!$Q$3:$Q$1000)-ROW(MTIB!$Q$3)+1),
ROWS(A$2:A26))),"")</f>
        <v/>
      </c>
      <c r="K26" s="115" t="str" cm="1">
        <f t="array" aca="1" ref="K26" ca="1">IFERROR(INDEX(MTIB!$D$3:$D$1000,
SMALL(
IF((MTIB!$Q$3:$Q$1000&lt;&gt;"")*(MTIB!$Q$3:$Q$1000&lt;&gt;"Not Due"),
ROW(MTIB!$Q$3:$Q$1000)-ROW(MTIB!$Q$3)+1),
ROWS(A$2:A26))),"")</f>
        <v/>
      </c>
      <c r="L26" s="116" t="str" cm="1">
        <f t="array" aca="1" ref="L26" ca="1">IFERROR(INDEX(MTIB!$G$3:$G$1000,
SMALL(
IF((MTIB!$Q$3:$Q$1000&lt;&gt;"")*(MTIB!$Q$3:$Q$1000&lt;&gt;"Not Due"),
ROW(MTIB!$Q$3:$Q$1000)-ROW(MTIB!$Q$3)+1),
ROWS(A$2:A26))),"")</f>
        <v/>
      </c>
      <c r="M26" s="88" t="str" cm="1">
        <f t="array" aca="1" ref="M26" ca="1">IFERROR(INDEX(MTIB!$Q$3:$Q$1000,
SMALL(
IF((MTIB!$Q$3:$Q$1000&lt;&gt;"")*(MTIB!$Q$3:$Q$1000&lt;&gt;"Not Due"),
ROW(MTIB!$Q$3:$Q$1000)-ROW(MTIB!$Q$3)+1),
ROWS(A$2:A26))
),"")</f>
        <v/>
      </c>
      <c r="O26" s="115">
        <v>25</v>
      </c>
      <c r="P26" s="120" t="str" cm="1">
        <f t="array" aca="1" ref="P26" ca="1">IFERROR(INDEX(MPOB!$E$3:$E$1000,
SMALL(
IF((MPOB!$Q$3:$Q$1000&lt;&gt;"")*(MPOB!$Q$3:$Q$1000&lt;&gt;"Not Due"),
ROW(MPOB!$Q$3:$Q$1000)-ROW(MPOB!$Q$3)+1),
ROWS(A$2:A26))),"")</f>
        <v>MPOB</v>
      </c>
      <c r="Q26" s="115" t="str" cm="1">
        <f t="array" aca="1" ref="Q26" ca="1">IFERROR(INDEX(MPOB!$B$3:$B$1000,
SMALL(
IF((MPOB!$Q$3:$Q$1000&lt;&gt;"")*(MPOB!$Q$3:$Q$1000&lt;&gt;"Not Due"),
ROW(MPOB!$Q$3:$Q$1000)-ROW(MPOB!$Q$3)+1),
ROWS(A$2:A26))),"")</f>
        <v>T/2026/00250</v>
      </c>
      <c r="R26" s="115" t="str" cm="1">
        <f t="array" aca="1" ref="R26" ca="1">IFERROR(INDEX(MPOB!$D$3:$D$1000,
SMALL(
IF((MPOB!$Q$3:$Q$1000&lt;&gt;"")*(MPOB!$Q$3:$Q$1000&lt;&gt;"Not Due"),
ROW(MPOB!$Q$3:$Q$1000)-ROW(MPOB!$Q$3)+1),
ROWS(A$2:A26))),"")</f>
        <v>MyDeposit</v>
      </c>
      <c r="S26" s="116" t="str" cm="1">
        <f t="array" aca="1" ref="S26" ca="1">IFERROR(INDEX(MPOB!$G$3:$G$1000,
SMALL(
IF((MPOB!$Q$3:$Q$1000&lt;&gt;"")*(MPOB!$Q$3:$Q$1000&lt;&gt;"Not Due"),
ROW(MPOB!$Q$3:$Q$1000)-ROW(MPOB!$Q$3)+1),
ROWS(A$2:A26))),"")</f>
        <v>NAMA PEMILIK AKAUN SSEW TECHNOLOGY SDN BHD. AMOUNT PERLU DIBAYAR RM1,800.00. NAMUN BILA DIPAPAR,TERDAPAT DOUBLE CODDING DAN AMOUNT YANG BERCANGGAH. STATUS TELAH DIPOS PADA MODUL MYDEPOSIT. NAMUN TIDAK DAPAT TRACE PADA MODUL MYFINANCIAL. MOHON PEMBETULAN PADA AMOUNT DAN JADIKAN KOD SATU SAHAJA PADA MODUL MYDEPOSIT &amp; APPEARKAN PADA MYFINANCIAL</v>
      </c>
      <c r="T26" s="88" t="str" cm="1">
        <f t="array" aca="1" ref="T26" ca="1">IFERROR(INDEX(MPOB!$Q$3:$Q$1000,
SMALL(
IF((MPOB!$Q$3:$Q$1000&lt;&gt;"")*(MPOB!$Q$3:$Q$1000&lt;&gt;"Not Due"),
ROW(MPOB!$Q$3:$Q$1000)-ROW(MPOB!$Q$3)+1),
ROWS(A$2:A26))
),"")</f>
        <v>&gt;60 Days</v>
      </c>
      <c r="V26" s="115">
        <v>25</v>
      </c>
      <c r="W26" s="121" t="str" cm="1">
        <f t="array" aca="1" ref="W26" ca="1">IFERROR(INDEX(LKTN!$E$3:$E$1000,
SMALL(
IF((LKTN!$Q$3:$Q$1000&lt;&gt;"")*(LKTN!$Q$3:$Q$1000&lt;&gt;"Not Due"),
ROW(LKTN!$Q$3:$Q$1000)-ROW(LKTN!$Q$3)+1),
ROWS(A$2:A26))),"")</f>
        <v/>
      </c>
      <c r="X26" s="115" t="str" cm="1">
        <f t="array" aca="1" ref="X26" ca="1">IFERROR(INDEX(LKTN!$B$3:$B$1000,
SMALL(
IF((LKTN!$Q$3:$Q$1000&lt;&gt;"")*(LKTN!$Q$3:$Q$1000&lt;&gt;"Not Due"),
ROW(LKTN!$Q$3:$Q$1000)-ROW(LKTN!$Q$3)+1),
ROWS(A$2:A26))),"")</f>
        <v/>
      </c>
      <c r="Y26" s="115" t="str" cm="1">
        <f t="array" aca="1" ref="Y26" ca="1">IFERROR(INDEX(LKTN!$D$3:$D$1000,
SMALL(
IF((LKTN!$Q$3:$Q$1000&lt;&gt;"")*(LKTN!$Q$3:$Q$1000&lt;&gt;"Not Due"),
ROW(LKTN!$Q$3:$Q$1000)-ROW(LKTN!$Q$3)+1),
ROWS(A$2:A26))),"")</f>
        <v/>
      </c>
      <c r="Z26" s="116" t="str" cm="1">
        <f t="array" aca="1" ref="Z26" ca="1">IFERROR(INDEX(LKTN!$G$3:$G$1000,
SMALL(
IF((LKTN!$Q$3:$Q$1000&lt;&gt;"")*(LKTN!$Q$3:$Q$1000&lt;&gt;"Not Due"),
ROW(LKTN!$Q$3:$Q$1000)-ROW(LKTN!$Q$3)+1),
ROWS(A$2:A26))),"")</f>
        <v/>
      </c>
      <c r="AA26" s="64" t="str" cm="1">
        <f t="array" aca="1" ref="AA26" ca="1">IFERROR(INDEX(LKTN!$Q$3:$Q$1000,
SMALL(
IF((LKTN!$Q$3:$Q$1000&lt;&gt;"")*(LKTN!$Q$3:$Q$1000&lt;&gt;"Not Due"),
ROW(LKTN!$Q$3:$Q$1000)-ROW(LKTN!$Q$3)+1),
ROWS(A$2:A26))
),"")</f>
        <v/>
      </c>
      <c r="AJ26" s="115">
        <v>25</v>
      </c>
      <c r="AK26" s="123" t="str" cm="1">
        <f t="array" aca="1" ref="AK26" ca="1">IFERROR(INDEX(ISN!$E$3:$E$1000,
SMALL(
IF((ISN!$Q$3:$Q$1000&lt;&gt;"")*(ISN!$Q$3:$Q$1000&lt;&gt;"Not Due"),
ROW(ISN!$Q$3:$Q$1000)-ROW(ISN!$Q$3)+1),
ROWS(A$2:A26))),"")</f>
        <v/>
      </c>
      <c r="AL26" s="115" t="str" cm="1">
        <f t="array" aca="1" ref="AL26" ca="1">IFERROR(INDEX(ISN!$B$3:$B$1000,
SMALL(
IF((ISN!$Q$3:$Q$1000&lt;&gt;"")*(ISN!$Q$3:$Q$1000&lt;&gt;"Not Due"),
ROW(ISN!$Q$3:$Q$1000)-ROW(ISN!$Q$3)+1),
ROWS(A$2:A26))),"")</f>
        <v/>
      </c>
      <c r="AM26" s="116" t="str" cm="1">
        <f t="array" aca="1" ref="AM26" ca="1">IFERROR(INDEX(ISN!$D$3:$D$1000,
SMALL(
IF((ISN!$Q$3:$Q$1000&lt;&gt;"")*(ISN!$Q$3:$Q$1000&lt;&gt;"Not Due"),
ROW(ISN!$Q$3:$Q$1000)-ROW(ISN!$Q$3)+1),
ROWS(A$2:A26))),"")</f>
        <v/>
      </c>
      <c r="AN26" s="116" t="str" cm="1">
        <f t="array" aca="1" ref="AN26" ca="1">IFERROR(INDEX(ISN!$G$3:$G$1000,
SMALL(
IF((ISN!$Q$3:$Q$1000&lt;&gt;"")*(ISN!$Q$3:$Q$1000&lt;&gt;"Not Due"),
ROW(ISN!$Q$3:$Q$1000)-ROW(ISN!$Q$3)+1),
ROWS(A$2:A26))),"")</f>
        <v/>
      </c>
      <c r="AO26" s="64" t="str" cm="1">
        <f t="array" aca="1" ref="AO26" ca="1">IFERROR(INDEX(ISN!$Q$3:$Q$1000,
SMALL(
IF((ISN!$Q$3:$Q$1000&lt;&gt;"")*(ISN!$Q$3:$Q$1000&lt;&gt;"Not Due"),
ROW(ISN!$Q$3:$Q$1000)-ROW(ISN!$Q$3)+1),
ROWS(A$2:A26))
),"")</f>
        <v/>
      </c>
      <c r="AQ26" s="115">
        <v>25</v>
      </c>
      <c r="AR26" s="124" t="str" cm="1">
        <f t="array" aca="1" ref="AR26" ca="1">IFERROR(INDEX(MSN!$E$3:$E$1000,
SMALL(
IF((MSN!$Q$3:$Q$1000&lt;&gt;"")*(MSN!$Q$3:$Q$1000&lt;&gt;"Not Due"),
ROW(MSN!$Q$3:$Q$1000)-ROW(MSN!$Q$3)+1),
ROWS(A$2:A26))),"")</f>
        <v/>
      </c>
      <c r="AS26" s="115" t="str" cm="1">
        <f t="array" aca="1" ref="AS26" ca="1">IFERROR(INDEX(MSN!$B$3:$B$1000,
SMALL(
IF((MSN!$Q$3:$Q$1000&lt;&gt;"")*(MSN!$Q$3:$Q$1000&lt;&gt;"Not Due"),
ROW(MSN!$Q$3:$Q$1000)-ROW(MSN!$Q$3)+1),
ROWS(A$2:A26))),"")</f>
        <v/>
      </c>
      <c r="AT26" s="115" t="str" cm="1">
        <f t="array" aca="1" ref="AT26" ca="1">IFERROR(INDEX(MSN!$D$3:$D$1000,
SMALL(
IF((MSN!$Q$3:$Q$1000&lt;&gt;"")*(MSN!$Q$3:$Q$1000&lt;&gt;"Not Due"),
ROW(MSN!$Q$3:$Q$1000)-ROW(MSN!$Q$3)+1),
ROWS(A$2:A26))),"")</f>
        <v/>
      </c>
      <c r="AU26" s="116" t="str" cm="1">
        <f t="array" aca="1" ref="AU26" ca="1">IFERROR(INDEX(MSN!$G$3:$G$1000,
SMALL(
IF((MSN!$Q$3:$Q$1000&lt;&gt;"")*(MSN!$Q$3:$Q$1000&lt;&gt;"Not Due"),
ROW(MSN!$Q$3:$Q$1000)-ROW(MSN!$Q$3)+1),
ROWS(A$2:A26))),"")</f>
        <v/>
      </c>
      <c r="AV26" s="64" t="str" cm="1">
        <f t="array" aca="1" ref="AV26" ca="1">IFERROR(INDEX(MSN!$Q$3:$Q$1000,
SMALL(
IF((MSN!$Q$3:$Q$1000&lt;&gt;"")*(MSN!$Q$3:$Q$1000&lt;&gt;"Not Due"),
ROW(MSN!$Q$3:$Q$1000)-ROW(MSN!$Q$3)+1),
ROWS(A$2:A26))
),"")</f>
        <v/>
      </c>
    </row>
    <row r="27" spans="1:48" ht="78" x14ac:dyDescent="0.3">
      <c r="A27" s="115">
        <v>26</v>
      </c>
      <c r="B27" s="118" t="str" cm="1">
        <f t="array" aca="1" ref="B27" ca="1">IFERROR(INDEX(FRIM!$E$3:$E$1000,
SMALL(IF(FRIM!$Q$3:$Q$1000&lt;&gt;"",
ROW(FRIM!$Q$3:$Q$1000)-ROW(FRIM!$Q$3)+1),
ROWS(A$2:A27))),"")</f>
        <v>FRIM</v>
      </c>
      <c r="C27" s="116" t="str" cm="1">
        <f t="array" aca="1" ref="C27" ca="1">IFERROR(INDEX(FRIM!$B$3:$B$1000,
SMALL(IF(FRIM!$Q$3:$Q$1000&lt;&gt;"",
ROW(FRIM!$Q$3:$Q$1000)-ROW(FRIM!$Q$3)+1),
ROWS(A$2:A27))),"")</f>
        <v>T/2026/00383</v>
      </c>
      <c r="D27" s="116" t="str" cm="1">
        <f t="array" aca="1" ref="D27" ca="1">IFERROR(INDEX(FRIM!$D$3:$D$1000,
SMALL(IF(FRIM!$Q$3:$Q$1000&lt;&gt;"",
ROW(FRIM!$Q$3:$Q$1000)-ROW(FRIM!$Q$3)+1),
ROWS(A$2:A27))),"")</f>
        <v>MYFINANCIAL CLIENT</v>
      </c>
      <c r="E27" s="116" t="str" cm="1">
        <f t="array" aca="1" ref="E27" ca="1">IFERROR(INDEX(FRIM!$G$3:$G$1000,
SMALL(IF(FRIM!$Q$3:$Q$1000&lt;&gt;"",
ROW(FRIM!$Q$3:$Q$1000)-ROW(FRIM!$Q$3)+1),
ROWS(A$2:A27))),"")</f>
        <v>W2562 08 June 2026 NOR AFIZAH BT. ARSHAD MOHON BANTUAN UNTUK MELIHAT DAFTAR BIL 2601591. INI KERANA APABILA PANGGIL UNTUK DIBUAT SEMAKAN TIADA DAN DALAM SENARAI BELUM POS JUGA TIADA.</v>
      </c>
      <c r="F27" s="88" t="str" cm="1">
        <f t="array" aca="1" ref="F27" ca="1">IFERROR(INDEX(FRIM!$Q$3:$Q$1000,
SMALL(IF(FRIM!$Q$3:$Q$1000&lt;&gt;"",
ROW(FRIM!$Q$3:$Q$1000)-ROW(FRIM!$Q$3)+1),
ROWS(A$2:A27))),"")</f>
        <v>1-30 Days</v>
      </c>
      <c r="H27" s="115">
        <v>26</v>
      </c>
      <c r="I27" s="119" t="str" cm="1">
        <f t="array" aca="1" ref="I27" ca="1">IFERROR(INDEX(MTIB!$E$3:$E$1000,
SMALL(
IF((MTIB!$Q$3:$Q$1000&lt;&gt;"")*(MTIB!$Q$3:$Q$1000&lt;&gt;"Not Due"),
ROW(MTIB!$Q$3:$Q$1000)-ROW(MTIB!$Q$3)+1),
ROWS(A$2:A27))),"")</f>
        <v/>
      </c>
      <c r="J27" s="115" t="str" cm="1">
        <f t="array" aca="1" ref="J27" ca="1">IFERROR(INDEX(MTIB!$B$3:$B$1000,
SMALL(
IF((MTIB!$Q$3:$Q$1000&lt;&gt;"")*(MTIB!$Q$3:$Q$1000&lt;&gt;"Not Due"),
ROW(MTIB!$Q$3:$Q$1000)-ROW(MTIB!$Q$3)+1),
ROWS(A$2:A27))),"")</f>
        <v/>
      </c>
      <c r="K27" s="115" t="str" cm="1">
        <f t="array" aca="1" ref="K27" ca="1">IFERROR(INDEX(MTIB!$D$3:$D$1000,
SMALL(
IF((MTIB!$Q$3:$Q$1000&lt;&gt;"")*(MTIB!$Q$3:$Q$1000&lt;&gt;"Not Due"),
ROW(MTIB!$Q$3:$Q$1000)-ROW(MTIB!$Q$3)+1),
ROWS(A$2:A27))),"")</f>
        <v/>
      </c>
      <c r="L27" s="116" t="str" cm="1">
        <f t="array" aca="1" ref="L27" ca="1">IFERROR(INDEX(MTIB!$G$3:$G$1000,
SMALL(
IF((MTIB!$Q$3:$Q$1000&lt;&gt;"")*(MTIB!$Q$3:$Q$1000&lt;&gt;"Not Due"),
ROW(MTIB!$Q$3:$Q$1000)-ROW(MTIB!$Q$3)+1),
ROWS(A$2:A27))),"")</f>
        <v/>
      </c>
      <c r="M27" s="88" t="str" cm="1">
        <f t="array" aca="1" ref="M27" ca="1">IFERROR(INDEX(MTIB!$Q$3:$Q$1000,
SMALL(
IF((MTIB!$Q$3:$Q$1000&lt;&gt;"")*(MTIB!$Q$3:$Q$1000&lt;&gt;"Not Due"),
ROW(MTIB!$Q$3:$Q$1000)-ROW(MTIB!$Q$3)+1),
ROWS(A$2:A27))
),"")</f>
        <v/>
      </c>
      <c r="O27" s="115">
        <v>26</v>
      </c>
      <c r="P27" s="120" t="str" cm="1">
        <f t="array" aca="1" ref="P27" ca="1">IFERROR(INDEX(MPOB!$E$3:$E$1000,
SMALL(
IF((MPOB!$Q$3:$Q$1000&lt;&gt;"")*(MPOB!$Q$3:$Q$1000&lt;&gt;"Not Due"),
ROW(MPOB!$Q$3:$Q$1000)-ROW(MPOB!$Q$3)+1),
ROWS(A$2:A27))),"")</f>
        <v>MPOB</v>
      </c>
      <c r="Q27" s="115" t="str" cm="1">
        <f t="array" aca="1" ref="Q27" ca="1">IFERROR(INDEX(MPOB!$B$3:$B$1000,
SMALL(
IF((MPOB!$Q$3:$Q$1000&lt;&gt;"")*(MPOB!$Q$3:$Q$1000&lt;&gt;"Not Due"),
ROW(MPOB!$Q$3:$Q$1000)-ROW(MPOB!$Q$3)+1),
ROWS(A$2:A27))),"")</f>
        <v>T/2026/00251</v>
      </c>
      <c r="R27" s="115" t="str" cm="1">
        <f t="array" aca="1" ref="R27" ca="1">IFERROR(INDEX(MPOB!$D$3:$D$1000,
SMALL(
IF((MPOB!$Q$3:$Q$1000&lt;&gt;"")*(MPOB!$Q$3:$Q$1000&lt;&gt;"Not Due"),
ROW(MPOB!$Q$3:$Q$1000)-ROW(MPOB!$Q$3)+1),
ROWS(A$2:A27))),"")</f>
        <v>MyFinancial</v>
      </c>
      <c r="S27" s="116" t="str" cm="1">
        <f t="array" aca="1" ref="S27" ca="1">IFERROR(INDEX(MPOB!$G$3:$G$1000,
SMALL(
IF((MPOB!$Q$3:$Q$1000&lt;&gt;"")*(MPOB!$Q$3:$Q$1000&lt;&gt;"Not Due"),
ROW(MPOB!$Q$3:$Q$1000)-ROW(MPOB!$Q$3)+1),
ROWS(A$2:A27))),"")</f>
        <v>credit note tidak convert currency daripada usd ke myr dalam lejar dan penyata penghutang CRNFMDD/1025/00140</v>
      </c>
      <c r="T27" s="88" t="str" cm="1">
        <f t="array" aca="1" ref="T27" ca="1">IFERROR(INDEX(MPOB!$Q$3:$Q$1000,
SMALL(
IF((MPOB!$Q$3:$Q$1000&lt;&gt;"")*(MPOB!$Q$3:$Q$1000&lt;&gt;"Not Due"),
ROW(MPOB!$Q$3:$Q$1000)-ROW(MPOB!$Q$3)+1),
ROWS(A$2:A27))
),"")</f>
        <v>&gt;60 Days</v>
      </c>
      <c r="V27" s="115">
        <v>26</v>
      </c>
      <c r="W27" s="121" t="str" cm="1">
        <f t="array" aca="1" ref="W27" ca="1">IFERROR(INDEX(LKTN!$E$3:$E$1000,
SMALL(
IF((LKTN!$Q$3:$Q$1000&lt;&gt;"")*(LKTN!$Q$3:$Q$1000&lt;&gt;"Not Due"),
ROW(LKTN!$Q$3:$Q$1000)-ROW(LKTN!$Q$3)+1),
ROWS(A$2:A27))),"")</f>
        <v/>
      </c>
      <c r="X27" s="115" t="str" cm="1">
        <f t="array" aca="1" ref="X27" ca="1">IFERROR(INDEX(LKTN!$B$3:$B$1000,
SMALL(
IF((LKTN!$Q$3:$Q$1000&lt;&gt;"")*(LKTN!$Q$3:$Q$1000&lt;&gt;"Not Due"),
ROW(LKTN!$Q$3:$Q$1000)-ROW(LKTN!$Q$3)+1),
ROWS(A$2:A27))),"")</f>
        <v/>
      </c>
      <c r="Y27" s="115" t="str" cm="1">
        <f t="array" aca="1" ref="Y27" ca="1">IFERROR(INDEX(LKTN!$D$3:$D$1000,
SMALL(
IF((LKTN!$Q$3:$Q$1000&lt;&gt;"")*(LKTN!$Q$3:$Q$1000&lt;&gt;"Not Due"),
ROW(LKTN!$Q$3:$Q$1000)-ROW(LKTN!$Q$3)+1),
ROWS(A$2:A27))),"")</f>
        <v/>
      </c>
      <c r="Z27" s="116" t="str" cm="1">
        <f t="array" aca="1" ref="Z27" ca="1">IFERROR(INDEX(LKTN!$G$3:$G$1000,
SMALL(
IF((LKTN!$Q$3:$Q$1000&lt;&gt;"")*(LKTN!$Q$3:$Q$1000&lt;&gt;"Not Due"),
ROW(LKTN!$Q$3:$Q$1000)-ROW(LKTN!$Q$3)+1),
ROWS(A$2:A27))),"")</f>
        <v/>
      </c>
      <c r="AA27" s="64" t="str" cm="1">
        <f t="array" aca="1" ref="AA27" ca="1">IFERROR(INDEX(LKTN!$Q$3:$Q$1000,
SMALL(
IF((LKTN!$Q$3:$Q$1000&lt;&gt;"")*(LKTN!$Q$3:$Q$1000&lt;&gt;"Not Due"),
ROW(LKTN!$Q$3:$Q$1000)-ROW(LKTN!$Q$3)+1),
ROWS(A$2:A27))
),"")</f>
        <v/>
      </c>
      <c r="AJ27" s="115">
        <v>26</v>
      </c>
      <c r="AK27" s="123" t="str" cm="1">
        <f t="array" aca="1" ref="AK27" ca="1">IFERROR(INDEX(ISN!$E$3:$E$1000,
SMALL(
IF((ISN!$Q$3:$Q$1000&lt;&gt;"")*(ISN!$Q$3:$Q$1000&lt;&gt;"Not Due"),
ROW(ISN!$Q$3:$Q$1000)-ROW(ISN!$Q$3)+1),
ROWS(A$2:A27))),"")</f>
        <v/>
      </c>
      <c r="AL27" s="115" t="str" cm="1">
        <f t="array" aca="1" ref="AL27" ca="1">IFERROR(INDEX(ISN!$B$3:$B$1000,
SMALL(
IF((ISN!$Q$3:$Q$1000&lt;&gt;"")*(ISN!$Q$3:$Q$1000&lt;&gt;"Not Due"),
ROW(ISN!$Q$3:$Q$1000)-ROW(ISN!$Q$3)+1),
ROWS(A$2:A27))),"")</f>
        <v/>
      </c>
      <c r="AM27" s="116" t="str" cm="1">
        <f t="array" aca="1" ref="AM27" ca="1">IFERROR(INDEX(ISN!$D$3:$D$1000,
SMALL(
IF((ISN!$Q$3:$Q$1000&lt;&gt;"")*(ISN!$Q$3:$Q$1000&lt;&gt;"Not Due"),
ROW(ISN!$Q$3:$Q$1000)-ROW(ISN!$Q$3)+1),
ROWS(A$2:A27))),"")</f>
        <v/>
      </c>
      <c r="AN27" s="116" t="str" cm="1">
        <f t="array" aca="1" ref="AN27" ca="1">IFERROR(INDEX(ISN!$G$3:$G$1000,
SMALL(
IF((ISN!$Q$3:$Q$1000&lt;&gt;"")*(ISN!$Q$3:$Q$1000&lt;&gt;"Not Due"),
ROW(ISN!$Q$3:$Q$1000)-ROW(ISN!$Q$3)+1),
ROWS(A$2:A27))),"")</f>
        <v/>
      </c>
      <c r="AO27" s="64" t="str" cm="1">
        <f t="array" aca="1" ref="AO27" ca="1">IFERROR(INDEX(ISN!$Q$3:$Q$1000,
SMALL(
IF((ISN!$Q$3:$Q$1000&lt;&gt;"")*(ISN!$Q$3:$Q$1000&lt;&gt;"Not Due"),
ROW(ISN!$Q$3:$Q$1000)-ROW(ISN!$Q$3)+1),
ROWS(A$2:A27))
),"")</f>
        <v/>
      </c>
      <c r="AQ27" s="115">
        <v>26</v>
      </c>
      <c r="AR27" s="124" t="str" cm="1">
        <f t="array" aca="1" ref="AR27" ca="1">IFERROR(INDEX(MSN!$E$3:$E$1000,
SMALL(
IF((MSN!$Q$3:$Q$1000&lt;&gt;"")*(MSN!$Q$3:$Q$1000&lt;&gt;"Not Due"),
ROW(MSN!$Q$3:$Q$1000)-ROW(MSN!$Q$3)+1),
ROWS(A$2:A27))),"")</f>
        <v/>
      </c>
      <c r="AS27" s="115" t="str" cm="1">
        <f t="array" aca="1" ref="AS27" ca="1">IFERROR(INDEX(MSN!$B$3:$B$1000,
SMALL(
IF((MSN!$Q$3:$Q$1000&lt;&gt;"")*(MSN!$Q$3:$Q$1000&lt;&gt;"Not Due"),
ROW(MSN!$Q$3:$Q$1000)-ROW(MSN!$Q$3)+1),
ROWS(A$2:A27))),"")</f>
        <v/>
      </c>
      <c r="AT27" s="115" t="str" cm="1">
        <f t="array" aca="1" ref="AT27" ca="1">IFERROR(INDEX(MSN!$D$3:$D$1000,
SMALL(
IF((MSN!$Q$3:$Q$1000&lt;&gt;"")*(MSN!$Q$3:$Q$1000&lt;&gt;"Not Due"),
ROW(MSN!$Q$3:$Q$1000)-ROW(MSN!$Q$3)+1),
ROWS(A$2:A27))),"")</f>
        <v/>
      </c>
      <c r="AU27" s="116" t="str" cm="1">
        <f t="array" aca="1" ref="AU27" ca="1">IFERROR(INDEX(MSN!$G$3:$G$1000,
SMALL(
IF((MSN!$Q$3:$Q$1000&lt;&gt;"")*(MSN!$Q$3:$Q$1000&lt;&gt;"Not Due"),
ROW(MSN!$Q$3:$Q$1000)-ROW(MSN!$Q$3)+1),
ROWS(A$2:A27))),"")</f>
        <v/>
      </c>
      <c r="AV27" s="64" t="str" cm="1">
        <f t="array" aca="1" ref="AV27" ca="1">IFERROR(INDEX(MSN!$Q$3:$Q$1000,
SMALL(
IF((MSN!$Q$3:$Q$1000&lt;&gt;"")*(MSN!$Q$3:$Q$1000&lt;&gt;"Not Due"),
ROW(MSN!$Q$3:$Q$1000)-ROW(MSN!$Q$3)+1),
ROWS(A$2:A27))
),"")</f>
        <v/>
      </c>
    </row>
    <row r="28" spans="1:48" ht="78" x14ac:dyDescent="0.3">
      <c r="A28" s="115">
        <v>27</v>
      </c>
      <c r="B28" s="118" t="str" cm="1">
        <f t="array" aca="1" ref="B28" ca="1">IFERROR(INDEX(FRIM!$E$3:$E$1000,
SMALL(IF(FRIM!$Q$3:$Q$1000&lt;&gt;"",
ROW(FRIM!$Q$3:$Q$1000)-ROW(FRIM!$Q$3)+1),
ROWS(A$2:A28))),"")</f>
        <v>FRIM</v>
      </c>
      <c r="C28" s="116" t="str" cm="1">
        <f t="array" aca="1" ref="C28" ca="1">IFERROR(INDEX(FRIM!$B$3:$B$1000,
SMALL(IF(FRIM!$Q$3:$Q$1000&lt;&gt;"",
ROW(FRIM!$Q$3:$Q$1000)-ROW(FRIM!$Q$3)+1),
ROWS(A$2:A28))),"")</f>
        <v>T/2026/00435</v>
      </c>
      <c r="D28" s="116" t="str" cm="1">
        <f t="array" aca="1" ref="D28" ca="1">IFERROR(INDEX(FRIM!$D$3:$D$1000,
SMALL(IF(FRIM!$Q$3:$Q$1000&lt;&gt;"",
ROW(FRIM!$Q$3:$Q$1000)-ROW(FRIM!$Q$3)+1),
ROWS(A$2:A28))),"")</f>
        <v>MYFINANCIAL CLIENT</v>
      </c>
      <c r="E28" s="116" t="str" cm="1">
        <f t="array" aca="1" ref="E28" ca="1">IFERROR(INDEX(FRIM!$G$3:$G$1000,
SMALL(IF(FRIM!$Q$3:$Q$1000&lt;&gt;"",
ROW(FRIM!$Q$3:$Q$1000)-ROW(FRIM!$Q$3)+1),
ROWS(A$2:A28))),"")</f>
        <v>W2563 11 June 2026 NOR AFIZAH BT. ARSHAD mohon bantuan untuk semakan bil uf26/000551 &amp; uf26/000555. ini kerana bil tiada tertera di screen untuk dibuat resit</v>
      </c>
      <c r="F28" s="88" t="str" cm="1">
        <f t="array" aca="1" ref="F28" ca="1">IFERROR(INDEX(FRIM!$Q$3:$Q$1000,
SMALL(IF(FRIM!$Q$3:$Q$1000&lt;&gt;"",
ROW(FRIM!$Q$3:$Q$1000)-ROW(FRIM!$Q$3)+1),
ROWS(A$2:A28))),"")</f>
        <v>1-30 Days</v>
      </c>
      <c r="H28" s="115">
        <v>27</v>
      </c>
      <c r="I28" s="119" t="str" cm="1">
        <f t="array" aca="1" ref="I28" ca="1">IFERROR(INDEX(MTIB!$E$3:$E$1000,
SMALL(
IF((MTIB!$Q$3:$Q$1000&lt;&gt;"")*(MTIB!$Q$3:$Q$1000&lt;&gt;"Not Due"),
ROW(MTIB!$Q$3:$Q$1000)-ROW(MTIB!$Q$3)+1),
ROWS(A$2:A28))),"")</f>
        <v/>
      </c>
      <c r="J28" s="115" t="str" cm="1">
        <f t="array" aca="1" ref="J28" ca="1">IFERROR(INDEX(MTIB!$B$3:$B$1000,
SMALL(
IF((MTIB!$Q$3:$Q$1000&lt;&gt;"")*(MTIB!$Q$3:$Q$1000&lt;&gt;"Not Due"),
ROW(MTIB!$Q$3:$Q$1000)-ROW(MTIB!$Q$3)+1),
ROWS(A$2:A28))),"")</f>
        <v/>
      </c>
      <c r="K28" s="115" t="str" cm="1">
        <f t="array" aca="1" ref="K28" ca="1">IFERROR(INDEX(MTIB!$D$3:$D$1000,
SMALL(
IF((MTIB!$Q$3:$Q$1000&lt;&gt;"")*(MTIB!$Q$3:$Q$1000&lt;&gt;"Not Due"),
ROW(MTIB!$Q$3:$Q$1000)-ROW(MTIB!$Q$3)+1),
ROWS(A$2:A28))),"")</f>
        <v/>
      </c>
      <c r="L28" s="116" t="str" cm="1">
        <f t="array" aca="1" ref="L28" ca="1">IFERROR(INDEX(MTIB!$G$3:$G$1000,
SMALL(
IF((MTIB!$Q$3:$Q$1000&lt;&gt;"")*(MTIB!$Q$3:$Q$1000&lt;&gt;"Not Due"),
ROW(MTIB!$Q$3:$Q$1000)-ROW(MTIB!$Q$3)+1),
ROWS(A$2:A28))),"")</f>
        <v/>
      </c>
      <c r="M28" s="88" t="str" cm="1">
        <f t="array" aca="1" ref="M28" ca="1">IFERROR(INDEX(MTIB!$Q$3:$Q$1000,
SMALL(
IF((MTIB!$Q$3:$Q$1000&lt;&gt;"")*(MTIB!$Q$3:$Q$1000&lt;&gt;"Not Due"),
ROW(MTIB!$Q$3:$Q$1000)-ROW(MTIB!$Q$3)+1),
ROWS(A$2:A28))
),"")</f>
        <v/>
      </c>
      <c r="O28" s="115">
        <v>27</v>
      </c>
      <c r="P28" s="120" t="str" cm="1">
        <f t="array" aca="1" ref="P28" ca="1">IFERROR(INDEX(MPOB!$E$3:$E$1000,
SMALL(
IF((MPOB!$Q$3:$Q$1000&lt;&gt;"")*(MPOB!$Q$3:$Q$1000&lt;&gt;"Not Due"),
ROW(MPOB!$Q$3:$Q$1000)-ROW(MPOB!$Q$3)+1),
ROWS(A$2:A28))),"")</f>
        <v>MPOB</v>
      </c>
      <c r="Q28" s="115" t="str" cm="1">
        <f t="array" aca="1" ref="Q28" ca="1">IFERROR(INDEX(MPOB!$B$3:$B$1000,
SMALL(
IF((MPOB!$Q$3:$Q$1000&lt;&gt;"")*(MPOB!$Q$3:$Q$1000&lt;&gt;"Not Due"),
ROW(MPOB!$Q$3:$Q$1000)-ROW(MPOB!$Q$3)+1),
ROWS(A$2:A28))),"")</f>
        <v>T/2026/00266</v>
      </c>
      <c r="R28" s="115" t="str" cm="1">
        <f t="array" aca="1" ref="R28" ca="1">IFERROR(INDEX(MPOB!$D$3:$D$1000,
SMALL(
IF((MPOB!$Q$3:$Q$1000&lt;&gt;"")*(MPOB!$Q$3:$Q$1000&lt;&gt;"Not Due"),
ROW(MPOB!$Q$3:$Q$1000)-ROW(MPOB!$Q$3)+1),
ROWS(A$2:A28))),"")</f>
        <v>MyProcurement</v>
      </c>
      <c r="S28" s="116" t="str" cm="1">
        <f t="array" aca="1" ref="S28" ca="1">IFERROR(INDEX(MPOB!$G$3:$G$1000,
SMALL(
IF((MPOB!$Q$3:$Q$1000&lt;&gt;"")*(MPOB!$Q$3:$Q$1000&lt;&gt;"Not Due"),
ROW(MPOB!$Q$3:$Q$1000)-ROW(MPOB!$Q$3)+1),
ROWS(A$2:A28))),"")</f>
        <v>NAK BUAT PO TETAPI NO KELULUSAN TAK KELUAR - NO. R260594 Nama: khairunnisa hashim No Contact:013744246 Desc:perolehan ni dah di luluskan tp tak masuk dlam diluluskan oleh itu tak boleh buat LO...</v>
      </c>
      <c r="T28" s="88" t="str" cm="1">
        <f t="array" aca="1" ref="T28" ca="1">IFERROR(INDEX(MPOB!$Q$3:$Q$1000,
SMALL(
IF((MPOB!$Q$3:$Q$1000&lt;&gt;"")*(MPOB!$Q$3:$Q$1000&lt;&gt;"Not Due"),
ROW(MPOB!$Q$3:$Q$1000)-ROW(MPOB!$Q$3)+1),
ROWS(A$2:A28))
),"")</f>
        <v>31-60 Days</v>
      </c>
      <c r="V28" s="115">
        <v>27</v>
      </c>
      <c r="W28" s="121" t="str" cm="1">
        <f t="array" aca="1" ref="W28" ca="1">IFERROR(INDEX(LKTN!$E$3:$E$1000,
SMALL(
IF((LKTN!$Q$3:$Q$1000&lt;&gt;"")*(LKTN!$Q$3:$Q$1000&lt;&gt;"Not Due"),
ROW(LKTN!$Q$3:$Q$1000)-ROW(LKTN!$Q$3)+1),
ROWS(A$2:A28))),"")</f>
        <v/>
      </c>
      <c r="X28" s="115" t="str" cm="1">
        <f t="array" aca="1" ref="X28" ca="1">IFERROR(INDEX(LKTN!$B$3:$B$1000,
SMALL(
IF((LKTN!$Q$3:$Q$1000&lt;&gt;"")*(LKTN!$Q$3:$Q$1000&lt;&gt;"Not Due"),
ROW(LKTN!$Q$3:$Q$1000)-ROW(LKTN!$Q$3)+1),
ROWS(A$2:A28))),"")</f>
        <v/>
      </c>
      <c r="Y28" s="115" t="str" cm="1">
        <f t="array" aca="1" ref="Y28" ca="1">IFERROR(INDEX(LKTN!$D$3:$D$1000,
SMALL(
IF((LKTN!$Q$3:$Q$1000&lt;&gt;"")*(LKTN!$Q$3:$Q$1000&lt;&gt;"Not Due"),
ROW(LKTN!$Q$3:$Q$1000)-ROW(LKTN!$Q$3)+1),
ROWS(A$2:A28))),"")</f>
        <v/>
      </c>
      <c r="Z28" s="116" t="str" cm="1">
        <f t="array" aca="1" ref="Z28" ca="1">IFERROR(INDEX(LKTN!$G$3:$G$1000,
SMALL(
IF((LKTN!$Q$3:$Q$1000&lt;&gt;"")*(LKTN!$Q$3:$Q$1000&lt;&gt;"Not Due"),
ROW(LKTN!$Q$3:$Q$1000)-ROW(LKTN!$Q$3)+1),
ROWS(A$2:A28))),"")</f>
        <v/>
      </c>
      <c r="AA28" s="64" t="str" cm="1">
        <f t="array" aca="1" ref="AA28" ca="1">IFERROR(INDEX(LKTN!$Q$3:$Q$1000,
SMALL(
IF((LKTN!$Q$3:$Q$1000&lt;&gt;"")*(LKTN!$Q$3:$Q$1000&lt;&gt;"Not Due"),
ROW(LKTN!$Q$3:$Q$1000)-ROW(LKTN!$Q$3)+1),
ROWS(A$2:A28))
),"")</f>
        <v/>
      </c>
      <c r="AJ28" s="115">
        <v>27</v>
      </c>
      <c r="AK28" s="123" t="str" cm="1">
        <f t="array" aca="1" ref="AK28" ca="1">IFERROR(INDEX(ISN!$E$3:$E$1000,
SMALL(
IF((ISN!$Q$3:$Q$1000&lt;&gt;"")*(ISN!$Q$3:$Q$1000&lt;&gt;"Not Due"),
ROW(ISN!$Q$3:$Q$1000)-ROW(ISN!$Q$3)+1),
ROWS(A$2:A28))),"")</f>
        <v/>
      </c>
      <c r="AL28" s="115" t="str" cm="1">
        <f t="array" aca="1" ref="AL28" ca="1">IFERROR(INDEX(ISN!$B$3:$B$1000,
SMALL(
IF((ISN!$Q$3:$Q$1000&lt;&gt;"")*(ISN!$Q$3:$Q$1000&lt;&gt;"Not Due"),
ROW(ISN!$Q$3:$Q$1000)-ROW(ISN!$Q$3)+1),
ROWS(A$2:A28))),"")</f>
        <v/>
      </c>
      <c r="AM28" s="116" t="str" cm="1">
        <f t="array" aca="1" ref="AM28" ca="1">IFERROR(INDEX(ISN!$D$3:$D$1000,
SMALL(
IF((ISN!$Q$3:$Q$1000&lt;&gt;"")*(ISN!$Q$3:$Q$1000&lt;&gt;"Not Due"),
ROW(ISN!$Q$3:$Q$1000)-ROW(ISN!$Q$3)+1),
ROWS(A$2:A28))),"")</f>
        <v/>
      </c>
      <c r="AN28" s="116" t="str" cm="1">
        <f t="array" aca="1" ref="AN28" ca="1">IFERROR(INDEX(ISN!$G$3:$G$1000,
SMALL(
IF((ISN!$Q$3:$Q$1000&lt;&gt;"")*(ISN!$Q$3:$Q$1000&lt;&gt;"Not Due"),
ROW(ISN!$Q$3:$Q$1000)-ROW(ISN!$Q$3)+1),
ROWS(A$2:A28))),"")</f>
        <v/>
      </c>
      <c r="AO28" s="64" t="str" cm="1">
        <f t="array" aca="1" ref="AO28" ca="1">IFERROR(INDEX(ISN!$Q$3:$Q$1000,
SMALL(
IF((ISN!$Q$3:$Q$1000&lt;&gt;"")*(ISN!$Q$3:$Q$1000&lt;&gt;"Not Due"),
ROW(ISN!$Q$3:$Q$1000)-ROW(ISN!$Q$3)+1),
ROWS(A$2:A28))
),"")</f>
        <v/>
      </c>
      <c r="AQ28" s="115">
        <v>27</v>
      </c>
      <c r="AR28" s="124" t="str" cm="1">
        <f t="array" aca="1" ref="AR28" ca="1">IFERROR(INDEX(MSN!$E$3:$E$1000,
SMALL(
IF((MSN!$Q$3:$Q$1000&lt;&gt;"")*(MSN!$Q$3:$Q$1000&lt;&gt;"Not Due"),
ROW(MSN!$Q$3:$Q$1000)-ROW(MSN!$Q$3)+1),
ROWS(A$2:A28))),"")</f>
        <v/>
      </c>
      <c r="AS28" s="115" t="str" cm="1">
        <f t="array" aca="1" ref="AS28" ca="1">IFERROR(INDEX(MSN!$B$3:$B$1000,
SMALL(
IF((MSN!$Q$3:$Q$1000&lt;&gt;"")*(MSN!$Q$3:$Q$1000&lt;&gt;"Not Due"),
ROW(MSN!$Q$3:$Q$1000)-ROW(MSN!$Q$3)+1),
ROWS(A$2:A28))),"")</f>
        <v/>
      </c>
      <c r="AT28" s="115" t="str" cm="1">
        <f t="array" aca="1" ref="AT28" ca="1">IFERROR(INDEX(MSN!$D$3:$D$1000,
SMALL(
IF((MSN!$Q$3:$Q$1000&lt;&gt;"")*(MSN!$Q$3:$Q$1000&lt;&gt;"Not Due"),
ROW(MSN!$Q$3:$Q$1000)-ROW(MSN!$Q$3)+1),
ROWS(A$2:A28))),"")</f>
        <v/>
      </c>
      <c r="AU28" s="116" t="str" cm="1">
        <f t="array" aca="1" ref="AU28" ca="1">IFERROR(INDEX(MSN!$G$3:$G$1000,
SMALL(
IF((MSN!$Q$3:$Q$1000&lt;&gt;"")*(MSN!$Q$3:$Q$1000&lt;&gt;"Not Due"),
ROW(MSN!$Q$3:$Q$1000)-ROW(MSN!$Q$3)+1),
ROWS(A$2:A28))),"")</f>
        <v/>
      </c>
      <c r="AV28" s="64" t="str" cm="1">
        <f t="array" aca="1" ref="AV28" ca="1">IFERROR(INDEX(MSN!$Q$3:$Q$1000,
SMALL(
IF((MSN!$Q$3:$Q$1000&lt;&gt;"")*(MSN!$Q$3:$Q$1000&lt;&gt;"Not Due"),
ROW(MSN!$Q$3:$Q$1000)-ROW(MSN!$Q$3)+1),
ROWS(A$2:A28))
),"")</f>
        <v/>
      </c>
    </row>
    <row r="29" spans="1:48" ht="93.6" x14ac:dyDescent="0.3">
      <c r="A29" s="115">
        <v>28</v>
      </c>
      <c r="B29" s="118" t="str" cm="1">
        <f t="array" aca="1" ref="B29" ca="1">IFERROR(INDEX(FRIM!$E$3:$E$1000,
SMALL(IF(FRIM!$Q$3:$Q$1000&lt;&gt;"",
ROW(FRIM!$Q$3:$Q$1000)-ROW(FRIM!$Q$3)+1),
ROWS(A$2:A29))),"")</f>
        <v>FRIM</v>
      </c>
      <c r="C29" s="116" t="str" cm="1">
        <f t="array" aca="1" ref="C29" ca="1">IFERROR(INDEX(FRIM!$B$3:$B$1000,
SMALL(IF(FRIM!$Q$3:$Q$1000&lt;&gt;"",
ROW(FRIM!$Q$3:$Q$1000)-ROW(FRIM!$Q$3)+1),
ROWS(A$2:A29))),"")</f>
        <v>T/2026/00436</v>
      </c>
      <c r="D29" s="116" t="str" cm="1">
        <f t="array" aca="1" ref="D29" ca="1">IFERROR(INDEX(FRIM!$D$3:$D$1000,
SMALL(IF(FRIM!$Q$3:$Q$1000&lt;&gt;"",
ROW(FRIM!$Q$3:$Q$1000)-ROW(FRIM!$Q$3)+1),
ROWS(A$2:A29))),"")</f>
        <v>MYFINANCIAL CLIENT</v>
      </c>
      <c r="E29" s="116" t="str" cm="1">
        <f t="array" aca="1" ref="E29" ca="1">IFERROR(INDEX(FRIM!$G$3:$G$1000,
SMALL(IF(FRIM!$Q$3:$Q$1000&lt;&gt;"",
ROW(FRIM!$Q$3:$Q$1000)-ROW(FRIM!$Q$3)+1),
ROWS(A$2:A29))),"")</f>
        <v>W2564 12 June 2026 HASRINA HASNOR BT. KAMARUZAMAN mohon semakan n25/000541 dan cn25/000541. ini kerana semasa untuk keluarkan resit bil dan credit note ini tidak keluar didalam sistem.</v>
      </c>
      <c r="F29" s="88" t="str" cm="1">
        <f t="array" aca="1" ref="F29" ca="1">IFERROR(INDEX(FRIM!$Q$3:$Q$1000,
SMALL(IF(FRIM!$Q$3:$Q$1000&lt;&gt;"",
ROW(FRIM!$Q$3:$Q$1000)-ROW(FRIM!$Q$3)+1),
ROWS(A$2:A29))),"")</f>
        <v>1-30 Days</v>
      </c>
      <c r="H29" s="115">
        <v>28</v>
      </c>
      <c r="I29" s="119" t="str" cm="1">
        <f t="array" aca="1" ref="I29" ca="1">IFERROR(INDEX(MTIB!$E$3:$E$1000,
SMALL(
IF((MTIB!$Q$3:$Q$1000&lt;&gt;"")*(MTIB!$Q$3:$Q$1000&lt;&gt;"Not Due"),
ROW(MTIB!$Q$3:$Q$1000)-ROW(MTIB!$Q$3)+1),
ROWS(A$2:A29))),"")</f>
        <v/>
      </c>
      <c r="J29" s="115" t="str" cm="1">
        <f t="array" aca="1" ref="J29" ca="1">IFERROR(INDEX(MTIB!$B$3:$B$1000,
SMALL(
IF((MTIB!$Q$3:$Q$1000&lt;&gt;"")*(MTIB!$Q$3:$Q$1000&lt;&gt;"Not Due"),
ROW(MTIB!$Q$3:$Q$1000)-ROW(MTIB!$Q$3)+1),
ROWS(A$2:A29))),"")</f>
        <v/>
      </c>
      <c r="K29" s="115" t="str" cm="1">
        <f t="array" aca="1" ref="K29" ca="1">IFERROR(INDEX(MTIB!$D$3:$D$1000,
SMALL(
IF((MTIB!$Q$3:$Q$1000&lt;&gt;"")*(MTIB!$Q$3:$Q$1000&lt;&gt;"Not Due"),
ROW(MTIB!$Q$3:$Q$1000)-ROW(MTIB!$Q$3)+1),
ROWS(A$2:A29))),"")</f>
        <v/>
      </c>
      <c r="L29" s="116" t="str" cm="1">
        <f t="array" aca="1" ref="L29" ca="1">IFERROR(INDEX(MTIB!$G$3:$G$1000,
SMALL(
IF((MTIB!$Q$3:$Q$1000&lt;&gt;"")*(MTIB!$Q$3:$Q$1000&lt;&gt;"Not Due"),
ROW(MTIB!$Q$3:$Q$1000)-ROW(MTIB!$Q$3)+1),
ROWS(A$2:A29))),"")</f>
        <v/>
      </c>
      <c r="M29" s="88" t="str" cm="1">
        <f t="array" aca="1" ref="M29" ca="1">IFERROR(INDEX(MTIB!$Q$3:$Q$1000,
SMALL(
IF((MTIB!$Q$3:$Q$1000&lt;&gt;"")*(MTIB!$Q$3:$Q$1000&lt;&gt;"Not Due"),
ROW(MTIB!$Q$3:$Q$1000)-ROW(MTIB!$Q$3)+1),
ROWS(A$2:A29))
),"")</f>
        <v/>
      </c>
      <c r="O29" s="115">
        <v>28</v>
      </c>
      <c r="P29" s="120" t="str" cm="1">
        <f t="array" aca="1" ref="P29" ca="1">IFERROR(INDEX(MPOB!$E$3:$E$1000,
SMALL(
IF((MPOB!$Q$3:$Q$1000&lt;&gt;"")*(MPOB!$Q$3:$Q$1000&lt;&gt;"Not Due"),
ROW(MPOB!$Q$3:$Q$1000)-ROW(MPOB!$Q$3)+1),
ROWS(A$2:A29))),"")</f>
        <v>MPOB</v>
      </c>
      <c r="Q29" s="115" t="str" cm="1">
        <f t="array" aca="1" ref="Q29" ca="1">IFERROR(INDEX(MPOB!$B$3:$B$1000,
SMALL(
IF((MPOB!$Q$3:$Q$1000&lt;&gt;"")*(MPOB!$Q$3:$Q$1000&lt;&gt;"Not Due"),
ROW(MPOB!$Q$3:$Q$1000)-ROW(MPOB!$Q$3)+1),
ROWS(A$2:A29))),"")</f>
        <v>T/2026/00288</v>
      </c>
      <c r="R29" s="115" t="str" cm="1">
        <f t="array" aca="1" ref="R29" ca="1">IFERROR(INDEX(MPOB!$D$3:$D$1000,
SMALL(
IF((MPOB!$Q$3:$Q$1000&lt;&gt;"")*(MPOB!$Q$3:$Q$1000&lt;&gt;"Not Due"),
ROW(MPOB!$Q$3:$Q$1000)-ROW(MPOB!$Q$3)+1),
ROWS(A$2:A29))),"")</f>
        <v>MyFinancial</v>
      </c>
      <c r="S29" s="116" t="str" cm="1">
        <f t="array" aca="1" ref="S29" ca="1">IFERROR(INDEX(MPOB!$G$3:$G$1000,
SMALL(
IF((MPOB!$Q$3:$Q$1000&lt;&gt;"")*(MPOB!$Q$3:$Q$1000&lt;&gt;"Not Due"),
ROW(MPOB!$Q$3:$Q$1000)-ROW(MPOB!$Q$3)+1),
ROWS(A$2:A29))),"")</f>
        <v>Keluar Error ni : DataTables warning: table id=findLOforInvoiceTable - Requested unknown parameter '3' for row 7. For more information about this error, please see http://datatables.net/tn/4 User: Norasma No. Hp: 012-5985540</v>
      </c>
      <c r="T29" s="88" t="str" cm="1">
        <f t="array" aca="1" ref="T29" ca="1">IFERROR(INDEX(MPOB!$Q$3:$Q$1000,
SMALL(
IF((MPOB!$Q$3:$Q$1000&lt;&gt;"")*(MPOB!$Q$3:$Q$1000&lt;&gt;"Not Due"),
ROW(MPOB!$Q$3:$Q$1000)-ROW(MPOB!$Q$3)+1),
ROWS(A$2:A29))
),"")</f>
        <v>31-60 Days</v>
      </c>
      <c r="V29" s="115">
        <v>28</v>
      </c>
      <c r="W29" s="121" t="str" cm="1">
        <f t="array" aca="1" ref="W29" ca="1">IFERROR(INDEX(LKTN!$E$3:$E$1000,
SMALL(
IF((LKTN!$Q$3:$Q$1000&lt;&gt;"")*(LKTN!$Q$3:$Q$1000&lt;&gt;"Not Due"),
ROW(LKTN!$Q$3:$Q$1000)-ROW(LKTN!$Q$3)+1),
ROWS(A$2:A29))),"")</f>
        <v/>
      </c>
      <c r="X29" s="115" t="str" cm="1">
        <f t="array" aca="1" ref="X29" ca="1">IFERROR(INDEX(LKTN!$B$3:$B$1000,
SMALL(
IF((LKTN!$Q$3:$Q$1000&lt;&gt;"")*(LKTN!$Q$3:$Q$1000&lt;&gt;"Not Due"),
ROW(LKTN!$Q$3:$Q$1000)-ROW(LKTN!$Q$3)+1),
ROWS(A$2:A29))),"")</f>
        <v/>
      </c>
      <c r="Y29" s="115" t="str" cm="1">
        <f t="array" aca="1" ref="Y29" ca="1">IFERROR(INDEX(LKTN!$D$3:$D$1000,
SMALL(
IF((LKTN!$Q$3:$Q$1000&lt;&gt;"")*(LKTN!$Q$3:$Q$1000&lt;&gt;"Not Due"),
ROW(LKTN!$Q$3:$Q$1000)-ROW(LKTN!$Q$3)+1),
ROWS(A$2:A29))),"")</f>
        <v/>
      </c>
      <c r="Z29" s="116" t="str" cm="1">
        <f t="array" aca="1" ref="Z29" ca="1">IFERROR(INDEX(LKTN!$G$3:$G$1000,
SMALL(
IF((LKTN!$Q$3:$Q$1000&lt;&gt;"")*(LKTN!$Q$3:$Q$1000&lt;&gt;"Not Due"),
ROW(LKTN!$Q$3:$Q$1000)-ROW(LKTN!$Q$3)+1),
ROWS(A$2:A29))),"")</f>
        <v/>
      </c>
      <c r="AA29" s="64" t="str" cm="1">
        <f t="array" aca="1" ref="AA29" ca="1">IFERROR(INDEX(LKTN!$Q$3:$Q$1000,
SMALL(
IF((LKTN!$Q$3:$Q$1000&lt;&gt;"")*(LKTN!$Q$3:$Q$1000&lt;&gt;"Not Due"),
ROW(LKTN!$Q$3:$Q$1000)-ROW(LKTN!$Q$3)+1),
ROWS(A$2:A29))
),"")</f>
        <v/>
      </c>
      <c r="AJ29" s="115">
        <v>28</v>
      </c>
      <c r="AK29" s="123" t="str" cm="1">
        <f t="array" aca="1" ref="AK29" ca="1">IFERROR(INDEX(ISN!$E$3:$E$1000,
SMALL(
IF((ISN!$Q$3:$Q$1000&lt;&gt;"")*(ISN!$Q$3:$Q$1000&lt;&gt;"Not Due"),
ROW(ISN!$Q$3:$Q$1000)-ROW(ISN!$Q$3)+1),
ROWS(A$2:A29))),"")</f>
        <v/>
      </c>
      <c r="AL29" s="115" t="str" cm="1">
        <f t="array" aca="1" ref="AL29" ca="1">IFERROR(INDEX(ISN!$B$3:$B$1000,
SMALL(
IF((ISN!$Q$3:$Q$1000&lt;&gt;"")*(ISN!$Q$3:$Q$1000&lt;&gt;"Not Due"),
ROW(ISN!$Q$3:$Q$1000)-ROW(ISN!$Q$3)+1),
ROWS(A$2:A29))),"")</f>
        <v/>
      </c>
      <c r="AM29" s="116" t="str" cm="1">
        <f t="array" aca="1" ref="AM29" ca="1">IFERROR(INDEX(ISN!$D$3:$D$1000,
SMALL(
IF((ISN!$Q$3:$Q$1000&lt;&gt;"")*(ISN!$Q$3:$Q$1000&lt;&gt;"Not Due"),
ROW(ISN!$Q$3:$Q$1000)-ROW(ISN!$Q$3)+1),
ROWS(A$2:A29))),"")</f>
        <v/>
      </c>
      <c r="AN29" s="116" t="str" cm="1">
        <f t="array" aca="1" ref="AN29" ca="1">IFERROR(INDEX(ISN!$G$3:$G$1000,
SMALL(
IF((ISN!$Q$3:$Q$1000&lt;&gt;"")*(ISN!$Q$3:$Q$1000&lt;&gt;"Not Due"),
ROW(ISN!$Q$3:$Q$1000)-ROW(ISN!$Q$3)+1),
ROWS(A$2:A29))),"")</f>
        <v/>
      </c>
      <c r="AO29" s="64" t="str" cm="1">
        <f t="array" aca="1" ref="AO29" ca="1">IFERROR(INDEX(ISN!$Q$3:$Q$1000,
SMALL(
IF((ISN!$Q$3:$Q$1000&lt;&gt;"")*(ISN!$Q$3:$Q$1000&lt;&gt;"Not Due"),
ROW(ISN!$Q$3:$Q$1000)-ROW(ISN!$Q$3)+1),
ROWS(A$2:A29))
),"")</f>
        <v/>
      </c>
      <c r="AQ29" s="115">
        <v>28</v>
      </c>
      <c r="AR29" s="124" t="str" cm="1">
        <f t="array" aca="1" ref="AR29" ca="1">IFERROR(INDEX(MSN!$E$3:$E$1000,
SMALL(
IF((MSN!$Q$3:$Q$1000&lt;&gt;"")*(MSN!$Q$3:$Q$1000&lt;&gt;"Not Due"),
ROW(MSN!$Q$3:$Q$1000)-ROW(MSN!$Q$3)+1),
ROWS(A$2:A29))),"")</f>
        <v/>
      </c>
      <c r="AS29" s="115" t="str" cm="1">
        <f t="array" aca="1" ref="AS29" ca="1">IFERROR(INDEX(MSN!$B$3:$B$1000,
SMALL(
IF((MSN!$Q$3:$Q$1000&lt;&gt;"")*(MSN!$Q$3:$Q$1000&lt;&gt;"Not Due"),
ROW(MSN!$Q$3:$Q$1000)-ROW(MSN!$Q$3)+1),
ROWS(A$2:A29))),"")</f>
        <v/>
      </c>
      <c r="AT29" s="115" t="str" cm="1">
        <f t="array" aca="1" ref="AT29" ca="1">IFERROR(INDEX(MSN!$D$3:$D$1000,
SMALL(
IF((MSN!$Q$3:$Q$1000&lt;&gt;"")*(MSN!$Q$3:$Q$1000&lt;&gt;"Not Due"),
ROW(MSN!$Q$3:$Q$1000)-ROW(MSN!$Q$3)+1),
ROWS(A$2:A29))),"")</f>
        <v/>
      </c>
      <c r="AU29" s="116" t="str" cm="1">
        <f t="array" aca="1" ref="AU29" ca="1">IFERROR(INDEX(MSN!$G$3:$G$1000,
SMALL(
IF((MSN!$Q$3:$Q$1000&lt;&gt;"")*(MSN!$Q$3:$Q$1000&lt;&gt;"Not Due"),
ROW(MSN!$Q$3:$Q$1000)-ROW(MSN!$Q$3)+1),
ROWS(A$2:A29))),"")</f>
        <v/>
      </c>
      <c r="AV29" s="64" t="str" cm="1">
        <f t="array" aca="1" ref="AV29" ca="1">IFERROR(INDEX(MSN!$Q$3:$Q$1000,
SMALL(
IF((MSN!$Q$3:$Q$1000&lt;&gt;"")*(MSN!$Q$3:$Q$1000&lt;&gt;"Not Due"),
ROW(MSN!$Q$3:$Q$1000)-ROW(MSN!$Q$3)+1),
ROWS(A$2:A29))
),"")</f>
        <v/>
      </c>
    </row>
    <row r="30" spans="1:48" ht="109.2" x14ac:dyDescent="0.3">
      <c r="A30" s="115">
        <v>29</v>
      </c>
      <c r="B30" s="118" t="str" cm="1">
        <f t="array" aca="1" ref="B30" ca="1">IFERROR(INDEX(FRIM!$E$3:$E$1000,
SMALL(IF(FRIM!$Q$3:$Q$1000&lt;&gt;"",
ROW(FRIM!$Q$3:$Q$1000)-ROW(FRIM!$Q$3)+1),
ROWS(A$2:A30))),"")</f>
        <v>FRIM</v>
      </c>
      <c r="C30" s="116" t="str" cm="1">
        <f t="array" aca="1" ref="C30" ca="1">IFERROR(INDEX(FRIM!$B$3:$B$1000,
SMALL(IF(FRIM!$Q$3:$Q$1000&lt;&gt;"",
ROW(FRIM!$Q$3:$Q$1000)-ROW(FRIM!$Q$3)+1),
ROWS(A$2:A30))),"")</f>
        <v>T/2026/00446</v>
      </c>
      <c r="D30" s="116" t="str" cm="1">
        <f t="array" aca="1" ref="D30" ca="1">IFERROR(INDEX(FRIM!$D$3:$D$1000,
SMALL(IF(FRIM!$Q$3:$Q$1000&lt;&gt;"",
ROW(FRIM!$Q$3:$Q$1000)-ROW(FRIM!$Q$3)+1),
ROWS(A$2:A30))),"")</f>
        <v>MYASSET</v>
      </c>
      <c r="E30" s="116" t="str" cm="1">
        <f t="array" aca="1" ref="E30" ca="1">IFERROR(INDEX(FRIM!$G$3:$G$1000,
SMALL(IF(FRIM!$Q$3:$Q$1000&lt;&gt;"",
ROW(FRIM!$Q$3:$Q$1000)-ROW(FRIM!$Q$3)+1),
ROWS(A$2:A30))),"")</f>
        <v>W2411 26/05/2025 ZAINORASRI B. YAHYA MAKLUMAT NO. ASET DIDALAM EMAIL MAKLUMAN SERAHAN ASET TIDAK SAMA DENGAN ASET SEBENAR YANG DISERAHKAN. CONTOH SERAHAN ASET NO. 005053 TETAPI KELUAR NO 005705 DIDALAM EMAIL. ADUAN LAMA T/2026/00100 SW TIDAK MAHU BUKA SEMULA, DAN ADUAN BARU DIBUAT.</v>
      </c>
      <c r="F30" s="88" t="str" cm="1">
        <f t="array" aca="1" ref="F30" ca="1">IFERROR(INDEX(FRIM!$Q$3:$Q$1000,
SMALL(IF(FRIM!$Q$3:$Q$1000&lt;&gt;"",
ROW(FRIM!$Q$3:$Q$1000)-ROW(FRIM!$Q$3)+1),
ROWS(A$2:A30))),"")</f>
        <v>1-30 Days</v>
      </c>
      <c r="H30" s="115">
        <v>29</v>
      </c>
      <c r="I30" s="119" t="str" cm="1">
        <f t="array" aca="1" ref="I30" ca="1">IFERROR(INDEX(MTIB!$E$3:$E$1000,
SMALL(
IF((MTIB!$Q$3:$Q$1000&lt;&gt;"")*(MTIB!$Q$3:$Q$1000&lt;&gt;"Not Due"),
ROW(MTIB!$Q$3:$Q$1000)-ROW(MTIB!$Q$3)+1),
ROWS(A$2:A30))),"")</f>
        <v/>
      </c>
      <c r="J30" s="115" t="str" cm="1">
        <f t="array" aca="1" ref="J30" ca="1">IFERROR(INDEX(MTIB!$B$3:$B$1000,
SMALL(
IF((MTIB!$Q$3:$Q$1000&lt;&gt;"")*(MTIB!$Q$3:$Q$1000&lt;&gt;"Not Due"),
ROW(MTIB!$Q$3:$Q$1000)-ROW(MTIB!$Q$3)+1),
ROWS(A$2:A30))),"")</f>
        <v/>
      </c>
      <c r="K30" s="115" t="str" cm="1">
        <f t="array" aca="1" ref="K30" ca="1">IFERROR(INDEX(MTIB!$D$3:$D$1000,
SMALL(
IF((MTIB!$Q$3:$Q$1000&lt;&gt;"")*(MTIB!$Q$3:$Q$1000&lt;&gt;"Not Due"),
ROW(MTIB!$Q$3:$Q$1000)-ROW(MTIB!$Q$3)+1),
ROWS(A$2:A30))),"")</f>
        <v/>
      </c>
      <c r="L30" s="116" t="str" cm="1">
        <f t="array" aca="1" ref="L30" ca="1">IFERROR(INDEX(MTIB!$G$3:$G$1000,
SMALL(
IF((MTIB!$Q$3:$Q$1000&lt;&gt;"")*(MTIB!$Q$3:$Q$1000&lt;&gt;"Not Due"),
ROW(MTIB!$Q$3:$Q$1000)-ROW(MTIB!$Q$3)+1),
ROWS(A$2:A30))),"")</f>
        <v/>
      </c>
      <c r="M30" s="88" t="str" cm="1">
        <f t="array" aca="1" ref="M30" ca="1">IFERROR(INDEX(MTIB!$Q$3:$Q$1000,
SMALL(
IF((MTIB!$Q$3:$Q$1000&lt;&gt;"")*(MTIB!$Q$3:$Q$1000&lt;&gt;"Not Due"),
ROW(MTIB!$Q$3:$Q$1000)-ROW(MTIB!$Q$3)+1),
ROWS(A$2:A30))
),"")</f>
        <v/>
      </c>
      <c r="O30" s="115">
        <v>29</v>
      </c>
      <c r="P30" s="120" t="str" cm="1">
        <f t="array" aca="1" ref="P30" ca="1">IFERROR(INDEX(MPOB!$E$3:$E$1000,
SMALL(
IF((MPOB!$Q$3:$Q$1000&lt;&gt;"")*(MPOB!$Q$3:$Q$1000&lt;&gt;"Not Due"),
ROW(MPOB!$Q$3:$Q$1000)-ROW(MPOB!$Q$3)+1),
ROWS(A$2:A30))),"")</f>
        <v>MPOB</v>
      </c>
      <c r="Q30" s="115" t="str" cm="1">
        <f t="array" aca="1" ref="Q30" ca="1">IFERROR(INDEX(MPOB!$B$3:$B$1000,
SMALL(
IF((MPOB!$Q$3:$Q$1000&lt;&gt;"")*(MPOB!$Q$3:$Q$1000&lt;&gt;"Not Due"),
ROW(MPOB!$Q$3:$Q$1000)-ROW(MPOB!$Q$3)+1),
ROWS(A$2:A30))),"")</f>
        <v>T/2026/00289</v>
      </c>
      <c r="R30" s="115" t="str" cm="1">
        <f t="array" aca="1" ref="R30" ca="1">IFERROR(INDEX(MPOB!$D$3:$D$1000,
SMALL(
IF((MPOB!$Q$3:$Q$1000&lt;&gt;"")*(MPOB!$Q$3:$Q$1000&lt;&gt;"Not Due"),
ROW(MPOB!$Q$3:$Q$1000)-ROW(MPOB!$Q$3)+1),
ROWS(A$2:A30))),"")</f>
        <v>MyFinancial</v>
      </c>
      <c r="S30" s="116" t="str" cm="1">
        <f t="array" aca="1" ref="S30" ca="1">IFERROR(INDEX(MPOB!$G$3:$G$1000,
SMALL(
IF((MPOB!$Q$3:$Q$1000&lt;&gt;"")*(MPOB!$Q$3:$Q$1000&lt;&gt;"Not Due"),
ROW(MPOB!$Q$3:$Q$1000)-ROW(MPOB!$Q$3)+1),
ROWS(A$2:A30))),"")</f>
        <v>Bantuan MuatNaik Dokumen Invois bagi Daftar Bil INPOB/0426/06442 User: Norasma No. Hp: 0125985540</v>
      </c>
      <c r="T30" s="88" t="str" cm="1">
        <f t="array" aca="1" ref="T30" ca="1">IFERROR(INDEX(MPOB!$Q$3:$Q$1000,
SMALL(
IF((MPOB!$Q$3:$Q$1000&lt;&gt;"")*(MPOB!$Q$3:$Q$1000&lt;&gt;"Not Due"),
ROW(MPOB!$Q$3:$Q$1000)-ROW(MPOB!$Q$3)+1),
ROWS(A$2:A30))
),"")</f>
        <v>31-60 Days</v>
      </c>
      <c r="V30" s="115">
        <v>29</v>
      </c>
      <c r="W30" s="121" t="str" cm="1">
        <f t="array" aca="1" ref="W30" ca="1">IFERROR(INDEX(LKTN!$E$3:$E$1000,
SMALL(
IF((LKTN!$Q$3:$Q$1000&lt;&gt;"")*(LKTN!$Q$3:$Q$1000&lt;&gt;"Not Due"),
ROW(LKTN!$Q$3:$Q$1000)-ROW(LKTN!$Q$3)+1),
ROWS(A$2:A30))),"")</f>
        <v/>
      </c>
      <c r="X30" s="115" t="str" cm="1">
        <f t="array" aca="1" ref="X30" ca="1">IFERROR(INDEX(LKTN!$B$3:$B$1000,
SMALL(
IF((LKTN!$Q$3:$Q$1000&lt;&gt;"")*(LKTN!$Q$3:$Q$1000&lt;&gt;"Not Due"),
ROW(LKTN!$Q$3:$Q$1000)-ROW(LKTN!$Q$3)+1),
ROWS(A$2:A30))),"")</f>
        <v/>
      </c>
      <c r="Y30" s="115" t="str" cm="1">
        <f t="array" aca="1" ref="Y30" ca="1">IFERROR(INDEX(LKTN!$D$3:$D$1000,
SMALL(
IF((LKTN!$Q$3:$Q$1000&lt;&gt;"")*(LKTN!$Q$3:$Q$1000&lt;&gt;"Not Due"),
ROW(LKTN!$Q$3:$Q$1000)-ROW(LKTN!$Q$3)+1),
ROWS(A$2:A30))),"")</f>
        <v/>
      </c>
      <c r="Z30" s="116" t="str" cm="1">
        <f t="array" aca="1" ref="Z30" ca="1">IFERROR(INDEX(LKTN!$G$3:$G$1000,
SMALL(
IF((LKTN!$Q$3:$Q$1000&lt;&gt;"")*(LKTN!$Q$3:$Q$1000&lt;&gt;"Not Due"),
ROW(LKTN!$Q$3:$Q$1000)-ROW(LKTN!$Q$3)+1),
ROWS(A$2:A30))),"")</f>
        <v/>
      </c>
      <c r="AA30" s="64" t="str" cm="1">
        <f t="array" aca="1" ref="AA30" ca="1">IFERROR(INDEX(LKTN!$Q$3:$Q$1000,
SMALL(
IF((LKTN!$Q$3:$Q$1000&lt;&gt;"")*(LKTN!$Q$3:$Q$1000&lt;&gt;"Not Due"),
ROW(LKTN!$Q$3:$Q$1000)-ROW(LKTN!$Q$3)+1),
ROWS(A$2:A30))
),"")</f>
        <v/>
      </c>
      <c r="AJ30" s="115">
        <v>29</v>
      </c>
      <c r="AK30" s="123" t="str" cm="1">
        <f t="array" aca="1" ref="AK30" ca="1">IFERROR(INDEX(ISN!$E$3:$E$1000,
SMALL(
IF((ISN!$Q$3:$Q$1000&lt;&gt;"")*(ISN!$Q$3:$Q$1000&lt;&gt;"Not Due"),
ROW(ISN!$Q$3:$Q$1000)-ROW(ISN!$Q$3)+1),
ROWS(A$2:A30))),"")</f>
        <v/>
      </c>
      <c r="AL30" s="115" t="str" cm="1">
        <f t="array" aca="1" ref="AL30" ca="1">IFERROR(INDEX(ISN!$B$3:$B$1000,
SMALL(
IF((ISN!$Q$3:$Q$1000&lt;&gt;"")*(ISN!$Q$3:$Q$1000&lt;&gt;"Not Due"),
ROW(ISN!$Q$3:$Q$1000)-ROW(ISN!$Q$3)+1),
ROWS(A$2:A30))),"")</f>
        <v/>
      </c>
      <c r="AM30" s="116" t="str" cm="1">
        <f t="array" aca="1" ref="AM30" ca="1">IFERROR(INDEX(ISN!$D$3:$D$1000,
SMALL(
IF((ISN!$Q$3:$Q$1000&lt;&gt;"")*(ISN!$Q$3:$Q$1000&lt;&gt;"Not Due"),
ROW(ISN!$Q$3:$Q$1000)-ROW(ISN!$Q$3)+1),
ROWS(A$2:A30))),"")</f>
        <v/>
      </c>
      <c r="AN30" s="116" t="str" cm="1">
        <f t="array" aca="1" ref="AN30" ca="1">IFERROR(INDEX(ISN!$G$3:$G$1000,
SMALL(
IF((ISN!$Q$3:$Q$1000&lt;&gt;"")*(ISN!$Q$3:$Q$1000&lt;&gt;"Not Due"),
ROW(ISN!$Q$3:$Q$1000)-ROW(ISN!$Q$3)+1),
ROWS(A$2:A30))),"")</f>
        <v/>
      </c>
      <c r="AO30" s="64" t="str" cm="1">
        <f t="array" aca="1" ref="AO30" ca="1">IFERROR(INDEX(ISN!$Q$3:$Q$1000,
SMALL(
IF((ISN!$Q$3:$Q$1000&lt;&gt;"")*(ISN!$Q$3:$Q$1000&lt;&gt;"Not Due"),
ROW(ISN!$Q$3:$Q$1000)-ROW(ISN!$Q$3)+1),
ROWS(A$2:A30))
),"")</f>
        <v/>
      </c>
      <c r="AQ30" s="115">
        <v>29</v>
      </c>
      <c r="AR30" s="124" t="str" cm="1">
        <f t="array" aca="1" ref="AR30" ca="1">IFERROR(INDEX(MSN!$E$3:$E$1000,
SMALL(
IF((MSN!$Q$3:$Q$1000&lt;&gt;"")*(MSN!$Q$3:$Q$1000&lt;&gt;"Not Due"),
ROW(MSN!$Q$3:$Q$1000)-ROW(MSN!$Q$3)+1),
ROWS(A$2:A30))),"")</f>
        <v/>
      </c>
      <c r="AS30" s="115" t="str" cm="1">
        <f t="array" aca="1" ref="AS30" ca="1">IFERROR(INDEX(MSN!$B$3:$B$1000,
SMALL(
IF((MSN!$Q$3:$Q$1000&lt;&gt;"")*(MSN!$Q$3:$Q$1000&lt;&gt;"Not Due"),
ROW(MSN!$Q$3:$Q$1000)-ROW(MSN!$Q$3)+1),
ROWS(A$2:A30))),"")</f>
        <v/>
      </c>
      <c r="AT30" s="115" t="str" cm="1">
        <f t="array" aca="1" ref="AT30" ca="1">IFERROR(INDEX(MSN!$D$3:$D$1000,
SMALL(
IF((MSN!$Q$3:$Q$1000&lt;&gt;"")*(MSN!$Q$3:$Q$1000&lt;&gt;"Not Due"),
ROW(MSN!$Q$3:$Q$1000)-ROW(MSN!$Q$3)+1),
ROWS(A$2:A30))),"")</f>
        <v/>
      </c>
      <c r="AU30" s="116" t="str" cm="1">
        <f t="array" aca="1" ref="AU30" ca="1">IFERROR(INDEX(MSN!$G$3:$G$1000,
SMALL(
IF((MSN!$Q$3:$Q$1000&lt;&gt;"")*(MSN!$Q$3:$Q$1000&lt;&gt;"Not Due"),
ROW(MSN!$Q$3:$Q$1000)-ROW(MSN!$Q$3)+1),
ROWS(A$2:A30))),"")</f>
        <v/>
      </c>
      <c r="AV30" s="64" t="str" cm="1">
        <f t="array" aca="1" ref="AV30" ca="1">IFERROR(INDEX(MSN!$Q$3:$Q$1000,
SMALL(
IF((MSN!$Q$3:$Q$1000&lt;&gt;"")*(MSN!$Q$3:$Q$1000&lt;&gt;"Not Due"),
ROW(MSN!$Q$3:$Q$1000)-ROW(MSN!$Q$3)+1),
ROWS(A$2:A30))
),"")</f>
        <v/>
      </c>
    </row>
    <row r="31" spans="1:48" ht="156" x14ac:dyDescent="0.3">
      <c r="A31" s="115">
        <v>30</v>
      </c>
      <c r="B31" s="118" t="str" cm="1">
        <f t="array" aca="1" ref="B31" ca="1">IFERROR(INDEX(FRIM!$E$3:$E$1000,
SMALL(
IF((FRIM!$Q$3:$Q$1000&lt;&gt;"")*(FRIM!$Q$3:$Q$1000&lt;&gt;"Not Due"),
ROW(FRIM!$Q$3:$Q$1000)-ROW(FRIM!$Q$3)+1),
ROWS(A$2:A31))),"")</f>
        <v>FRIM</v>
      </c>
      <c r="C31" s="116" t="str" cm="1">
        <f t="array" aca="1" ref="C31" ca="1">IFERROR(INDEX(FRIM!$B$3:$B$1000,
SMALL(
IF((FRIM!$Q$3:$Q$1000&lt;&gt;"")*(FRIM!$Q$3:$Q$1000&lt;&gt;"Not Due"),
ROW(FRIM!$Q$3:$Q$1000)-ROW(FRIM!$Q$3)+1),
ROWS(A$2:A31))),"")</f>
        <v>T/2026/00457</v>
      </c>
      <c r="D31" s="116" t="str" cm="1">
        <f t="array" aca="1" ref="D31" ca="1">IFERROR(INDEX(FRIM!$D$3:$D$1000,
SMALL(
IF((FRIM!$Q$3:$Q$1000&lt;&gt;"")*(FRIM!$Q$3:$Q$1000&lt;&gt;"Not Due"),
ROW(FRIM!$Q$3:$Q$1000)-ROW(FRIM!$Q$3)+1),
ROWS(A$2:A31))),"")</f>
        <v>MYINVENTORY</v>
      </c>
      <c r="E31" s="116" t="str" cm="1">
        <f t="array" aca="1" ref="E31" ca="1">IFERROR(INDEX(FRIM!$G$3:$G$1000,
SMALL(
IF((FRIM!$Q$3:$Q$1000&lt;&gt;"")*(FRIM!$Q$3:$Q$1000&lt;&gt;"Not Due"),
ROW(FRIM!$Q$3:$Q$1000)-ROW(FRIM!$Q$3)+1),
ROWS(A$2:A31))),"")</f>
        <v>No Aduan: W2397 Name: ZAINORASRI B. YAHYA Date: 03/03/2025 Desc: MODUL KONFIGURASI CAPAIAN PENGGUNA TIDAK BERJAYA. PENDAFTARAN PENGGUNA PUAN EMYLIA (NOGAJI=2013) SEBAGAIMANA PUAN HASRINA TIDAK BERJAYA DIBUAT MELALUI MODUL TERSEBUT. MOHON PENYELESAIAN SEGERA BAGI MEMBOLEHKAN CAPAIAN DIBERI. ADUAN BARU DIBUAT ATAS PERMINTAAN SOFTWARE WIZARDS. ADUAN LAMA T/2026/00081</v>
      </c>
      <c r="F31" s="88" t="str" cm="1">
        <f t="array" aca="1" ref="F31" ca="1">IFERROR(INDEX(FRIM!$Q$3:$Q$1000,
SMALL(
IF((FRIM!$Q$3:$Q$1000&lt;&gt;"")*(FRIM!$Q$3:$Q$1000&lt;&gt;"Not Due"),
ROW(FRIM!$Q$3:$Q$1000)-ROW(FRIM!$Q$3)+1),
ROWS(A$2:A31))
),"")</f>
        <v>1-30 Days</v>
      </c>
      <c r="H31" s="115">
        <v>30</v>
      </c>
      <c r="I31" s="119" t="str" cm="1">
        <f t="array" aca="1" ref="I31" ca="1">IFERROR(INDEX(MTIB!$E$3:$E$1000,
SMALL(
IF((MTIB!$Q$3:$Q$1000&lt;&gt;"")*(MTIB!$Q$3:$Q$1000&lt;&gt;"Not Due"),
ROW(MTIB!$Q$3:$Q$1000)-ROW(MTIB!$Q$3)+1),
ROWS(A$2:A31))),"")</f>
        <v/>
      </c>
      <c r="J31" s="115" t="str" cm="1">
        <f t="array" aca="1" ref="J31" ca="1">IFERROR(INDEX(MTIB!$B$3:$B$1000,
SMALL(
IF((MTIB!$Q$3:$Q$1000&lt;&gt;"")*(MTIB!$Q$3:$Q$1000&lt;&gt;"Not Due"),
ROW(MTIB!$Q$3:$Q$1000)-ROW(MTIB!$Q$3)+1),
ROWS(A$2:A31))),"")</f>
        <v/>
      </c>
      <c r="K31" s="115" t="str" cm="1">
        <f t="array" aca="1" ref="K31" ca="1">IFERROR(INDEX(MTIB!$D$3:$D$1000,
SMALL(
IF((MTIB!$Q$3:$Q$1000&lt;&gt;"")*(MTIB!$Q$3:$Q$1000&lt;&gt;"Not Due"),
ROW(MTIB!$Q$3:$Q$1000)-ROW(MTIB!$Q$3)+1),
ROWS(A$2:A31))),"")</f>
        <v/>
      </c>
      <c r="L31" s="116" t="str" cm="1">
        <f t="array" aca="1" ref="L31" ca="1">IFERROR(INDEX(MTIB!$G$3:$G$1000,
SMALL(
IF((MTIB!$Q$3:$Q$1000&lt;&gt;"")*(MTIB!$Q$3:$Q$1000&lt;&gt;"Not Due"),
ROW(MTIB!$Q$3:$Q$1000)-ROW(MTIB!$Q$3)+1),
ROWS(A$2:A31))),"")</f>
        <v/>
      </c>
      <c r="M31" s="88" t="str" cm="1">
        <f t="array" aca="1" ref="M31" ca="1">IFERROR(INDEX(MTIB!$Q$3:$Q$1000,
SMALL(
IF((MTIB!$Q$3:$Q$1000&lt;&gt;"")*(MTIB!$Q$3:$Q$1000&lt;&gt;"Not Due"),
ROW(MTIB!$Q$3:$Q$1000)-ROW(MTIB!$Q$3)+1),
ROWS(A$2:A31))
),"")</f>
        <v/>
      </c>
      <c r="O31" s="115">
        <v>30</v>
      </c>
      <c r="P31" s="120" t="str" cm="1">
        <f t="array" aca="1" ref="P31" ca="1">IFERROR(INDEX(MPOB!$E$3:$E$1000,
SMALL(
IF((MPOB!$Q$3:$Q$1000&lt;&gt;"")*(MPOB!$Q$3:$Q$1000&lt;&gt;"Not Due"),
ROW(MPOB!$Q$3:$Q$1000)-ROW(MPOB!$Q$3)+1),
ROWS(A$2:A31))),"")</f>
        <v>MPOB</v>
      </c>
      <c r="Q31" s="115" t="str" cm="1">
        <f t="array" aca="1" ref="Q31" ca="1">IFERROR(INDEX(MPOB!$B$3:$B$1000,
SMALL(
IF((MPOB!$Q$3:$Q$1000&lt;&gt;"")*(MPOB!$Q$3:$Q$1000&lt;&gt;"Not Due"),
ROW(MPOB!$Q$3:$Q$1000)-ROW(MPOB!$Q$3)+1),
ROWS(A$2:A31))),"")</f>
        <v>T/2026/00308</v>
      </c>
      <c r="R31" s="115" t="str" cm="1">
        <f t="array" aca="1" ref="R31" ca="1">IFERROR(INDEX(MPOB!$D$3:$D$1000,
SMALL(
IF((MPOB!$Q$3:$Q$1000&lt;&gt;"")*(MPOB!$Q$3:$Q$1000&lt;&gt;"Not Due"),
ROW(MPOB!$Q$3:$Q$1000)-ROW(MPOB!$Q$3)+1),
ROWS(A$2:A31))),"")</f>
        <v>MyAsset</v>
      </c>
      <c r="S31" s="116" t="str" cm="1">
        <f t="array" aca="1" ref="S31" ca="1">IFERROR(INDEX(MPOB!$G$3:$G$1000,
SMALL(
IF((MPOB!$Q$3:$Q$1000&lt;&gt;"")*(MPOB!$Q$3:$Q$1000&lt;&gt;"Not Due"),
ROW(MPOB!$Q$3:$Q$1000)-ROW(MPOB!$Q$3)+1),
ROWS(A$2:A31))),"")</f>
        <v>1. Permohonan yang telah dilakukan hilang semasa carian. 2. Pegawai pengesah dan pelulus tidak dapat paparan 3. No.ID pemeriksa tidak keluar untuk memilih pemeriksa bagi pelupusan 4. Tidak dapat upload memo disebabkan carian</v>
      </c>
      <c r="T31" s="88" t="str" cm="1">
        <f t="array" aca="1" ref="T31" ca="1">IFERROR(INDEX(MPOB!$Q$3:$Q$1000,
SMALL(
IF((MPOB!$Q$3:$Q$1000&lt;&gt;"")*(MPOB!$Q$3:$Q$1000&lt;&gt;"Not Due"),
ROW(MPOB!$Q$3:$Q$1000)-ROW(MPOB!$Q$3)+1),
ROWS(A$2:A31))
),"")</f>
        <v>31-60 Days</v>
      </c>
      <c r="V31" s="115">
        <v>30</v>
      </c>
      <c r="W31" s="121" t="str" cm="1">
        <f t="array" aca="1" ref="W31" ca="1">IFERROR(INDEX(LKTN!$E$3:$E$1000,
SMALL(
IF((LKTN!$Q$3:$Q$1000&lt;&gt;"")*(LKTN!$Q$3:$Q$1000&lt;&gt;"Not Due"),
ROW(LKTN!$Q$3:$Q$1000)-ROW(LKTN!$Q$3)+1),
ROWS(A$2:A31))),"")</f>
        <v/>
      </c>
      <c r="X31" s="115" t="str" cm="1">
        <f t="array" aca="1" ref="X31" ca="1">IFERROR(INDEX(LKTN!$B$3:$B$1000,
SMALL(
IF((LKTN!$Q$3:$Q$1000&lt;&gt;"")*(LKTN!$Q$3:$Q$1000&lt;&gt;"Not Due"),
ROW(LKTN!$Q$3:$Q$1000)-ROW(LKTN!$Q$3)+1),
ROWS(A$2:A31))),"")</f>
        <v/>
      </c>
      <c r="Y31" s="115" t="str" cm="1">
        <f t="array" aca="1" ref="Y31" ca="1">IFERROR(INDEX(LKTN!$D$3:$D$1000,
SMALL(
IF((LKTN!$Q$3:$Q$1000&lt;&gt;"")*(LKTN!$Q$3:$Q$1000&lt;&gt;"Not Due"),
ROW(LKTN!$Q$3:$Q$1000)-ROW(LKTN!$Q$3)+1),
ROWS(A$2:A31))),"")</f>
        <v/>
      </c>
      <c r="Z31" s="116" t="str" cm="1">
        <f t="array" aca="1" ref="Z31" ca="1">IFERROR(INDEX(LKTN!$G$3:$G$1000,
SMALL(
IF((LKTN!$Q$3:$Q$1000&lt;&gt;"")*(LKTN!$Q$3:$Q$1000&lt;&gt;"Not Due"),
ROW(LKTN!$Q$3:$Q$1000)-ROW(LKTN!$Q$3)+1),
ROWS(A$2:A31))),"")</f>
        <v/>
      </c>
      <c r="AA31" s="64" t="str" cm="1">
        <f t="array" aca="1" ref="AA31" ca="1">IFERROR(INDEX(LKTN!$Q$3:$Q$1000,
SMALL(
IF((LKTN!$Q$3:$Q$1000&lt;&gt;"")*(LKTN!$Q$3:$Q$1000&lt;&gt;"Not Due"),
ROW(LKTN!$Q$3:$Q$1000)-ROW(LKTN!$Q$3)+1),
ROWS(A$2:A31))
),"")</f>
        <v/>
      </c>
      <c r="AJ31" s="115">
        <v>30</v>
      </c>
      <c r="AK31" s="123" t="str" cm="1">
        <f t="array" aca="1" ref="AK31" ca="1">IFERROR(INDEX(ISN!$E$3:$E$1000,
SMALL(
IF((ISN!$Q$3:$Q$1000&lt;&gt;"")*(ISN!$Q$3:$Q$1000&lt;&gt;"Not Due"),
ROW(ISN!$Q$3:$Q$1000)-ROW(ISN!$Q$3)+1),
ROWS(A$2:A31))),"")</f>
        <v/>
      </c>
      <c r="AL31" s="115" t="str" cm="1">
        <f t="array" aca="1" ref="AL31" ca="1">IFERROR(INDEX(ISN!$B$3:$B$1000,
SMALL(
IF((ISN!$Q$3:$Q$1000&lt;&gt;"")*(ISN!$Q$3:$Q$1000&lt;&gt;"Not Due"),
ROW(ISN!$Q$3:$Q$1000)-ROW(ISN!$Q$3)+1),
ROWS(A$2:A31))),"")</f>
        <v/>
      </c>
      <c r="AM31" s="116" t="str" cm="1">
        <f t="array" aca="1" ref="AM31" ca="1">IFERROR(INDEX(ISN!$D$3:$D$1000,
SMALL(
IF((ISN!$Q$3:$Q$1000&lt;&gt;"")*(ISN!$Q$3:$Q$1000&lt;&gt;"Not Due"),
ROW(ISN!$Q$3:$Q$1000)-ROW(ISN!$Q$3)+1),
ROWS(A$2:A31))),"")</f>
        <v/>
      </c>
      <c r="AN31" s="116" t="str" cm="1">
        <f t="array" aca="1" ref="AN31" ca="1">IFERROR(INDEX(ISN!$G$3:$G$1000,
SMALL(
IF((ISN!$Q$3:$Q$1000&lt;&gt;"")*(ISN!$Q$3:$Q$1000&lt;&gt;"Not Due"),
ROW(ISN!$Q$3:$Q$1000)-ROW(ISN!$Q$3)+1),
ROWS(A$2:A31))),"")</f>
        <v/>
      </c>
      <c r="AO31" s="64" t="str" cm="1">
        <f t="array" aca="1" ref="AO31" ca="1">IFERROR(INDEX(ISN!$Q$3:$Q$1000,
SMALL(
IF((ISN!$Q$3:$Q$1000&lt;&gt;"")*(ISN!$Q$3:$Q$1000&lt;&gt;"Not Due"),
ROW(ISN!$Q$3:$Q$1000)-ROW(ISN!$Q$3)+1),
ROWS(A$2:A31))
),"")</f>
        <v/>
      </c>
      <c r="AQ31" s="115">
        <v>30</v>
      </c>
      <c r="AR31" s="124" t="str" cm="1">
        <f t="array" aca="1" ref="AR31" ca="1">IFERROR(INDEX(MSN!$E$3:$E$1000,
SMALL(
IF((MSN!$Q$3:$Q$1000&lt;&gt;"")*(MSN!$Q$3:$Q$1000&lt;&gt;"Not Due"),
ROW(MSN!$Q$3:$Q$1000)-ROW(MSN!$Q$3)+1),
ROWS(A$2:A31))),"")</f>
        <v/>
      </c>
      <c r="AS31" s="115" t="str" cm="1">
        <f t="array" aca="1" ref="AS31" ca="1">IFERROR(INDEX(MSN!$B$3:$B$1000,
SMALL(
IF((MSN!$Q$3:$Q$1000&lt;&gt;"")*(MSN!$Q$3:$Q$1000&lt;&gt;"Not Due"),
ROW(MSN!$Q$3:$Q$1000)-ROW(MSN!$Q$3)+1),
ROWS(A$2:A31))),"")</f>
        <v/>
      </c>
      <c r="AT31" s="115" t="str" cm="1">
        <f t="array" aca="1" ref="AT31" ca="1">IFERROR(INDEX(MSN!$D$3:$D$1000,
SMALL(
IF((MSN!$Q$3:$Q$1000&lt;&gt;"")*(MSN!$Q$3:$Q$1000&lt;&gt;"Not Due"),
ROW(MSN!$Q$3:$Q$1000)-ROW(MSN!$Q$3)+1),
ROWS(A$2:A31))),"")</f>
        <v/>
      </c>
      <c r="AU31" s="116" t="str" cm="1">
        <f t="array" aca="1" ref="AU31" ca="1">IFERROR(INDEX(MSN!$G$3:$G$1000,
SMALL(
IF((MSN!$Q$3:$Q$1000&lt;&gt;"")*(MSN!$Q$3:$Q$1000&lt;&gt;"Not Due"),
ROW(MSN!$Q$3:$Q$1000)-ROW(MSN!$Q$3)+1),
ROWS(A$2:A31))),"")</f>
        <v/>
      </c>
      <c r="AV31" s="64" t="str" cm="1">
        <f t="array" aca="1" ref="AV31" ca="1">IFERROR(INDEX(MSN!$Q$3:$Q$1000,
SMALL(
IF((MSN!$Q$3:$Q$1000&lt;&gt;"")*(MSN!$Q$3:$Q$1000&lt;&gt;"Not Due"),
ROW(MSN!$Q$3:$Q$1000)-ROW(MSN!$Q$3)+1),
ROWS(A$2:A31))
),"")</f>
        <v/>
      </c>
    </row>
    <row r="32" spans="1:48" ht="46.8" x14ac:dyDescent="0.3">
      <c r="A32" s="115">
        <v>31</v>
      </c>
      <c r="B32" s="118" t="str" cm="1">
        <f t="array" aca="1" ref="B32" ca="1">IFERROR(INDEX(FRIM!$E$3:$E$1000,
SMALL(IF(FRIM!$Q$3:$Q$1000&lt;&gt;"",
ROW(FRIM!$Q$3:$Q$1000)-ROW(FRIM!$Q$3)+1),
ROWS(A$2:A32))),"")</f>
        <v/>
      </c>
      <c r="C32" s="116" t="str" cm="1">
        <f t="array" aca="1" ref="C32" ca="1">IFERROR(INDEX(FRIM!$B$3:$B$1000,
SMALL(IF(FRIM!$Q$3:$Q$1000&lt;&gt;"",
ROW(FRIM!$Q$3:$Q$1000)-ROW(FRIM!$Q$3)+1),
ROWS(A$2:A32))),"")</f>
        <v/>
      </c>
      <c r="D32" s="116" t="str" cm="1">
        <f t="array" aca="1" ref="D32" ca="1">IFERROR(INDEX(FRIM!$D$3:$D$1000,
SMALL(IF(FRIM!$Q$3:$Q$1000&lt;&gt;"",
ROW(FRIM!$Q$3:$Q$1000)-ROW(FRIM!$Q$3)+1),
ROWS(A$2:A32))),"")</f>
        <v/>
      </c>
      <c r="E32" s="116" t="str" cm="1">
        <f t="array" aca="1" ref="E32" ca="1">IFERROR(INDEX(FRIM!$G$3:$G$1000,
SMALL(IF(FRIM!$Q$3:$Q$1000&lt;&gt;"",
ROW(FRIM!$Q$3:$Q$1000)-ROW(FRIM!$Q$3)+1),
ROWS(A$2:A32))),"")</f>
        <v/>
      </c>
      <c r="F32" s="88" t="str" cm="1">
        <f t="array" aca="1" ref="F32" ca="1">IFERROR(INDEX(FRIM!$Q$3:$Q$1000,
SMALL(IF(FRIM!$Q$3:$Q$1000&lt;&gt;"",
ROW(FRIM!$Q$3:$Q$1000)-ROW(FRIM!$Q$3)+1),
ROWS(A$2:A32))),"")</f>
        <v/>
      </c>
      <c r="H32" s="115">
        <v>31</v>
      </c>
      <c r="I32" s="119" t="str" cm="1">
        <f t="array" aca="1" ref="I32" ca="1">IFERROR(INDEX(MTIB!$E$3:$E$1000,
SMALL(
IF((MTIB!$Q$3:$Q$1000&lt;&gt;"")*(MTIB!$Q$3:$Q$1000&lt;&gt;"Not Due"),
ROW(MTIB!$Q$3:$Q$1000)-ROW(MTIB!$Q$3)+1),
ROWS(A$2:A32))),"")</f>
        <v/>
      </c>
      <c r="J32" s="115" t="str" cm="1">
        <f t="array" aca="1" ref="J32" ca="1">IFERROR(INDEX(MTIB!$B$3:$B$1000,
SMALL(
IF((MTIB!$Q$3:$Q$1000&lt;&gt;"")*(MTIB!$Q$3:$Q$1000&lt;&gt;"Not Due"),
ROW(MTIB!$Q$3:$Q$1000)-ROW(MTIB!$Q$3)+1),
ROWS(A$2:A32))),"")</f>
        <v/>
      </c>
      <c r="K32" s="115" t="str" cm="1">
        <f t="array" aca="1" ref="K32" ca="1">IFERROR(INDEX(MTIB!$D$3:$D$1000,
SMALL(
IF((MTIB!$Q$3:$Q$1000&lt;&gt;"")*(MTIB!$Q$3:$Q$1000&lt;&gt;"Not Due"),
ROW(MTIB!$Q$3:$Q$1000)-ROW(MTIB!$Q$3)+1),
ROWS(A$2:A32))),"")</f>
        <v/>
      </c>
      <c r="L32" s="116" t="str" cm="1">
        <f t="array" aca="1" ref="L32" ca="1">IFERROR(INDEX(MTIB!$G$3:$G$1000,
SMALL(
IF((MTIB!$Q$3:$Q$1000&lt;&gt;"")*(MTIB!$Q$3:$Q$1000&lt;&gt;"Not Due"),
ROW(MTIB!$Q$3:$Q$1000)-ROW(MTIB!$Q$3)+1),
ROWS(A$2:A32))),"")</f>
        <v/>
      </c>
      <c r="M32" s="88" t="str" cm="1">
        <f t="array" aca="1" ref="M32" ca="1">IFERROR(INDEX(MTIB!$Q$3:$Q$1000,
SMALL(
IF((MTIB!$Q$3:$Q$1000&lt;&gt;"")*(MTIB!$Q$3:$Q$1000&lt;&gt;"Not Due"),
ROW(MTIB!$Q$3:$Q$1000)-ROW(MTIB!$Q$3)+1),
ROWS(A$2:A32))
),"")</f>
        <v/>
      </c>
      <c r="O32" s="115">
        <v>31</v>
      </c>
      <c r="P32" s="120" t="str" cm="1">
        <f t="array" aca="1" ref="P32" ca="1">IFERROR(INDEX(MPOB!$E$3:$E$1000,
SMALL(
IF((MPOB!$Q$3:$Q$1000&lt;&gt;"")*(MPOB!$Q$3:$Q$1000&lt;&gt;"Not Due"),
ROW(MPOB!$Q$3:$Q$1000)-ROW(MPOB!$Q$3)+1),
ROWS(A$2:A32))),"")</f>
        <v>MPOB</v>
      </c>
      <c r="Q32" s="115" t="str" cm="1">
        <f t="array" aca="1" ref="Q32" ca="1">IFERROR(INDEX(MPOB!$B$3:$B$1000,
SMALL(
IF((MPOB!$Q$3:$Q$1000&lt;&gt;"")*(MPOB!$Q$3:$Q$1000&lt;&gt;"Not Due"),
ROW(MPOB!$Q$3:$Q$1000)-ROW(MPOB!$Q$3)+1),
ROWS(A$2:A32))),"")</f>
        <v>T/2026/00322</v>
      </c>
      <c r="R32" s="115" t="str" cm="1">
        <f t="array" aca="1" ref="R32" ca="1">IFERROR(INDEX(MPOB!$D$3:$D$1000,
SMALL(
IF((MPOB!$Q$3:$Q$1000&lt;&gt;"")*(MPOB!$Q$3:$Q$1000&lt;&gt;"Not Due"),
ROW(MPOB!$Q$3:$Q$1000)-ROW(MPOB!$Q$3)+1),
ROWS(A$2:A32))),"")</f>
        <v>MyProcurement</v>
      </c>
      <c r="S32" s="116" t="str" cm="1">
        <f t="array" aca="1" ref="S32" ca="1">IFERROR(INDEX(MPOB!$G$3:$G$1000,
SMALL(
IF((MPOB!$Q$3:$Q$1000&lt;&gt;"")*(MPOB!$Q$3:$Q$1000&lt;&gt;"Not Due"),
ROW(MPOB!$Q$3:$Q$1000)-ROW(MPOB!$Q$3)+1),
ROWS(A$2:A32))),"")</f>
        <v>SUPPLIER TAK BOLEH UPLOAD DOKUMEN SEBUT HARGA DI MY VENDOR. TIADA BUTTOM UPLOAD Jana - 012-6045704</v>
      </c>
      <c r="T32" s="88" t="str" cm="1">
        <f t="array" aca="1" ref="T32" ca="1">IFERROR(INDEX(MPOB!$Q$3:$Q$1000,
SMALL(
IF((MPOB!$Q$3:$Q$1000&lt;&gt;"")*(MPOB!$Q$3:$Q$1000&lt;&gt;"Not Due"),
ROW(MPOB!$Q$3:$Q$1000)-ROW(MPOB!$Q$3)+1),
ROWS(A$2:A32))
),"")</f>
        <v>31-60 Days</v>
      </c>
      <c r="V32" s="115">
        <v>31</v>
      </c>
      <c r="W32" s="121" t="str" cm="1">
        <f t="array" aca="1" ref="W32" ca="1">IFERROR(INDEX(LKTN!$E$3:$E$1000,
SMALL(
IF((LKTN!$Q$3:$Q$1000&lt;&gt;"")*(LKTN!$Q$3:$Q$1000&lt;&gt;"Not Due"),
ROW(LKTN!$Q$3:$Q$1000)-ROW(LKTN!$Q$3)+1),
ROWS(A$2:A32))),"")</f>
        <v/>
      </c>
      <c r="X32" s="115" t="str" cm="1">
        <f t="array" aca="1" ref="X32" ca="1">IFERROR(INDEX(LKTN!$B$3:$B$1000,
SMALL(
IF((LKTN!$Q$3:$Q$1000&lt;&gt;"")*(LKTN!$Q$3:$Q$1000&lt;&gt;"Not Due"),
ROW(LKTN!$Q$3:$Q$1000)-ROW(LKTN!$Q$3)+1),
ROWS(A$2:A32))),"")</f>
        <v/>
      </c>
      <c r="Y32" s="115" t="str" cm="1">
        <f t="array" aca="1" ref="Y32" ca="1">IFERROR(INDEX(LKTN!$D$3:$D$1000,
SMALL(
IF((LKTN!$Q$3:$Q$1000&lt;&gt;"")*(LKTN!$Q$3:$Q$1000&lt;&gt;"Not Due"),
ROW(LKTN!$Q$3:$Q$1000)-ROW(LKTN!$Q$3)+1),
ROWS(A$2:A32))),"")</f>
        <v/>
      </c>
      <c r="Z32" s="116" t="str" cm="1">
        <f t="array" aca="1" ref="Z32" ca="1">IFERROR(INDEX(LKTN!$G$3:$G$1000,
SMALL(
IF((LKTN!$Q$3:$Q$1000&lt;&gt;"")*(LKTN!$Q$3:$Q$1000&lt;&gt;"Not Due"),
ROW(LKTN!$Q$3:$Q$1000)-ROW(LKTN!$Q$3)+1),
ROWS(A$2:A32))),"")</f>
        <v/>
      </c>
      <c r="AA32" s="64" t="str" cm="1">
        <f t="array" aca="1" ref="AA32" ca="1">IFERROR(INDEX(LKTN!$Q$3:$Q$1000,
SMALL(
IF((LKTN!$Q$3:$Q$1000&lt;&gt;"")*(LKTN!$Q$3:$Q$1000&lt;&gt;"Not Due"),
ROW(LKTN!$Q$3:$Q$1000)-ROW(LKTN!$Q$3)+1),
ROWS(A$2:A32))
),"")</f>
        <v/>
      </c>
      <c r="AJ32" s="115">
        <v>31</v>
      </c>
      <c r="AK32" s="123" t="str" cm="1">
        <f t="array" aca="1" ref="AK32" ca="1">IFERROR(INDEX(ISN!$E$3:$E$1000,
SMALL(
IF((ISN!$Q$3:$Q$1000&lt;&gt;"")*(ISN!$Q$3:$Q$1000&lt;&gt;"Not Due"),
ROW(ISN!$Q$3:$Q$1000)-ROW(ISN!$Q$3)+1),
ROWS(A$2:A32))),"")</f>
        <v/>
      </c>
      <c r="AL32" s="115" t="str" cm="1">
        <f t="array" aca="1" ref="AL32" ca="1">IFERROR(INDEX(ISN!$B$3:$B$1000,
SMALL(
IF((ISN!$Q$3:$Q$1000&lt;&gt;"")*(ISN!$Q$3:$Q$1000&lt;&gt;"Not Due"),
ROW(ISN!$Q$3:$Q$1000)-ROW(ISN!$Q$3)+1),
ROWS(A$2:A32))),"")</f>
        <v/>
      </c>
      <c r="AM32" s="116" t="str" cm="1">
        <f t="array" aca="1" ref="AM32" ca="1">IFERROR(INDEX(ISN!$D$3:$D$1000,
SMALL(
IF((ISN!$Q$3:$Q$1000&lt;&gt;"")*(ISN!$Q$3:$Q$1000&lt;&gt;"Not Due"),
ROW(ISN!$Q$3:$Q$1000)-ROW(ISN!$Q$3)+1),
ROWS(A$2:A32))),"")</f>
        <v/>
      </c>
      <c r="AN32" s="116" t="str" cm="1">
        <f t="array" aca="1" ref="AN32" ca="1">IFERROR(INDEX(ISN!$G$3:$G$1000,
SMALL(
IF((ISN!$Q$3:$Q$1000&lt;&gt;"")*(ISN!$Q$3:$Q$1000&lt;&gt;"Not Due"),
ROW(ISN!$Q$3:$Q$1000)-ROW(ISN!$Q$3)+1),
ROWS(A$2:A32))),"")</f>
        <v/>
      </c>
      <c r="AO32" s="64" t="str" cm="1">
        <f t="array" aca="1" ref="AO32" ca="1">IFERROR(INDEX(ISN!$Q$3:$Q$1000,
SMALL(
IF((ISN!$Q$3:$Q$1000&lt;&gt;"")*(ISN!$Q$3:$Q$1000&lt;&gt;"Not Due"),
ROW(ISN!$Q$3:$Q$1000)-ROW(ISN!$Q$3)+1),
ROWS(A$2:A32))
),"")</f>
        <v/>
      </c>
      <c r="AQ32" s="115">
        <v>31</v>
      </c>
      <c r="AR32" s="124" t="str" cm="1">
        <f t="array" aca="1" ref="AR32" ca="1">IFERROR(INDEX(MSN!$E$3:$E$1000,
SMALL(
IF((MSN!$Q$3:$Q$1000&lt;&gt;"")*(MSN!$Q$3:$Q$1000&lt;&gt;"Not Due"),
ROW(MSN!$Q$3:$Q$1000)-ROW(MSN!$Q$3)+1),
ROWS(A$2:A32))),"")</f>
        <v/>
      </c>
      <c r="AS32" s="115" t="str" cm="1">
        <f t="array" aca="1" ref="AS32" ca="1">IFERROR(INDEX(MSN!$B$3:$B$1000,
SMALL(
IF((MSN!$Q$3:$Q$1000&lt;&gt;"")*(MSN!$Q$3:$Q$1000&lt;&gt;"Not Due"),
ROW(MSN!$Q$3:$Q$1000)-ROW(MSN!$Q$3)+1),
ROWS(A$2:A32))),"")</f>
        <v/>
      </c>
      <c r="AT32" s="115" t="str" cm="1">
        <f t="array" aca="1" ref="AT32" ca="1">IFERROR(INDEX(MSN!$D$3:$D$1000,
SMALL(
IF((MSN!$Q$3:$Q$1000&lt;&gt;"")*(MSN!$Q$3:$Q$1000&lt;&gt;"Not Due"),
ROW(MSN!$Q$3:$Q$1000)-ROW(MSN!$Q$3)+1),
ROWS(A$2:A32))),"")</f>
        <v/>
      </c>
      <c r="AU32" s="116" t="str" cm="1">
        <f t="array" aca="1" ref="AU32" ca="1">IFERROR(INDEX(MSN!$G$3:$G$1000,
SMALL(
IF((MSN!$Q$3:$Q$1000&lt;&gt;"")*(MSN!$Q$3:$Q$1000&lt;&gt;"Not Due"),
ROW(MSN!$Q$3:$Q$1000)-ROW(MSN!$Q$3)+1),
ROWS(A$2:A32))),"")</f>
        <v/>
      </c>
      <c r="AV32" s="64" t="str" cm="1">
        <f t="array" aca="1" ref="AV32" ca="1">IFERROR(INDEX(MSN!$Q$3:$Q$1000,
SMALL(
IF((MSN!$Q$3:$Q$1000&lt;&gt;"")*(MSN!$Q$3:$Q$1000&lt;&gt;"Not Due"),
ROW(MSN!$Q$3:$Q$1000)-ROW(MSN!$Q$3)+1),
ROWS(A$2:A32))
),"")</f>
        <v/>
      </c>
    </row>
    <row r="33" spans="1:48" ht="31.2" x14ac:dyDescent="0.3">
      <c r="A33" s="115">
        <v>32</v>
      </c>
      <c r="B33" s="118" t="str" cm="1">
        <f t="array" aca="1" ref="B33" ca="1">IFERROR(INDEX(FRIM!$E$3:$E$1000,
SMALL(IF(FRIM!$Q$3:$Q$1000&lt;&gt;"",
ROW(FRIM!$Q$3:$Q$1000)-ROW(FRIM!$Q$3)+1),
ROWS(A$2:A33))),"")</f>
        <v/>
      </c>
      <c r="C33" s="116" t="str" cm="1">
        <f t="array" aca="1" ref="C33" ca="1">IFERROR(INDEX(FRIM!$B$3:$B$1000,
SMALL(IF(FRIM!$Q$3:$Q$1000&lt;&gt;"",
ROW(FRIM!$Q$3:$Q$1000)-ROW(FRIM!$Q$3)+1),
ROWS(A$2:A33))),"")</f>
        <v/>
      </c>
      <c r="D33" s="116" t="str" cm="1">
        <f t="array" aca="1" ref="D33" ca="1">IFERROR(INDEX(FRIM!$D$3:$D$1000,
SMALL(IF(FRIM!$Q$3:$Q$1000&lt;&gt;"",
ROW(FRIM!$Q$3:$Q$1000)-ROW(FRIM!$Q$3)+1),
ROWS(A$2:A33))),"")</f>
        <v/>
      </c>
      <c r="E33" s="116" t="str" cm="1">
        <f t="array" aca="1" ref="E33" ca="1">IFERROR(INDEX(FRIM!$G$3:$G$1000,
SMALL(IF(FRIM!$Q$3:$Q$1000&lt;&gt;"",
ROW(FRIM!$Q$3:$Q$1000)-ROW(FRIM!$Q$3)+1),
ROWS(A$2:A33))),"")</f>
        <v/>
      </c>
      <c r="F33" s="88" t="str" cm="1">
        <f t="array" aca="1" ref="F33" ca="1">IFERROR(INDEX(FRIM!$Q$3:$Q$1000,
SMALL(IF(FRIM!$Q$3:$Q$1000&lt;&gt;"",
ROW(FRIM!$Q$3:$Q$1000)-ROW(FRIM!$Q$3)+1),
ROWS(A$2:A33))),"")</f>
        <v/>
      </c>
      <c r="H33" s="115">
        <v>32</v>
      </c>
      <c r="I33" s="119" t="str" cm="1">
        <f t="array" aca="1" ref="I33" ca="1">IFERROR(INDEX(MTIB!$E$3:$E$1000,
SMALL(
IF((MTIB!$Q$3:$Q$1000&lt;&gt;"")*(MTIB!$Q$3:$Q$1000&lt;&gt;"Not Due"),
ROW(MTIB!$Q$3:$Q$1000)-ROW(MTIB!$Q$3)+1),
ROWS(A$2:A33))),"")</f>
        <v/>
      </c>
      <c r="J33" s="115" t="str" cm="1">
        <f t="array" aca="1" ref="J33" ca="1">IFERROR(INDEX(MTIB!$B$3:$B$1000,
SMALL(
IF((MTIB!$Q$3:$Q$1000&lt;&gt;"")*(MTIB!$Q$3:$Q$1000&lt;&gt;"Not Due"),
ROW(MTIB!$Q$3:$Q$1000)-ROW(MTIB!$Q$3)+1),
ROWS(A$2:A33))),"")</f>
        <v/>
      </c>
      <c r="K33" s="115" t="str" cm="1">
        <f t="array" aca="1" ref="K33" ca="1">IFERROR(INDEX(MTIB!$D$3:$D$1000,
SMALL(
IF((MTIB!$Q$3:$Q$1000&lt;&gt;"")*(MTIB!$Q$3:$Q$1000&lt;&gt;"Not Due"),
ROW(MTIB!$Q$3:$Q$1000)-ROW(MTIB!$Q$3)+1),
ROWS(A$2:A33))),"")</f>
        <v/>
      </c>
      <c r="L33" s="116" t="str" cm="1">
        <f t="array" aca="1" ref="L33" ca="1">IFERROR(INDEX(MTIB!$G$3:$G$1000,
SMALL(
IF((MTIB!$Q$3:$Q$1000&lt;&gt;"")*(MTIB!$Q$3:$Q$1000&lt;&gt;"Not Due"),
ROW(MTIB!$Q$3:$Q$1000)-ROW(MTIB!$Q$3)+1),
ROWS(A$2:A33))),"")</f>
        <v/>
      </c>
      <c r="M33" s="88" t="str" cm="1">
        <f t="array" aca="1" ref="M33" ca="1">IFERROR(INDEX(MTIB!$Q$3:$Q$1000,
SMALL(
IF((MTIB!$Q$3:$Q$1000&lt;&gt;"")*(MTIB!$Q$3:$Q$1000&lt;&gt;"Not Due"),
ROW(MTIB!$Q$3:$Q$1000)-ROW(MTIB!$Q$3)+1),
ROWS(A$2:A33))
),"")</f>
        <v/>
      </c>
      <c r="O33" s="115">
        <v>32</v>
      </c>
      <c r="P33" s="120" t="str" cm="1">
        <f t="array" aca="1" ref="P33" ca="1">IFERROR(INDEX(MPOB!$E$3:$E$1000,
SMALL(
IF((MPOB!$Q$3:$Q$1000&lt;&gt;"")*(MPOB!$Q$3:$Q$1000&lt;&gt;"Not Due"),
ROW(MPOB!$Q$3:$Q$1000)-ROW(MPOB!$Q$3)+1),
ROWS(A$2:A33))),"")</f>
        <v>MPOB</v>
      </c>
      <c r="Q33" s="115" t="str" cm="1">
        <f t="array" aca="1" ref="Q33" ca="1">IFERROR(INDEX(MPOB!$B$3:$B$1000,
SMALL(
IF((MPOB!$Q$3:$Q$1000&lt;&gt;"")*(MPOB!$Q$3:$Q$1000&lt;&gt;"Not Due"),
ROW(MPOB!$Q$3:$Q$1000)-ROW(MPOB!$Q$3)+1),
ROWS(A$2:A33))),"")</f>
        <v>T/2026/00341</v>
      </c>
      <c r="R33" s="115" t="str" cm="1">
        <f t="array" aca="1" ref="R33" ca="1">IFERROR(INDEX(MPOB!$D$3:$D$1000,
SMALL(
IF((MPOB!$Q$3:$Q$1000&lt;&gt;"")*(MPOB!$Q$3:$Q$1000&lt;&gt;"Not Due"),
ROW(MPOB!$Q$3:$Q$1000)-ROW(MPOB!$Q$3)+1),
ROWS(A$2:A33))),"")</f>
        <v>MyFinancial</v>
      </c>
      <c r="S33" s="116" t="str" cm="1">
        <f t="array" aca="1" ref="S33" ca="1">IFERROR(INDEX(MPOB!$G$3:$G$1000,
SMALL(
IF((MPOB!$Q$3:$Q$1000&lt;&gt;"")*(MPOB!$Q$3:$Q$1000&lt;&gt;"Not Due"),
ROW(MPOB!$Q$3:$Q$1000)-ROW(MPOB!$Q$3)+1),
ROWS(A$2:A33))),"")</f>
        <v>INPOB/326/05312 perlu dibatalkan tetapi tidak wujud dalam sistem</v>
      </c>
      <c r="T33" s="88" t="str" cm="1">
        <f t="array" aca="1" ref="T33" ca="1">IFERROR(INDEX(MPOB!$Q$3:$Q$1000,
SMALL(
IF((MPOB!$Q$3:$Q$1000&lt;&gt;"")*(MPOB!$Q$3:$Q$1000&lt;&gt;"Not Due"),
ROW(MPOB!$Q$3:$Q$1000)-ROW(MPOB!$Q$3)+1),
ROWS(A$2:A33))
),"")</f>
        <v>31-60 Days</v>
      </c>
      <c r="V33" s="115">
        <v>32</v>
      </c>
      <c r="W33" s="121" t="str" cm="1">
        <f t="array" aca="1" ref="W33" ca="1">IFERROR(INDEX(LKTN!$E$3:$E$1000,
SMALL(
IF((LKTN!$Q$3:$Q$1000&lt;&gt;"")*(LKTN!$Q$3:$Q$1000&lt;&gt;"Not Due"),
ROW(LKTN!$Q$3:$Q$1000)-ROW(LKTN!$Q$3)+1),
ROWS(A$2:A33))),"")</f>
        <v/>
      </c>
      <c r="X33" s="115" t="str" cm="1">
        <f t="array" aca="1" ref="X33" ca="1">IFERROR(INDEX(LKTN!$B$3:$B$1000,
SMALL(
IF((LKTN!$Q$3:$Q$1000&lt;&gt;"")*(LKTN!$Q$3:$Q$1000&lt;&gt;"Not Due"),
ROW(LKTN!$Q$3:$Q$1000)-ROW(LKTN!$Q$3)+1),
ROWS(A$2:A33))),"")</f>
        <v/>
      </c>
      <c r="Y33" s="115" t="str" cm="1">
        <f t="array" aca="1" ref="Y33" ca="1">IFERROR(INDEX(LKTN!$D$3:$D$1000,
SMALL(
IF((LKTN!$Q$3:$Q$1000&lt;&gt;"")*(LKTN!$Q$3:$Q$1000&lt;&gt;"Not Due"),
ROW(LKTN!$Q$3:$Q$1000)-ROW(LKTN!$Q$3)+1),
ROWS(A$2:A33))),"")</f>
        <v/>
      </c>
      <c r="Z33" s="116" t="str" cm="1">
        <f t="array" aca="1" ref="Z33" ca="1">IFERROR(INDEX(LKTN!$G$3:$G$1000,
SMALL(
IF((LKTN!$Q$3:$Q$1000&lt;&gt;"")*(LKTN!$Q$3:$Q$1000&lt;&gt;"Not Due"),
ROW(LKTN!$Q$3:$Q$1000)-ROW(LKTN!$Q$3)+1),
ROWS(A$2:A33))),"")</f>
        <v/>
      </c>
      <c r="AA33" s="64" t="str" cm="1">
        <f t="array" aca="1" ref="AA33" ca="1">IFERROR(INDEX(LKTN!$Q$3:$Q$1000,
SMALL(
IF((LKTN!$Q$3:$Q$1000&lt;&gt;"")*(LKTN!$Q$3:$Q$1000&lt;&gt;"Not Due"),
ROW(LKTN!$Q$3:$Q$1000)-ROW(LKTN!$Q$3)+1),
ROWS(A$2:A33))
),"")</f>
        <v/>
      </c>
      <c r="AJ33" s="115">
        <v>32</v>
      </c>
      <c r="AK33" s="123" t="str" cm="1">
        <f t="array" aca="1" ref="AK33" ca="1">IFERROR(INDEX(ISN!$E$3:$E$1000,
SMALL(
IF((ISN!$Q$3:$Q$1000&lt;&gt;"")*(ISN!$Q$3:$Q$1000&lt;&gt;"Not Due"),
ROW(ISN!$Q$3:$Q$1000)-ROW(ISN!$Q$3)+1),
ROWS(A$2:A33))),"")</f>
        <v/>
      </c>
      <c r="AL33" s="115" t="str" cm="1">
        <f t="array" aca="1" ref="AL33" ca="1">IFERROR(INDEX(ISN!$B$3:$B$1000,
SMALL(
IF((ISN!$Q$3:$Q$1000&lt;&gt;"")*(ISN!$Q$3:$Q$1000&lt;&gt;"Not Due"),
ROW(ISN!$Q$3:$Q$1000)-ROW(ISN!$Q$3)+1),
ROWS(A$2:A33))),"")</f>
        <v/>
      </c>
      <c r="AM33" s="116" t="str" cm="1">
        <f t="array" aca="1" ref="AM33" ca="1">IFERROR(INDEX(ISN!$D$3:$D$1000,
SMALL(
IF((ISN!$Q$3:$Q$1000&lt;&gt;"")*(ISN!$Q$3:$Q$1000&lt;&gt;"Not Due"),
ROW(ISN!$Q$3:$Q$1000)-ROW(ISN!$Q$3)+1),
ROWS(A$2:A33))),"")</f>
        <v/>
      </c>
      <c r="AN33" s="116" t="str" cm="1">
        <f t="array" aca="1" ref="AN33" ca="1">IFERROR(INDEX(ISN!$G$3:$G$1000,
SMALL(
IF((ISN!$Q$3:$Q$1000&lt;&gt;"")*(ISN!$Q$3:$Q$1000&lt;&gt;"Not Due"),
ROW(ISN!$Q$3:$Q$1000)-ROW(ISN!$Q$3)+1),
ROWS(A$2:A33))),"")</f>
        <v/>
      </c>
      <c r="AO33" s="64" t="str" cm="1">
        <f t="array" aca="1" ref="AO33" ca="1">IFERROR(INDEX(ISN!$Q$3:$Q$1000,
SMALL(
IF((ISN!$Q$3:$Q$1000&lt;&gt;"")*(ISN!$Q$3:$Q$1000&lt;&gt;"Not Due"),
ROW(ISN!$Q$3:$Q$1000)-ROW(ISN!$Q$3)+1),
ROWS(A$2:A33))
),"")</f>
        <v/>
      </c>
      <c r="AQ33" s="115">
        <v>32</v>
      </c>
      <c r="AR33" s="124" t="str" cm="1">
        <f t="array" aca="1" ref="AR33" ca="1">IFERROR(INDEX(MSN!$E$3:$E$1000,
SMALL(
IF((MSN!$Q$3:$Q$1000&lt;&gt;"")*(MSN!$Q$3:$Q$1000&lt;&gt;"Not Due"),
ROW(MSN!$Q$3:$Q$1000)-ROW(MSN!$Q$3)+1),
ROWS(A$2:A33))),"")</f>
        <v/>
      </c>
      <c r="AS33" s="115" t="str" cm="1">
        <f t="array" aca="1" ref="AS33" ca="1">IFERROR(INDEX(MSN!$B$3:$B$1000,
SMALL(
IF((MSN!$Q$3:$Q$1000&lt;&gt;"")*(MSN!$Q$3:$Q$1000&lt;&gt;"Not Due"),
ROW(MSN!$Q$3:$Q$1000)-ROW(MSN!$Q$3)+1),
ROWS(A$2:A33))),"")</f>
        <v/>
      </c>
      <c r="AT33" s="115" t="str" cm="1">
        <f t="array" aca="1" ref="AT33" ca="1">IFERROR(INDEX(MSN!$D$3:$D$1000,
SMALL(
IF((MSN!$Q$3:$Q$1000&lt;&gt;"")*(MSN!$Q$3:$Q$1000&lt;&gt;"Not Due"),
ROW(MSN!$Q$3:$Q$1000)-ROW(MSN!$Q$3)+1),
ROWS(A$2:A33))),"")</f>
        <v/>
      </c>
      <c r="AU33" s="116" t="str" cm="1">
        <f t="array" aca="1" ref="AU33" ca="1">IFERROR(INDEX(MSN!$G$3:$G$1000,
SMALL(
IF((MSN!$Q$3:$Q$1000&lt;&gt;"")*(MSN!$Q$3:$Q$1000&lt;&gt;"Not Due"),
ROW(MSN!$Q$3:$Q$1000)-ROW(MSN!$Q$3)+1),
ROWS(A$2:A33))),"")</f>
        <v/>
      </c>
      <c r="AV33" s="64" t="str" cm="1">
        <f t="array" aca="1" ref="AV33" ca="1">IFERROR(INDEX(MSN!$Q$3:$Q$1000,
SMALL(
IF((MSN!$Q$3:$Q$1000&lt;&gt;"")*(MSN!$Q$3:$Q$1000&lt;&gt;"Not Due"),
ROW(MSN!$Q$3:$Q$1000)-ROW(MSN!$Q$3)+1),
ROWS(A$2:A33))
),"")</f>
        <v/>
      </c>
    </row>
    <row r="34" spans="1:48" ht="31.2" x14ac:dyDescent="0.3">
      <c r="A34" s="115">
        <v>33</v>
      </c>
      <c r="B34" s="118" t="str" cm="1">
        <f t="array" aca="1" ref="B34" ca="1">IFERROR(INDEX(FRIM!$E$3:$E$1000,
SMALL(IF(FRIM!$Q$3:$Q$1000&lt;&gt;"",
ROW(FRIM!$Q$3:$Q$1000)-ROW(FRIM!$Q$3)+1),
ROWS(A$2:A34))),"")</f>
        <v/>
      </c>
      <c r="C34" s="116" t="str" cm="1">
        <f t="array" aca="1" ref="C34" ca="1">IFERROR(INDEX(FRIM!$B$3:$B$1000,
SMALL(IF(FRIM!$Q$3:$Q$1000&lt;&gt;"",
ROW(FRIM!$Q$3:$Q$1000)-ROW(FRIM!$Q$3)+1),
ROWS(A$2:A34))),"")</f>
        <v/>
      </c>
      <c r="D34" s="116" t="str" cm="1">
        <f t="array" aca="1" ref="D34" ca="1">IFERROR(INDEX(FRIM!$D$3:$D$1000,
SMALL(IF(FRIM!$Q$3:$Q$1000&lt;&gt;"",
ROW(FRIM!$Q$3:$Q$1000)-ROW(FRIM!$Q$3)+1),
ROWS(A$2:A34))),"")</f>
        <v/>
      </c>
      <c r="E34" s="116" t="str" cm="1">
        <f t="array" aca="1" ref="E34" ca="1">IFERROR(INDEX(FRIM!$G$3:$G$1000,
SMALL(IF(FRIM!$Q$3:$Q$1000&lt;&gt;"",
ROW(FRIM!$Q$3:$Q$1000)-ROW(FRIM!$Q$3)+1),
ROWS(A$2:A34))),"")</f>
        <v/>
      </c>
      <c r="F34" s="88" t="str" cm="1">
        <f t="array" aca="1" ref="F34" ca="1">IFERROR(INDEX(FRIM!$Q$3:$Q$1000,
SMALL(IF(FRIM!$Q$3:$Q$1000&lt;&gt;"",
ROW(FRIM!$Q$3:$Q$1000)-ROW(FRIM!$Q$3)+1),
ROWS(A$2:A34))),"")</f>
        <v/>
      </c>
      <c r="H34" s="115">
        <v>33</v>
      </c>
      <c r="I34" s="119" t="str" cm="1">
        <f t="array" aca="1" ref="I34" ca="1">IFERROR(INDEX(MTIB!$E$3:$E$1000,
SMALL(
IF((MTIB!$Q$3:$Q$1000&lt;&gt;"")*(MTIB!$Q$3:$Q$1000&lt;&gt;"Not Due"),
ROW(MTIB!$Q$3:$Q$1000)-ROW(MTIB!$Q$3)+1),
ROWS(A$2:A34))),"")</f>
        <v/>
      </c>
      <c r="J34" s="115" t="str" cm="1">
        <f t="array" aca="1" ref="J34" ca="1">IFERROR(INDEX(MTIB!$B$3:$B$1000,
SMALL(
IF((MTIB!$Q$3:$Q$1000&lt;&gt;"")*(MTIB!$Q$3:$Q$1000&lt;&gt;"Not Due"),
ROW(MTIB!$Q$3:$Q$1000)-ROW(MTIB!$Q$3)+1),
ROWS(A$2:A34))),"")</f>
        <v/>
      </c>
      <c r="K34" s="115" t="str" cm="1">
        <f t="array" aca="1" ref="K34" ca="1">IFERROR(INDEX(MTIB!$D$3:$D$1000,
SMALL(
IF((MTIB!$Q$3:$Q$1000&lt;&gt;"")*(MTIB!$Q$3:$Q$1000&lt;&gt;"Not Due"),
ROW(MTIB!$Q$3:$Q$1000)-ROW(MTIB!$Q$3)+1),
ROWS(A$2:A34))),"")</f>
        <v/>
      </c>
      <c r="L34" s="116" t="str" cm="1">
        <f t="array" aca="1" ref="L34" ca="1">IFERROR(INDEX(MTIB!$G$3:$G$1000,
SMALL(
IF((MTIB!$Q$3:$Q$1000&lt;&gt;"")*(MTIB!$Q$3:$Q$1000&lt;&gt;"Not Due"),
ROW(MTIB!$Q$3:$Q$1000)-ROW(MTIB!$Q$3)+1),
ROWS(A$2:A34))),"")</f>
        <v/>
      </c>
      <c r="M34" s="88" t="str" cm="1">
        <f t="array" aca="1" ref="M34" ca="1">IFERROR(INDEX(MTIB!$Q$3:$Q$1000,
SMALL(
IF((MTIB!$Q$3:$Q$1000&lt;&gt;"")*(MTIB!$Q$3:$Q$1000&lt;&gt;"Not Due"),
ROW(MTIB!$Q$3:$Q$1000)-ROW(MTIB!$Q$3)+1),
ROWS(A$2:A34))
),"")</f>
        <v/>
      </c>
      <c r="O34" s="115">
        <v>33</v>
      </c>
      <c r="P34" s="120" t="str" cm="1">
        <f t="array" aca="1" ref="P34" ca="1">IFERROR(INDEX(MPOB!$E$3:$E$1000,
SMALL(
IF((MPOB!$Q$3:$Q$1000&lt;&gt;"")*(MPOB!$Q$3:$Q$1000&lt;&gt;"Not Due"),
ROW(MPOB!$Q$3:$Q$1000)-ROW(MPOB!$Q$3)+1),
ROWS(A$2:A34))),"")</f>
        <v>MPOB</v>
      </c>
      <c r="Q34" s="115" t="str" cm="1">
        <f t="array" aca="1" ref="Q34" ca="1">IFERROR(INDEX(MPOB!$B$3:$B$1000,
SMALL(
IF((MPOB!$Q$3:$Q$1000&lt;&gt;"")*(MPOB!$Q$3:$Q$1000&lt;&gt;"Not Due"),
ROW(MPOB!$Q$3:$Q$1000)-ROW(MPOB!$Q$3)+1),
ROWS(A$2:A34))),"")</f>
        <v>T/2026/00352</v>
      </c>
      <c r="R34" s="115" t="str" cm="1">
        <f t="array" aca="1" ref="R34" ca="1">IFERROR(INDEX(MPOB!$D$3:$D$1000,
SMALL(
IF((MPOB!$Q$3:$Q$1000&lt;&gt;"")*(MPOB!$Q$3:$Q$1000&lt;&gt;"Not Due"),
ROW(MPOB!$Q$3:$Q$1000)-ROW(MPOB!$Q$3)+1),
ROWS(A$2:A34))),"")</f>
        <v>MyFinancial</v>
      </c>
      <c r="S34" s="116" t="str" cm="1">
        <f t="array" aca="1" ref="S34" ca="1">IFERROR(INDEX(MPOB!$G$3:$G$1000,
SMALL(
IF((MPOB!$Q$3:$Q$1000&lt;&gt;"")*(MPOB!$Q$3:$Q$1000&lt;&gt;"Not Due"),
ROW(MPOB!$Q$3:$Q$1000)-ROW(MPOB!$Q$3)+1),
ROWS(A$2:A34))),"")</f>
        <v>ADA 2 NAMA, PENOLONG AKAUNTAN DAN PENOLONG PEGAWAI TADBIR</v>
      </c>
      <c r="T34" s="88" t="str" cm="1">
        <f t="array" aca="1" ref="T34" ca="1">IFERROR(INDEX(MPOB!$Q$3:$Q$1000,
SMALL(
IF((MPOB!$Q$3:$Q$1000&lt;&gt;"")*(MPOB!$Q$3:$Q$1000&lt;&gt;"Not Due"),
ROW(MPOB!$Q$3:$Q$1000)-ROW(MPOB!$Q$3)+1),
ROWS(A$2:A34))
),"")</f>
        <v>31-60 Days</v>
      </c>
      <c r="V34" s="115">
        <v>33</v>
      </c>
      <c r="W34" s="121" t="str" cm="1">
        <f t="array" aca="1" ref="W34" ca="1">IFERROR(INDEX(LKTN!$E$3:$E$1000,
SMALL(
IF((LKTN!$Q$3:$Q$1000&lt;&gt;"")*(LKTN!$Q$3:$Q$1000&lt;&gt;"Not Due"),
ROW(LKTN!$Q$3:$Q$1000)-ROW(LKTN!$Q$3)+1),
ROWS(A$2:A34))),"")</f>
        <v/>
      </c>
      <c r="X34" s="115" t="str" cm="1">
        <f t="array" aca="1" ref="X34" ca="1">IFERROR(INDEX(LKTN!$B$3:$B$1000,
SMALL(
IF((LKTN!$Q$3:$Q$1000&lt;&gt;"")*(LKTN!$Q$3:$Q$1000&lt;&gt;"Not Due"),
ROW(LKTN!$Q$3:$Q$1000)-ROW(LKTN!$Q$3)+1),
ROWS(A$2:A34))),"")</f>
        <v/>
      </c>
      <c r="Y34" s="115" t="str" cm="1">
        <f t="array" aca="1" ref="Y34" ca="1">IFERROR(INDEX(LKTN!$D$3:$D$1000,
SMALL(
IF((LKTN!$Q$3:$Q$1000&lt;&gt;"")*(LKTN!$Q$3:$Q$1000&lt;&gt;"Not Due"),
ROW(LKTN!$Q$3:$Q$1000)-ROW(LKTN!$Q$3)+1),
ROWS(A$2:A34))),"")</f>
        <v/>
      </c>
      <c r="Z34" s="116" t="str" cm="1">
        <f t="array" aca="1" ref="Z34" ca="1">IFERROR(INDEX(LKTN!$G$3:$G$1000,
SMALL(
IF((LKTN!$Q$3:$Q$1000&lt;&gt;"")*(LKTN!$Q$3:$Q$1000&lt;&gt;"Not Due"),
ROW(LKTN!$Q$3:$Q$1000)-ROW(LKTN!$Q$3)+1),
ROWS(A$2:A34))),"")</f>
        <v/>
      </c>
      <c r="AA34" s="64" t="str" cm="1">
        <f t="array" aca="1" ref="AA34" ca="1">IFERROR(INDEX(LKTN!$Q$3:$Q$1000,
SMALL(
IF((LKTN!$Q$3:$Q$1000&lt;&gt;"")*(LKTN!$Q$3:$Q$1000&lt;&gt;"Not Due"),
ROW(LKTN!$Q$3:$Q$1000)-ROW(LKTN!$Q$3)+1),
ROWS(A$2:A34))
),"")</f>
        <v/>
      </c>
      <c r="AJ34" s="115">
        <v>33</v>
      </c>
      <c r="AK34" s="123" t="str" cm="1">
        <f t="array" aca="1" ref="AK34" ca="1">IFERROR(INDEX(ISN!$E$3:$E$1000,
SMALL(
IF((ISN!$Q$3:$Q$1000&lt;&gt;"")*(ISN!$Q$3:$Q$1000&lt;&gt;"Not Due"),
ROW(ISN!$Q$3:$Q$1000)-ROW(ISN!$Q$3)+1),
ROWS(A$2:A34))),"")</f>
        <v/>
      </c>
      <c r="AL34" s="115" t="str" cm="1">
        <f t="array" aca="1" ref="AL34" ca="1">IFERROR(INDEX(ISN!$B$3:$B$1000,
SMALL(
IF((ISN!$Q$3:$Q$1000&lt;&gt;"")*(ISN!$Q$3:$Q$1000&lt;&gt;"Not Due"),
ROW(ISN!$Q$3:$Q$1000)-ROW(ISN!$Q$3)+1),
ROWS(A$2:A34))),"")</f>
        <v/>
      </c>
      <c r="AM34" s="116" t="str" cm="1">
        <f t="array" aca="1" ref="AM34" ca="1">IFERROR(INDEX(ISN!$D$3:$D$1000,
SMALL(
IF((ISN!$Q$3:$Q$1000&lt;&gt;"")*(ISN!$Q$3:$Q$1000&lt;&gt;"Not Due"),
ROW(ISN!$Q$3:$Q$1000)-ROW(ISN!$Q$3)+1),
ROWS(A$2:A34))),"")</f>
        <v/>
      </c>
      <c r="AN34" s="116" t="str" cm="1">
        <f t="array" aca="1" ref="AN34" ca="1">IFERROR(INDEX(ISN!$G$3:$G$1000,
SMALL(
IF((ISN!$Q$3:$Q$1000&lt;&gt;"")*(ISN!$Q$3:$Q$1000&lt;&gt;"Not Due"),
ROW(ISN!$Q$3:$Q$1000)-ROW(ISN!$Q$3)+1),
ROWS(A$2:A34))),"")</f>
        <v/>
      </c>
      <c r="AO34" s="64" t="str" cm="1">
        <f t="array" aca="1" ref="AO34" ca="1">IFERROR(INDEX(ISN!$Q$3:$Q$1000,
SMALL(
IF((ISN!$Q$3:$Q$1000&lt;&gt;"")*(ISN!$Q$3:$Q$1000&lt;&gt;"Not Due"),
ROW(ISN!$Q$3:$Q$1000)-ROW(ISN!$Q$3)+1),
ROWS(A$2:A34))
),"")</f>
        <v/>
      </c>
      <c r="AQ34" s="115">
        <v>33</v>
      </c>
      <c r="AR34" s="124" t="str" cm="1">
        <f t="array" aca="1" ref="AR34" ca="1">IFERROR(INDEX(MSN!$E$3:$E$1000,
SMALL(
IF((MSN!$Q$3:$Q$1000&lt;&gt;"")*(MSN!$Q$3:$Q$1000&lt;&gt;"Not Due"),
ROW(MSN!$Q$3:$Q$1000)-ROW(MSN!$Q$3)+1),
ROWS(A$2:A34))),"")</f>
        <v/>
      </c>
      <c r="AS34" s="115" t="str" cm="1">
        <f t="array" aca="1" ref="AS34" ca="1">IFERROR(INDEX(MSN!$B$3:$B$1000,
SMALL(
IF((MSN!$Q$3:$Q$1000&lt;&gt;"")*(MSN!$Q$3:$Q$1000&lt;&gt;"Not Due"),
ROW(MSN!$Q$3:$Q$1000)-ROW(MSN!$Q$3)+1),
ROWS(A$2:A34))),"")</f>
        <v/>
      </c>
      <c r="AT34" s="115" t="str" cm="1">
        <f t="array" aca="1" ref="AT34" ca="1">IFERROR(INDEX(MSN!$D$3:$D$1000,
SMALL(
IF((MSN!$Q$3:$Q$1000&lt;&gt;"")*(MSN!$Q$3:$Q$1000&lt;&gt;"Not Due"),
ROW(MSN!$Q$3:$Q$1000)-ROW(MSN!$Q$3)+1),
ROWS(A$2:A34))),"")</f>
        <v/>
      </c>
      <c r="AU34" s="116" t="str" cm="1">
        <f t="array" aca="1" ref="AU34" ca="1">IFERROR(INDEX(MSN!$G$3:$G$1000,
SMALL(
IF((MSN!$Q$3:$Q$1000&lt;&gt;"")*(MSN!$Q$3:$Q$1000&lt;&gt;"Not Due"),
ROW(MSN!$Q$3:$Q$1000)-ROW(MSN!$Q$3)+1),
ROWS(A$2:A34))),"")</f>
        <v/>
      </c>
      <c r="AV34" s="64" t="str" cm="1">
        <f t="array" aca="1" ref="AV34" ca="1">IFERROR(INDEX(MSN!$Q$3:$Q$1000,
SMALL(
IF((MSN!$Q$3:$Q$1000&lt;&gt;"")*(MSN!$Q$3:$Q$1000&lt;&gt;"Not Due"),
ROW(MSN!$Q$3:$Q$1000)-ROW(MSN!$Q$3)+1),
ROWS(A$2:A34))
),"")</f>
        <v/>
      </c>
    </row>
    <row r="35" spans="1:48" ht="46.8" x14ac:dyDescent="0.3">
      <c r="A35" s="115">
        <v>34</v>
      </c>
      <c r="B35" s="118" t="str" cm="1">
        <f t="array" aca="1" ref="B35" ca="1">IFERROR(INDEX(FRIM!$E$3:$E$1000,
SMALL(IF(FRIM!$Q$3:$Q$1000&lt;&gt;"",
ROW(FRIM!$Q$3:$Q$1000)-ROW(FRIM!$Q$3)+1),
ROWS(A$2:A35))),"")</f>
        <v/>
      </c>
      <c r="C35" s="116" t="str" cm="1">
        <f t="array" aca="1" ref="C35" ca="1">IFERROR(INDEX(FRIM!$B$3:$B$1000,
SMALL(IF(FRIM!$Q$3:$Q$1000&lt;&gt;"",
ROW(FRIM!$Q$3:$Q$1000)-ROW(FRIM!$Q$3)+1),
ROWS(A$2:A35))),"")</f>
        <v/>
      </c>
      <c r="D35" s="116" t="str" cm="1">
        <f t="array" aca="1" ref="D35" ca="1">IFERROR(INDEX(FRIM!$D$3:$D$1000,
SMALL(IF(FRIM!$Q$3:$Q$1000&lt;&gt;"",
ROW(FRIM!$Q$3:$Q$1000)-ROW(FRIM!$Q$3)+1),
ROWS(A$2:A35))),"")</f>
        <v/>
      </c>
      <c r="E35" s="116" t="str" cm="1">
        <f t="array" aca="1" ref="E35" ca="1">IFERROR(INDEX(FRIM!$G$3:$G$1000,
SMALL(IF(FRIM!$Q$3:$Q$1000&lt;&gt;"",
ROW(FRIM!$Q$3:$Q$1000)-ROW(FRIM!$Q$3)+1),
ROWS(A$2:A35))),"")</f>
        <v/>
      </c>
      <c r="F35" s="88" t="str" cm="1">
        <f t="array" aca="1" ref="F35" ca="1">IFERROR(INDEX(FRIM!$Q$3:$Q$1000,
SMALL(IF(FRIM!$Q$3:$Q$1000&lt;&gt;"",
ROW(FRIM!$Q$3:$Q$1000)-ROW(FRIM!$Q$3)+1),
ROWS(A$2:A35))),"")</f>
        <v/>
      </c>
      <c r="H35" s="115">
        <v>34</v>
      </c>
      <c r="I35" s="119" t="str" cm="1">
        <f t="array" aca="1" ref="I35" ca="1">IFERROR(INDEX(MTIB!$E$3:$E$1000,
SMALL(
IF((MTIB!$Q$3:$Q$1000&lt;&gt;"")*(MTIB!$Q$3:$Q$1000&lt;&gt;"Not Due"),
ROW(MTIB!$Q$3:$Q$1000)-ROW(MTIB!$Q$3)+1),
ROWS(A$2:A35))),"")</f>
        <v/>
      </c>
      <c r="J35" s="115" t="str" cm="1">
        <f t="array" aca="1" ref="J35" ca="1">IFERROR(INDEX(MTIB!$B$3:$B$1000,
SMALL(
IF((MTIB!$Q$3:$Q$1000&lt;&gt;"")*(MTIB!$Q$3:$Q$1000&lt;&gt;"Not Due"),
ROW(MTIB!$Q$3:$Q$1000)-ROW(MTIB!$Q$3)+1),
ROWS(A$2:A35))),"")</f>
        <v/>
      </c>
      <c r="K35" s="115" t="str" cm="1">
        <f t="array" aca="1" ref="K35" ca="1">IFERROR(INDEX(MTIB!$D$3:$D$1000,
SMALL(
IF((MTIB!$Q$3:$Q$1000&lt;&gt;"")*(MTIB!$Q$3:$Q$1000&lt;&gt;"Not Due"),
ROW(MTIB!$Q$3:$Q$1000)-ROW(MTIB!$Q$3)+1),
ROWS(A$2:A35))),"")</f>
        <v/>
      </c>
      <c r="L35" s="116" t="str" cm="1">
        <f t="array" aca="1" ref="L35" ca="1">IFERROR(INDEX(MTIB!$G$3:$G$1000,
SMALL(
IF((MTIB!$Q$3:$Q$1000&lt;&gt;"")*(MTIB!$Q$3:$Q$1000&lt;&gt;"Not Due"),
ROW(MTIB!$Q$3:$Q$1000)-ROW(MTIB!$Q$3)+1),
ROWS(A$2:A35))),"")</f>
        <v/>
      </c>
      <c r="M35" s="88" t="str" cm="1">
        <f t="array" aca="1" ref="M35" ca="1">IFERROR(INDEX(MTIB!$Q$3:$Q$1000,
SMALL(
IF((MTIB!$Q$3:$Q$1000&lt;&gt;"")*(MTIB!$Q$3:$Q$1000&lt;&gt;"Not Due"),
ROW(MTIB!$Q$3:$Q$1000)-ROW(MTIB!$Q$3)+1),
ROWS(A$2:A35))
),"")</f>
        <v/>
      </c>
      <c r="O35" s="115">
        <v>34</v>
      </c>
      <c r="P35" s="120" t="str" cm="1">
        <f t="array" aca="1" ref="P35" ca="1">IFERROR(INDEX(MPOB!$E$3:$E$1000,
SMALL(
IF((MPOB!$Q$3:$Q$1000&lt;&gt;"")*(MPOB!$Q$3:$Q$1000&lt;&gt;"Not Due"),
ROW(MPOB!$Q$3:$Q$1000)-ROW(MPOB!$Q$3)+1),
ROWS(A$2:A35))),"")</f>
        <v>MPOB</v>
      </c>
      <c r="Q35" s="115" t="str" cm="1">
        <f t="array" aca="1" ref="Q35" ca="1">IFERROR(INDEX(MPOB!$B$3:$B$1000,
SMALL(
IF((MPOB!$Q$3:$Q$1000&lt;&gt;"")*(MPOB!$Q$3:$Q$1000&lt;&gt;"Not Due"),
ROW(MPOB!$Q$3:$Q$1000)-ROW(MPOB!$Q$3)+1),
ROWS(A$2:A35))),"")</f>
        <v>T/2026/00357</v>
      </c>
      <c r="R35" s="115" t="str" cm="1">
        <f t="array" aca="1" ref="R35" ca="1">IFERROR(INDEX(MPOB!$D$3:$D$1000,
SMALL(
IF((MPOB!$Q$3:$Q$1000&lt;&gt;"")*(MPOB!$Q$3:$Q$1000&lt;&gt;"Not Due"),
ROW(MPOB!$Q$3:$Q$1000)-ROW(MPOB!$Q$3)+1),
ROWS(A$2:A35))),"")</f>
        <v>MyStor</v>
      </c>
      <c r="S35" s="116" t="str" cm="1">
        <f t="array" aca="1" ref="S35" ca="1">IFERROR(INDEX(MPOB!$G$3:$G$1000,
SMALL(
IF((MPOB!$Q$3:$Q$1000&lt;&gt;"")*(MPOB!$Q$3:$Q$1000&lt;&gt;"Not Due"),
ROW(MPOB!$Q$3:$Q$1000)-ROW(MPOB!$Q$3)+1),
ROWS(A$2:A35))),"")</f>
        <v>1. item butiran hilang bila disimpan 2. pengesan dan pegawai lulus tidak terima 3. mintak semak semuala flow modul pengeluaran stok antara stor</v>
      </c>
      <c r="T35" s="88" t="str" cm="1">
        <f t="array" aca="1" ref="T35" ca="1">IFERROR(INDEX(MPOB!$Q$3:$Q$1000,
SMALL(
IF((MPOB!$Q$3:$Q$1000&lt;&gt;"")*(MPOB!$Q$3:$Q$1000&lt;&gt;"Not Due"),
ROW(MPOB!$Q$3:$Q$1000)-ROW(MPOB!$Q$3)+1),
ROWS(A$2:A35))
),"")</f>
        <v>31-60 Days</v>
      </c>
      <c r="V35" s="115">
        <v>34</v>
      </c>
      <c r="W35" s="121" t="str" cm="1">
        <f t="array" aca="1" ref="W35" ca="1">IFERROR(INDEX(LKTN!$E$3:$E$1000,
SMALL(
IF((LKTN!$Q$3:$Q$1000&lt;&gt;"")*(LKTN!$Q$3:$Q$1000&lt;&gt;"Not Due"),
ROW(LKTN!$Q$3:$Q$1000)-ROW(LKTN!$Q$3)+1),
ROWS(A$2:A35))),"")</f>
        <v/>
      </c>
      <c r="X35" s="115" t="str" cm="1">
        <f t="array" aca="1" ref="X35" ca="1">IFERROR(INDEX(LKTN!$B$3:$B$1000,
SMALL(
IF((LKTN!$Q$3:$Q$1000&lt;&gt;"")*(LKTN!$Q$3:$Q$1000&lt;&gt;"Not Due"),
ROW(LKTN!$Q$3:$Q$1000)-ROW(LKTN!$Q$3)+1),
ROWS(A$2:A35))),"")</f>
        <v/>
      </c>
      <c r="Y35" s="115" t="str" cm="1">
        <f t="array" aca="1" ref="Y35" ca="1">IFERROR(INDEX(LKTN!$D$3:$D$1000,
SMALL(
IF((LKTN!$Q$3:$Q$1000&lt;&gt;"")*(LKTN!$Q$3:$Q$1000&lt;&gt;"Not Due"),
ROW(LKTN!$Q$3:$Q$1000)-ROW(LKTN!$Q$3)+1),
ROWS(A$2:A35))),"")</f>
        <v/>
      </c>
      <c r="Z35" s="116" t="str" cm="1">
        <f t="array" aca="1" ref="Z35" ca="1">IFERROR(INDEX(LKTN!$G$3:$G$1000,
SMALL(
IF((LKTN!$Q$3:$Q$1000&lt;&gt;"")*(LKTN!$Q$3:$Q$1000&lt;&gt;"Not Due"),
ROW(LKTN!$Q$3:$Q$1000)-ROW(LKTN!$Q$3)+1),
ROWS(A$2:A35))),"")</f>
        <v/>
      </c>
      <c r="AA35" s="64" t="str" cm="1">
        <f t="array" aca="1" ref="AA35" ca="1">IFERROR(INDEX(LKTN!$Q$3:$Q$1000,
SMALL(
IF((LKTN!$Q$3:$Q$1000&lt;&gt;"")*(LKTN!$Q$3:$Q$1000&lt;&gt;"Not Due"),
ROW(LKTN!$Q$3:$Q$1000)-ROW(LKTN!$Q$3)+1),
ROWS(A$2:A35))
),"")</f>
        <v/>
      </c>
      <c r="AJ35" s="115">
        <v>34</v>
      </c>
      <c r="AK35" s="123" t="str" cm="1">
        <f t="array" aca="1" ref="AK35" ca="1">IFERROR(INDEX(ISN!$E$3:$E$1000,
SMALL(
IF((ISN!$Q$3:$Q$1000&lt;&gt;"")*(ISN!$Q$3:$Q$1000&lt;&gt;"Not Due"),
ROW(ISN!$Q$3:$Q$1000)-ROW(ISN!$Q$3)+1),
ROWS(A$2:A35))),"")</f>
        <v/>
      </c>
      <c r="AL35" s="115" t="str" cm="1">
        <f t="array" aca="1" ref="AL35" ca="1">IFERROR(INDEX(ISN!$B$3:$B$1000,
SMALL(
IF((ISN!$Q$3:$Q$1000&lt;&gt;"")*(ISN!$Q$3:$Q$1000&lt;&gt;"Not Due"),
ROW(ISN!$Q$3:$Q$1000)-ROW(ISN!$Q$3)+1),
ROWS(A$2:A35))),"")</f>
        <v/>
      </c>
      <c r="AM35" s="116" t="str" cm="1">
        <f t="array" aca="1" ref="AM35" ca="1">IFERROR(INDEX(ISN!$D$3:$D$1000,
SMALL(
IF((ISN!$Q$3:$Q$1000&lt;&gt;"")*(ISN!$Q$3:$Q$1000&lt;&gt;"Not Due"),
ROW(ISN!$Q$3:$Q$1000)-ROW(ISN!$Q$3)+1),
ROWS(A$2:A35))),"")</f>
        <v/>
      </c>
      <c r="AN35" s="116" t="str" cm="1">
        <f t="array" aca="1" ref="AN35" ca="1">IFERROR(INDEX(ISN!$G$3:$G$1000,
SMALL(
IF((ISN!$Q$3:$Q$1000&lt;&gt;"")*(ISN!$Q$3:$Q$1000&lt;&gt;"Not Due"),
ROW(ISN!$Q$3:$Q$1000)-ROW(ISN!$Q$3)+1),
ROWS(A$2:A35))),"")</f>
        <v/>
      </c>
      <c r="AO35" s="64" t="str" cm="1">
        <f t="array" aca="1" ref="AO35" ca="1">IFERROR(INDEX(ISN!$Q$3:$Q$1000,
SMALL(
IF((ISN!$Q$3:$Q$1000&lt;&gt;"")*(ISN!$Q$3:$Q$1000&lt;&gt;"Not Due"),
ROW(ISN!$Q$3:$Q$1000)-ROW(ISN!$Q$3)+1),
ROWS(A$2:A35))
),"")</f>
        <v/>
      </c>
      <c r="AQ35" s="115">
        <v>34</v>
      </c>
      <c r="AR35" s="124" t="str" cm="1">
        <f t="array" aca="1" ref="AR35" ca="1">IFERROR(INDEX(MSN!$E$3:$E$1000,
SMALL(
IF((MSN!$Q$3:$Q$1000&lt;&gt;"")*(MSN!$Q$3:$Q$1000&lt;&gt;"Not Due"),
ROW(MSN!$Q$3:$Q$1000)-ROW(MSN!$Q$3)+1),
ROWS(A$2:A35))),"")</f>
        <v/>
      </c>
      <c r="AS35" s="115" t="str" cm="1">
        <f t="array" aca="1" ref="AS35" ca="1">IFERROR(INDEX(MSN!$B$3:$B$1000,
SMALL(
IF((MSN!$Q$3:$Q$1000&lt;&gt;"")*(MSN!$Q$3:$Q$1000&lt;&gt;"Not Due"),
ROW(MSN!$Q$3:$Q$1000)-ROW(MSN!$Q$3)+1),
ROWS(A$2:A35))),"")</f>
        <v/>
      </c>
      <c r="AT35" s="115" t="str" cm="1">
        <f t="array" aca="1" ref="AT35" ca="1">IFERROR(INDEX(MSN!$D$3:$D$1000,
SMALL(
IF((MSN!$Q$3:$Q$1000&lt;&gt;"")*(MSN!$Q$3:$Q$1000&lt;&gt;"Not Due"),
ROW(MSN!$Q$3:$Q$1000)-ROW(MSN!$Q$3)+1),
ROWS(A$2:A35))),"")</f>
        <v/>
      </c>
      <c r="AU35" s="116" t="str" cm="1">
        <f t="array" aca="1" ref="AU35" ca="1">IFERROR(INDEX(MSN!$G$3:$G$1000,
SMALL(
IF((MSN!$Q$3:$Q$1000&lt;&gt;"")*(MSN!$Q$3:$Q$1000&lt;&gt;"Not Due"),
ROW(MSN!$Q$3:$Q$1000)-ROW(MSN!$Q$3)+1),
ROWS(A$2:A35))),"")</f>
        <v/>
      </c>
      <c r="AV35" s="64" t="str" cm="1">
        <f t="array" aca="1" ref="AV35" ca="1">IFERROR(INDEX(MSN!$Q$3:$Q$1000,
SMALL(
IF((MSN!$Q$3:$Q$1000&lt;&gt;"")*(MSN!$Q$3:$Q$1000&lt;&gt;"Not Due"),
ROW(MSN!$Q$3:$Q$1000)-ROW(MSN!$Q$3)+1),
ROWS(A$2:A35))
),"")</f>
        <v/>
      </c>
    </row>
    <row r="36" spans="1:48" ht="46.8" x14ac:dyDescent="0.3">
      <c r="A36" s="115">
        <v>35</v>
      </c>
      <c r="B36" s="118" t="str" cm="1">
        <f t="array" aca="1" ref="B36" ca="1">IFERROR(INDEX(FRIM!$E$3:$E$1000,
SMALL(IF(FRIM!$Q$3:$Q$1000&lt;&gt;"",
ROW(FRIM!$Q$3:$Q$1000)-ROW(FRIM!$Q$3)+1),
ROWS(A$2:A36))),"")</f>
        <v/>
      </c>
      <c r="C36" s="116" t="str" cm="1">
        <f t="array" aca="1" ref="C36" ca="1">IFERROR(INDEX(FRIM!$B$3:$B$1000,
SMALL(IF(FRIM!$Q$3:$Q$1000&lt;&gt;"",
ROW(FRIM!$Q$3:$Q$1000)-ROW(FRIM!$Q$3)+1),
ROWS(A$2:A36))),"")</f>
        <v/>
      </c>
      <c r="D36" s="116" t="str" cm="1">
        <f t="array" aca="1" ref="D36" ca="1">IFERROR(INDEX(FRIM!$D$3:$D$1000,
SMALL(IF(FRIM!$Q$3:$Q$1000&lt;&gt;"",
ROW(FRIM!$Q$3:$Q$1000)-ROW(FRIM!$Q$3)+1),
ROWS(A$2:A36))),"")</f>
        <v/>
      </c>
      <c r="E36" s="116" t="str" cm="1">
        <f t="array" aca="1" ref="E36" ca="1">IFERROR(INDEX(FRIM!$G$3:$G$1000,
SMALL(IF(FRIM!$Q$3:$Q$1000&lt;&gt;"",
ROW(FRIM!$Q$3:$Q$1000)-ROW(FRIM!$Q$3)+1),
ROWS(A$2:A36))),"")</f>
        <v/>
      </c>
      <c r="F36" s="88" t="str" cm="1">
        <f t="array" aca="1" ref="F36" ca="1">IFERROR(INDEX(FRIM!$Q$3:$Q$1000,
SMALL(IF(FRIM!$Q$3:$Q$1000&lt;&gt;"",
ROW(FRIM!$Q$3:$Q$1000)-ROW(FRIM!$Q$3)+1),
ROWS(A$2:A36))),"")</f>
        <v/>
      </c>
      <c r="H36" s="115">
        <v>35</v>
      </c>
      <c r="I36" s="119" t="str" cm="1">
        <f t="array" aca="1" ref="I36" ca="1">IFERROR(INDEX(MTIB!$E$3:$E$1000,
SMALL(
IF((MTIB!$Q$3:$Q$1000&lt;&gt;"")*(MTIB!$Q$3:$Q$1000&lt;&gt;"Not Due"),
ROW(MTIB!$Q$3:$Q$1000)-ROW(MTIB!$Q$3)+1),
ROWS(A$2:A36))),"")</f>
        <v/>
      </c>
      <c r="J36" s="115" t="str" cm="1">
        <f t="array" aca="1" ref="J36" ca="1">IFERROR(INDEX(MTIB!$B$3:$B$1000,
SMALL(
IF((MTIB!$Q$3:$Q$1000&lt;&gt;"")*(MTIB!$Q$3:$Q$1000&lt;&gt;"Not Due"),
ROW(MTIB!$Q$3:$Q$1000)-ROW(MTIB!$Q$3)+1),
ROWS(A$2:A36))),"")</f>
        <v/>
      </c>
      <c r="K36" s="115" t="str" cm="1">
        <f t="array" aca="1" ref="K36" ca="1">IFERROR(INDEX(MTIB!$D$3:$D$1000,
SMALL(
IF((MTIB!$Q$3:$Q$1000&lt;&gt;"")*(MTIB!$Q$3:$Q$1000&lt;&gt;"Not Due"),
ROW(MTIB!$Q$3:$Q$1000)-ROW(MTIB!$Q$3)+1),
ROWS(A$2:A36))),"")</f>
        <v/>
      </c>
      <c r="L36" s="116" t="str" cm="1">
        <f t="array" aca="1" ref="L36" ca="1">IFERROR(INDEX(MTIB!$G$3:$G$1000,
SMALL(
IF((MTIB!$Q$3:$Q$1000&lt;&gt;"")*(MTIB!$Q$3:$Q$1000&lt;&gt;"Not Due"),
ROW(MTIB!$Q$3:$Q$1000)-ROW(MTIB!$Q$3)+1),
ROWS(A$2:A36))),"")</f>
        <v/>
      </c>
      <c r="M36" s="88" t="str" cm="1">
        <f t="array" aca="1" ref="M36" ca="1">IFERROR(INDEX(MTIB!$Q$3:$Q$1000,
SMALL(
IF((MTIB!$Q$3:$Q$1000&lt;&gt;"")*(MTIB!$Q$3:$Q$1000&lt;&gt;"Not Due"),
ROW(MTIB!$Q$3:$Q$1000)-ROW(MTIB!$Q$3)+1),
ROWS(A$2:A36))
),"")</f>
        <v/>
      </c>
      <c r="O36" s="115">
        <v>35</v>
      </c>
      <c r="P36" s="120" t="str" cm="1">
        <f t="array" aca="1" ref="P36" ca="1">IFERROR(INDEX(MPOB!$E$3:$E$1000,
SMALL(
IF((MPOB!$Q$3:$Q$1000&lt;&gt;"")*(MPOB!$Q$3:$Q$1000&lt;&gt;"Not Due"),
ROW(MPOB!$Q$3:$Q$1000)-ROW(MPOB!$Q$3)+1),
ROWS(A$2:A36))),"")</f>
        <v>MPOB</v>
      </c>
      <c r="Q36" s="115" t="str" cm="1">
        <f t="array" aca="1" ref="Q36" ca="1">IFERROR(INDEX(MPOB!$B$3:$B$1000,
SMALL(
IF((MPOB!$Q$3:$Q$1000&lt;&gt;"")*(MPOB!$Q$3:$Q$1000&lt;&gt;"Not Due"),
ROW(MPOB!$Q$3:$Q$1000)-ROW(MPOB!$Q$3)+1),
ROWS(A$2:A36))),"")</f>
        <v>T/2026/00360</v>
      </c>
      <c r="R36" s="115" t="str" cm="1">
        <f t="array" aca="1" ref="R36" ca="1">IFERROR(INDEX(MPOB!$D$3:$D$1000,
SMALL(
IF((MPOB!$Q$3:$Q$1000&lt;&gt;"")*(MPOB!$Q$3:$Q$1000&lt;&gt;"Not Due"),
ROW(MPOB!$Q$3:$Q$1000)-ROW(MPOB!$Q$3)+1),
ROWS(A$2:A36))),"")</f>
        <v>MyProcurement</v>
      </c>
      <c r="S36" s="116" t="str" cm="1">
        <f t="array" aca="1" ref="S36" ca="1">IFERROR(INDEX(MPOB!$G$3:$G$1000,
SMALL(
IF((MPOB!$Q$3:$Q$1000&lt;&gt;"")*(MPOB!$Q$3:$Q$1000&lt;&gt;"Not Due"),
ROW(MPOB!$Q$3:$Q$1000)-ROW(MPOB!$Q$3)+1),
ROWS(A$2:A36))),"")</f>
        <v>LPO/FMDD0522/0426/00033 - TOONG STAR SDN BHD. NO. PO INI TAK ADA DALAM PENGESAHAN PENERIMAN .</v>
      </c>
      <c r="T36" s="88" t="str" cm="1">
        <f t="array" aca="1" ref="T36" ca="1">IFERROR(INDEX(MPOB!$Q$3:$Q$1000,
SMALL(
IF((MPOB!$Q$3:$Q$1000&lt;&gt;"")*(MPOB!$Q$3:$Q$1000&lt;&gt;"Not Due"),
ROW(MPOB!$Q$3:$Q$1000)-ROW(MPOB!$Q$3)+1),
ROWS(A$2:A36))
),"")</f>
        <v>31-60 Days</v>
      </c>
      <c r="V36" s="115">
        <v>35</v>
      </c>
      <c r="W36" s="121" t="str" cm="1">
        <f t="array" aca="1" ref="W36" ca="1">IFERROR(INDEX(LKTN!$E$3:$E$1000,
SMALL(
IF((LKTN!$Q$3:$Q$1000&lt;&gt;"")*(LKTN!$Q$3:$Q$1000&lt;&gt;"Not Due"),
ROW(LKTN!$Q$3:$Q$1000)-ROW(LKTN!$Q$3)+1),
ROWS(A$2:A36))),"")</f>
        <v/>
      </c>
      <c r="X36" s="115" t="str" cm="1">
        <f t="array" aca="1" ref="X36" ca="1">IFERROR(INDEX(LKTN!$B$3:$B$1000,
SMALL(
IF((LKTN!$Q$3:$Q$1000&lt;&gt;"")*(LKTN!$Q$3:$Q$1000&lt;&gt;"Not Due"),
ROW(LKTN!$Q$3:$Q$1000)-ROW(LKTN!$Q$3)+1),
ROWS(A$2:A36))),"")</f>
        <v/>
      </c>
      <c r="Y36" s="115" t="str" cm="1">
        <f t="array" aca="1" ref="Y36" ca="1">IFERROR(INDEX(LKTN!$D$3:$D$1000,
SMALL(
IF((LKTN!$Q$3:$Q$1000&lt;&gt;"")*(LKTN!$Q$3:$Q$1000&lt;&gt;"Not Due"),
ROW(LKTN!$Q$3:$Q$1000)-ROW(LKTN!$Q$3)+1),
ROWS(A$2:A36))),"")</f>
        <v/>
      </c>
      <c r="Z36" s="116" t="str" cm="1">
        <f t="array" aca="1" ref="Z36" ca="1">IFERROR(INDEX(LKTN!$G$3:$G$1000,
SMALL(
IF((LKTN!$Q$3:$Q$1000&lt;&gt;"")*(LKTN!$Q$3:$Q$1000&lt;&gt;"Not Due"),
ROW(LKTN!$Q$3:$Q$1000)-ROW(LKTN!$Q$3)+1),
ROWS(A$2:A36))),"")</f>
        <v/>
      </c>
      <c r="AA36" s="64" t="str" cm="1">
        <f t="array" aca="1" ref="AA36" ca="1">IFERROR(INDEX(LKTN!$Q$3:$Q$1000,
SMALL(
IF((LKTN!$Q$3:$Q$1000&lt;&gt;"")*(LKTN!$Q$3:$Q$1000&lt;&gt;"Not Due"),
ROW(LKTN!$Q$3:$Q$1000)-ROW(LKTN!$Q$3)+1),
ROWS(A$2:A36))
),"")</f>
        <v/>
      </c>
      <c r="AJ36" s="115">
        <v>35</v>
      </c>
      <c r="AK36" s="123" t="str" cm="1">
        <f t="array" aca="1" ref="AK36" ca="1">IFERROR(INDEX(ISN!$E$3:$E$1000,
SMALL(
IF((ISN!$Q$3:$Q$1000&lt;&gt;"")*(ISN!$Q$3:$Q$1000&lt;&gt;"Not Due"),
ROW(ISN!$Q$3:$Q$1000)-ROW(ISN!$Q$3)+1),
ROWS(A$2:A36))),"")</f>
        <v/>
      </c>
      <c r="AL36" s="115" t="str" cm="1">
        <f t="array" aca="1" ref="AL36" ca="1">IFERROR(INDEX(ISN!$B$3:$B$1000,
SMALL(
IF((ISN!$Q$3:$Q$1000&lt;&gt;"")*(ISN!$Q$3:$Q$1000&lt;&gt;"Not Due"),
ROW(ISN!$Q$3:$Q$1000)-ROW(ISN!$Q$3)+1),
ROWS(A$2:A36))),"")</f>
        <v/>
      </c>
      <c r="AM36" s="116" t="str" cm="1">
        <f t="array" aca="1" ref="AM36" ca="1">IFERROR(INDEX(ISN!$D$3:$D$1000,
SMALL(
IF((ISN!$Q$3:$Q$1000&lt;&gt;"")*(ISN!$Q$3:$Q$1000&lt;&gt;"Not Due"),
ROW(ISN!$Q$3:$Q$1000)-ROW(ISN!$Q$3)+1),
ROWS(A$2:A36))),"")</f>
        <v/>
      </c>
      <c r="AN36" s="116" t="str" cm="1">
        <f t="array" aca="1" ref="AN36" ca="1">IFERROR(INDEX(ISN!$G$3:$G$1000,
SMALL(
IF((ISN!$Q$3:$Q$1000&lt;&gt;"")*(ISN!$Q$3:$Q$1000&lt;&gt;"Not Due"),
ROW(ISN!$Q$3:$Q$1000)-ROW(ISN!$Q$3)+1),
ROWS(A$2:A36))),"")</f>
        <v/>
      </c>
      <c r="AO36" s="64" t="str" cm="1">
        <f t="array" aca="1" ref="AO36" ca="1">IFERROR(INDEX(ISN!$Q$3:$Q$1000,
SMALL(
IF((ISN!$Q$3:$Q$1000&lt;&gt;"")*(ISN!$Q$3:$Q$1000&lt;&gt;"Not Due"),
ROW(ISN!$Q$3:$Q$1000)-ROW(ISN!$Q$3)+1),
ROWS(A$2:A36))
),"")</f>
        <v/>
      </c>
      <c r="AQ36" s="115">
        <v>35</v>
      </c>
      <c r="AR36" s="124" t="str" cm="1">
        <f t="array" aca="1" ref="AR36" ca="1">IFERROR(INDEX(MSN!$E$3:$E$1000,
SMALL(
IF((MSN!$Q$3:$Q$1000&lt;&gt;"")*(MSN!$Q$3:$Q$1000&lt;&gt;"Not Due"),
ROW(MSN!$Q$3:$Q$1000)-ROW(MSN!$Q$3)+1),
ROWS(A$2:A36))),"")</f>
        <v/>
      </c>
      <c r="AS36" s="115" t="str" cm="1">
        <f t="array" aca="1" ref="AS36" ca="1">IFERROR(INDEX(MSN!$B$3:$B$1000,
SMALL(
IF((MSN!$Q$3:$Q$1000&lt;&gt;"")*(MSN!$Q$3:$Q$1000&lt;&gt;"Not Due"),
ROW(MSN!$Q$3:$Q$1000)-ROW(MSN!$Q$3)+1),
ROWS(A$2:A36))),"")</f>
        <v/>
      </c>
      <c r="AT36" s="115" t="str" cm="1">
        <f t="array" aca="1" ref="AT36" ca="1">IFERROR(INDEX(MSN!$D$3:$D$1000,
SMALL(
IF((MSN!$Q$3:$Q$1000&lt;&gt;"")*(MSN!$Q$3:$Q$1000&lt;&gt;"Not Due"),
ROW(MSN!$Q$3:$Q$1000)-ROW(MSN!$Q$3)+1),
ROWS(A$2:A36))),"")</f>
        <v/>
      </c>
      <c r="AU36" s="116" t="str" cm="1">
        <f t="array" aca="1" ref="AU36" ca="1">IFERROR(INDEX(MSN!$G$3:$G$1000,
SMALL(
IF((MSN!$Q$3:$Q$1000&lt;&gt;"")*(MSN!$Q$3:$Q$1000&lt;&gt;"Not Due"),
ROW(MSN!$Q$3:$Q$1000)-ROW(MSN!$Q$3)+1),
ROWS(A$2:A36))),"")</f>
        <v/>
      </c>
      <c r="AV36" s="64" t="str" cm="1">
        <f t="array" aca="1" ref="AV36" ca="1">IFERROR(INDEX(MSN!$Q$3:$Q$1000,
SMALL(
IF((MSN!$Q$3:$Q$1000&lt;&gt;"")*(MSN!$Q$3:$Q$1000&lt;&gt;"Not Due"),
ROW(MSN!$Q$3:$Q$1000)-ROW(MSN!$Q$3)+1),
ROWS(A$2:A36))
),"")</f>
        <v/>
      </c>
    </row>
    <row r="37" spans="1:48" ht="124.8" x14ac:dyDescent="0.3">
      <c r="A37" s="115">
        <v>36</v>
      </c>
      <c r="B37" s="118" t="str" cm="1">
        <f t="array" aca="1" ref="B37" ca="1">IFERROR(INDEX(FRIM!$E$3:$E$1000,
SMALL(IF(FRIM!$Q$3:$Q$1000&lt;&gt;"",
ROW(FRIM!$Q$3:$Q$1000)-ROW(FRIM!$Q$3)+1),
ROWS(A$2:A37))),"")</f>
        <v/>
      </c>
      <c r="C37" s="116" t="str" cm="1">
        <f t="array" aca="1" ref="C37" ca="1">IFERROR(INDEX(FRIM!$B$3:$B$1000,
SMALL(IF(FRIM!$Q$3:$Q$1000&lt;&gt;"",
ROW(FRIM!$Q$3:$Q$1000)-ROW(FRIM!$Q$3)+1),
ROWS(A$2:A37))),"")</f>
        <v/>
      </c>
      <c r="D37" s="116" t="str" cm="1">
        <f t="array" aca="1" ref="D37" ca="1">IFERROR(INDEX(FRIM!$D$3:$D$1000,
SMALL(IF(FRIM!$Q$3:$Q$1000&lt;&gt;"",
ROW(FRIM!$Q$3:$Q$1000)-ROW(FRIM!$Q$3)+1),
ROWS(A$2:A37))),"")</f>
        <v/>
      </c>
      <c r="E37" s="116" t="str" cm="1">
        <f t="array" aca="1" ref="E37" ca="1">IFERROR(INDEX(FRIM!$G$3:$G$1000,
SMALL(IF(FRIM!$Q$3:$Q$1000&lt;&gt;"",
ROW(FRIM!$Q$3:$Q$1000)-ROW(FRIM!$Q$3)+1),
ROWS(A$2:A37))),"")</f>
        <v/>
      </c>
      <c r="F37" s="88" t="str" cm="1">
        <f t="array" aca="1" ref="F37" ca="1">IFERROR(INDEX(FRIM!$Q$3:$Q$1000,
SMALL(IF(FRIM!$Q$3:$Q$1000&lt;&gt;"",
ROW(FRIM!$Q$3:$Q$1000)-ROW(FRIM!$Q$3)+1),
ROWS(A$2:A37))),"")</f>
        <v/>
      </c>
      <c r="H37" s="115">
        <v>36</v>
      </c>
      <c r="I37" s="119" t="str" cm="1">
        <f t="array" aca="1" ref="I37" ca="1">IFERROR(INDEX(MTIB!$E$3:$E$1000,
SMALL(
IF((MTIB!$Q$3:$Q$1000&lt;&gt;"")*(MTIB!$Q$3:$Q$1000&lt;&gt;"Not Due"),
ROW(MTIB!$Q$3:$Q$1000)-ROW(MTIB!$Q$3)+1),
ROWS(A$2:A37))),"")</f>
        <v/>
      </c>
      <c r="J37" s="115" t="str" cm="1">
        <f t="array" aca="1" ref="J37" ca="1">IFERROR(INDEX(MTIB!$B$3:$B$1000,
SMALL(
IF((MTIB!$Q$3:$Q$1000&lt;&gt;"")*(MTIB!$Q$3:$Q$1000&lt;&gt;"Not Due"),
ROW(MTIB!$Q$3:$Q$1000)-ROW(MTIB!$Q$3)+1),
ROWS(A$2:A37))),"")</f>
        <v/>
      </c>
      <c r="K37" s="115" t="str" cm="1">
        <f t="array" aca="1" ref="K37" ca="1">IFERROR(INDEX(MTIB!$D$3:$D$1000,
SMALL(
IF((MTIB!$Q$3:$Q$1000&lt;&gt;"")*(MTIB!$Q$3:$Q$1000&lt;&gt;"Not Due"),
ROW(MTIB!$Q$3:$Q$1000)-ROW(MTIB!$Q$3)+1),
ROWS(A$2:A37))),"")</f>
        <v/>
      </c>
      <c r="L37" s="116" t="str" cm="1">
        <f t="array" aca="1" ref="L37" ca="1">IFERROR(INDEX(MTIB!$G$3:$G$1000,
SMALL(
IF((MTIB!$Q$3:$Q$1000&lt;&gt;"")*(MTIB!$Q$3:$Q$1000&lt;&gt;"Not Due"),
ROW(MTIB!$Q$3:$Q$1000)-ROW(MTIB!$Q$3)+1),
ROWS(A$2:A37))),"")</f>
        <v/>
      </c>
      <c r="M37" s="88" t="str" cm="1">
        <f t="array" aca="1" ref="M37" ca="1">IFERROR(INDEX(MTIB!$Q$3:$Q$1000,
SMALL(
IF((MTIB!$Q$3:$Q$1000&lt;&gt;"")*(MTIB!$Q$3:$Q$1000&lt;&gt;"Not Due"),
ROW(MTIB!$Q$3:$Q$1000)-ROW(MTIB!$Q$3)+1),
ROWS(A$2:A37))
),"")</f>
        <v/>
      </c>
      <c r="O37" s="115">
        <v>36</v>
      </c>
      <c r="P37" s="120" t="str" cm="1">
        <f t="array" aca="1" ref="P37" ca="1">IFERROR(INDEX(MPOB!$E$3:$E$1000,
SMALL(
IF((MPOB!$Q$3:$Q$1000&lt;&gt;"")*(MPOB!$Q$3:$Q$1000&lt;&gt;"Not Due"),
ROW(MPOB!$Q$3:$Q$1000)-ROW(MPOB!$Q$3)+1),
ROWS(A$2:A37))),"")</f>
        <v>MPOB</v>
      </c>
      <c r="Q37" s="115" t="str" cm="1">
        <f t="array" aca="1" ref="Q37" ca="1">IFERROR(INDEX(MPOB!$B$3:$B$1000,
SMALL(
IF((MPOB!$Q$3:$Q$1000&lt;&gt;"")*(MPOB!$Q$3:$Q$1000&lt;&gt;"Not Due"),
ROW(MPOB!$Q$3:$Q$1000)-ROW(MPOB!$Q$3)+1),
ROWS(A$2:A37))),"")</f>
        <v>T/2026/00364</v>
      </c>
      <c r="R37" s="115" t="str" cm="1">
        <f t="array" aca="1" ref="R37" ca="1">IFERROR(INDEX(MPOB!$D$3:$D$1000,
SMALL(
IF((MPOB!$Q$3:$Q$1000&lt;&gt;"")*(MPOB!$Q$3:$Q$1000&lt;&gt;"Not Due"),
ROW(MPOB!$Q$3:$Q$1000)-ROW(MPOB!$Q$3)+1),
ROWS(A$2:A37))),"")</f>
        <v>MyFinancial</v>
      </c>
      <c r="S37" s="116" t="str" cm="1">
        <f t="array" aca="1" ref="S37" ca="1">IFERROR(INDEX(MPOB!$G$3:$G$1000,
SMALL(
IF((MPOB!$Q$3:$Q$1000&lt;&gt;"")*(MPOB!$Q$3:$Q$1000&lt;&gt;"Not Due"),
ROW(MPOB!$Q$3:$Q$1000)-ROW(MPOB!$Q$3)+1),
ROWS(A$2:A37))),"")</f>
        <v>TERDAPAT 2 PO TIDAK KELUAR MAKLUMAT. SEBELUM POST ADA. TAPI BILA DAH POS DAN NAK PRINT MAKLUMAT ITU TAK ADA. kami ada masalah utk print PO. 1)LPO/AOTD0401/0526/00040 - ITEM no.1, kuantiti 0.5. kesilapan jadi 1 selepas kelulusan LPO. 2)LPO/ITCS0501/0526/00011 - Maklumat item, No.LPO &amp; kod bajet hilang selepas kelulusan.</v>
      </c>
      <c r="T37" s="88" t="str" cm="1">
        <f t="array" aca="1" ref="T37" ca="1">IFERROR(INDEX(MPOB!$Q$3:$Q$1000,
SMALL(
IF((MPOB!$Q$3:$Q$1000&lt;&gt;"")*(MPOB!$Q$3:$Q$1000&lt;&gt;"Not Due"),
ROW(MPOB!$Q$3:$Q$1000)-ROW(MPOB!$Q$3)+1),
ROWS(A$2:A37))
),"")</f>
        <v>31-60 Days</v>
      </c>
      <c r="V37" s="115">
        <v>36</v>
      </c>
      <c r="W37" s="121" t="str" cm="1">
        <f t="array" aca="1" ref="W37" ca="1">IFERROR(INDEX(LKTN!$E$3:$E$1000,
SMALL(
IF((LKTN!$Q$3:$Q$1000&lt;&gt;"")*(LKTN!$Q$3:$Q$1000&lt;&gt;"Not Due"),
ROW(LKTN!$Q$3:$Q$1000)-ROW(LKTN!$Q$3)+1),
ROWS(A$2:A37))),"")</f>
        <v/>
      </c>
      <c r="X37" s="115" t="str" cm="1">
        <f t="array" aca="1" ref="X37" ca="1">IFERROR(INDEX(LKTN!$B$3:$B$1000,
SMALL(
IF((LKTN!$Q$3:$Q$1000&lt;&gt;"")*(LKTN!$Q$3:$Q$1000&lt;&gt;"Not Due"),
ROW(LKTN!$Q$3:$Q$1000)-ROW(LKTN!$Q$3)+1),
ROWS(A$2:A37))),"")</f>
        <v/>
      </c>
      <c r="Y37" s="115" t="str" cm="1">
        <f t="array" aca="1" ref="Y37" ca="1">IFERROR(INDEX(LKTN!$D$3:$D$1000,
SMALL(
IF((LKTN!$Q$3:$Q$1000&lt;&gt;"")*(LKTN!$Q$3:$Q$1000&lt;&gt;"Not Due"),
ROW(LKTN!$Q$3:$Q$1000)-ROW(LKTN!$Q$3)+1),
ROWS(A$2:A37))),"")</f>
        <v/>
      </c>
      <c r="Z37" s="116" t="str" cm="1">
        <f t="array" aca="1" ref="Z37" ca="1">IFERROR(INDEX(LKTN!$G$3:$G$1000,
SMALL(
IF((LKTN!$Q$3:$Q$1000&lt;&gt;"")*(LKTN!$Q$3:$Q$1000&lt;&gt;"Not Due"),
ROW(LKTN!$Q$3:$Q$1000)-ROW(LKTN!$Q$3)+1),
ROWS(A$2:A37))),"")</f>
        <v/>
      </c>
      <c r="AA37" s="64" t="str" cm="1">
        <f t="array" aca="1" ref="AA37" ca="1">IFERROR(INDEX(LKTN!$Q$3:$Q$1000,
SMALL(
IF((LKTN!$Q$3:$Q$1000&lt;&gt;"")*(LKTN!$Q$3:$Q$1000&lt;&gt;"Not Due"),
ROW(LKTN!$Q$3:$Q$1000)-ROW(LKTN!$Q$3)+1),
ROWS(A$2:A37))
),"")</f>
        <v/>
      </c>
      <c r="AJ37" s="115">
        <v>36</v>
      </c>
      <c r="AK37" s="123" t="str" cm="1">
        <f t="array" aca="1" ref="AK37" ca="1">IFERROR(INDEX(ISN!$E$3:$E$1000,
SMALL(
IF((ISN!$Q$3:$Q$1000&lt;&gt;"")*(ISN!$Q$3:$Q$1000&lt;&gt;"Not Due"),
ROW(ISN!$Q$3:$Q$1000)-ROW(ISN!$Q$3)+1),
ROWS(A$2:A37))),"")</f>
        <v/>
      </c>
      <c r="AL37" s="115" t="str" cm="1">
        <f t="array" aca="1" ref="AL37" ca="1">IFERROR(INDEX(ISN!$B$3:$B$1000,
SMALL(
IF((ISN!$Q$3:$Q$1000&lt;&gt;"")*(ISN!$Q$3:$Q$1000&lt;&gt;"Not Due"),
ROW(ISN!$Q$3:$Q$1000)-ROW(ISN!$Q$3)+1),
ROWS(A$2:A37))),"")</f>
        <v/>
      </c>
      <c r="AM37" s="116" t="str" cm="1">
        <f t="array" aca="1" ref="AM37" ca="1">IFERROR(INDEX(ISN!$D$3:$D$1000,
SMALL(
IF((ISN!$Q$3:$Q$1000&lt;&gt;"")*(ISN!$Q$3:$Q$1000&lt;&gt;"Not Due"),
ROW(ISN!$Q$3:$Q$1000)-ROW(ISN!$Q$3)+1),
ROWS(A$2:A37))),"")</f>
        <v/>
      </c>
      <c r="AN37" s="116" t="str" cm="1">
        <f t="array" aca="1" ref="AN37" ca="1">IFERROR(INDEX(ISN!$G$3:$G$1000,
SMALL(
IF((ISN!$Q$3:$Q$1000&lt;&gt;"")*(ISN!$Q$3:$Q$1000&lt;&gt;"Not Due"),
ROW(ISN!$Q$3:$Q$1000)-ROW(ISN!$Q$3)+1),
ROWS(A$2:A37))),"")</f>
        <v/>
      </c>
      <c r="AO37" s="64" t="str" cm="1">
        <f t="array" aca="1" ref="AO37" ca="1">IFERROR(INDEX(ISN!$Q$3:$Q$1000,
SMALL(
IF((ISN!$Q$3:$Q$1000&lt;&gt;"")*(ISN!$Q$3:$Q$1000&lt;&gt;"Not Due"),
ROW(ISN!$Q$3:$Q$1000)-ROW(ISN!$Q$3)+1),
ROWS(A$2:A37))
),"")</f>
        <v/>
      </c>
      <c r="AQ37" s="115">
        <v>36</v>
      </c>
      <c r="AR37" s="124" t="str" cm="1">
        <f t="array" aca="1" ref="AR37" ca="1">IFERROR(INDEX(MSN!$E$3:$E$1000,
SMALL(
IF((MSN!$Q$3:$Q$1000&lt;&gt;"")*(MSN!$Q$3:$Q$1000&lt;&gt;"Not Due"),
ROW(MSN!$Q$3:$Q$1000)-ROW(MSN!$Q$3)+1),
ROWS(A$2:A37))),"")</f>
        <v/>
      </c>
      <c r="AS37" s="115" t="str" cm="1">
        <f t="array" aca="1" ref="AS37" ca="1">IFERROR(INDEX(MSN!$B$3:$B$1000,
SMALL(
IF((MSN!$Q$3:$Q$1000&lt;&gt;"")*(MSN!$Q$3:$Q$1000&lt;&gt;"Not Due"),
ROW(MSN!$Q$3:$Q$1000)-ROW(MSN!$Q$3)+1),
ROWS(A$2:A37))),"")</f>
        <v/>
      </c>
      <c r="AT37" s="115" t="str" cm="1">
        <f t="array" aca="1" ref="AT37" ca="1">IFERROR(INDEX(MSN!$D$3:$D$1000,
SMALL(
IF((MSN!$Q$3:$Q$1000&lt;&gt;"")*(MSN!$Q$3:$Q$1000&lt;&gt;"Not Due"),
ROW(MSN!$Q$3:$Q$1000)-ROW(MSN!$Q$3)+1),
ROWS(A$2:A37))),"")</f>
        <v/>
      </c>
      <c r="AU37" s="116" t="str" cm="1">
        <f t="array" aca="1" ref="AU37" ca="1">IFERROR(INDEX(MSN!$G$3:$G$1000,
SMALL(
IF((MSN!$Q$3:$Q$1000&lt;&gt;"")*(MSN!$Q$3:$Q$1000&lt;&gt;"Not Due"),
ROW(MSN!$Q$3:$Q$1000)-ROW(MSN!$Q$3)+1),
ROWS(A$2:A37))),"")</f>
        <v/>
      </c>
      <c r="AV37" s="64" t="str" cm="1">
        <f t="array" aca="1" ref="AV37" ca="1">IFERROR(INDEX(MSN!$Q$3:$Q$1000,
SMALL(
IF((MSN!$Q$3:$Q$1000&lt;&gt;"")*(MSN!$Q$3:$Q$1000&lt;&gt;"Not Due"),
ROW(MSN!$Q$3:$Q$1000)-ROW(MSN!$Q$3)+1),
ROWS(A$2:A37))
),"")</f>
        <v/>
      </c>
    </row>
    <row r="38" spans="1:48" x14ac:dyDescent="0.3">
      <c r="A38" s="115">
        <v>37</v>
      </c>
      <c r="B38" s="118" t="str" cm="1">
        <f t="array" aca="1" ref="B38" ca="1">IFERROR(INDEX(FRIM!$E$3:$E$1000,
SMALL(IF(FRIM!$Q$3:$Q$1000&lt;&gt;"",
ROW(FRIM!$Q$3:$Q$1000)-ROW(FRIM!$Q$3)+1),
ROWS(A$2:A38))),"")</f>
        <v/>
      </c>
      <c r="C38" s="116" t="str" cm="1">
        <f t="array" aca="1" ref="C38" ca="1">IFERROR(INDEX(FRIM!$B$3:$B$1000,
SMALL(IF(FRIM!$Q$3:$Q$1000&lt;&gt;"",
ROW(FRIM!$Q$3:$Q$1000)-ROW(FRIM!$Q$3)+1),
ROWS(A$2:A38))),"")</f>
        <v/>
      </c>
      <c r="D38" s="116" t="str" cm="1">
        <f t="array" aca="1" ref="D38" ca="1">IFERROR(INDEX(FRIM!$D$3:$D$1000,
SMALL(IF(FRIM!$Q$3:$Q$1000&lt;&gt;"",
ROW(FRIM!$Q$3:$Q$1000)-ROW(FRIM!$Q$3)+1),
ROWS(A$2:A38))),"")</f>
        <v/>
      </c>
      <c r="E38" s="116" t="str" cm="1">
        <f t="array" aca="1" ref="E38" ca="1">IFERROR(INDEX(FRIM!$G$3:$G$1000,
SMALL(IF(FRIM!$Q$3:$Q$1000&lt;&gt;"",
ROW(FRIM!$Q$3:$Q$1000)-ROW(FRIM!$Q$3)+1),
ROWS(A$2:A38))),"")</f>
        <v/>
      </c>
      <c r="F38" s="88" t="str" cm="1">
        <f t="array" aca="1" ref="F38" ca="1">IFERROR(INDEX(FRIM!$Q$3:$Q$1000,
SMALL(IF(FRIM!$Q$3:$Q$1000&lt;&gt;"",
ROW(FRIM!$Q$3:$Q$1000)-ROW(FRIM!$Q$3)+1),
ROWS(A$2:A38))),"")</f>
        <v/>
      </c>
      <c r="H38" s="115">
        <v>37</v>
      </c>
      <c r="I38" s="119" t="str" cm="1">
        <f t="array" aca="1" ref="I38" ca="1">IFERROR(INDEX(MTIB!$E$3:$E$1000,
SMALL(
IF((MTIB!$Q$3:$Q$1000&lt;&gt;"")*(MTIB!$Q$3:$Q$1000&lt;&gt;"Not Due"),
ROW(MTIB!$Q$3:$Q$1000)-ROW(MTIB!$Q$3)+1),
ROWS(A$2:A38))),"")</f>
        <v/>
      </c>
      <c r="J38" s="115" t="str" cm="1">
        <f t="array" aca="1" ref="J38" ca="1">IFERROR(INDEX(MTIB!$B$3:$B$1000,
SMALL(
IF((MTIB!$Q$3:$Q$1000&lt;&gt;"")*(MTIB!$Q$3:$Q$1000&lt;&gt;"Not Due"),
ROW(MTIB!$Q$3:$Q$1000)-ROW(MTIB!$Q$3)+1),
ROWS(A$2:A38))),"")</f>
        <v/>
      </c>
      <c r="K38" s="115" t="str" cm="1">
        <f t="array" aca="1" ref="K38" ca="1">IFERROR(INDEX(MTIB!$D$3:$D$1000,
SMALL(
IF((MTIB!$Q$3:$Q$1000&lt;&gt;"")*(MTIB!$Q$3:$Q$1000&lt;&gt;"Not Due"),
ROW(MTIB!$Q$3:$Q$1000)-ROW(MTIB!$Q$3)+1),
ROWS(A$2:A38))),"")</f>
        <v/>
      </c>
      <c r="L38" s="116" t="str" cm="1">
        <f t="array" aca="1" ref="L38" ca="1">IFERROR(INDEX(MTIB!$G$3:$G$1000,
SMALL(
IF((MTIB!$Q$3:$Q$1000&lt;&gt;"")*(MTIB!$Q$3:$Q$1000&lt;&gt;"Not Due"),
ROW(MTIB!$Q$3:$Q$1000)-ROW(MTIB!$Q$3)+1),
ROWS(A$2:A38))),"")</f>
        <v/>
      </c>
      <c r="M38" s="88" t="str" cm="1">
        <f t="array" aca="1" ref="M38" ca="1">IFERROR(INDEX(MTIB!$Q$3:$Q$1000,
SMALL(
IF((MTIB!$Q$3:$Q$1000&lt;&gt;"")*(MTIB!$Q$3:$Q$1000&lt;&gt;"Not Due"),
ROW(MTIB!$Q$3:$Q$1000)-ROW(MTIB!$Q$3)+1),
ROWS(A$2:A38))
),"")</f>
        <v/>
      </c>
      <c r="O38" s="115">
        <v>37</v>
      </c>
      <c r="P38" s="120" t="str" cm="1">
        <f t="array" aca="1" ref="P38" ca="1">IFERROR(INDEX(MPOB!$E$3:$E$1000,
SMALL(
IF((MPOB!$Q$3:$Q$1000&lt;&gt;"")*(MPOB!$Q$3:$Q$1000&lt;&gt;"Not Due"),
ROW(MPOB!$Q$3:$Q$1000)-ROW(MPOB!$Q$3)+1),
ROWS(A$2:A38))),"")</f>
        <v>MPOB</v>
      </c>
      <c r="Q38" s="115" t="str" cm="1">
        <f t="array" aca="1" ref="Q38" ca="1">IFERROR(INDEX(MPOB!$B$3:$B$1000,
SMALL(
IF((MPOB!$Q$3:$Q$1000&lt;&gt;"")*(MPOB!$Q$3:$Q$1000&lt;&gt;"Not Due"),
ROW(MPOB!$Q$3:$Q$1000)-ROW(MPOB!$Q$3)+1),
ROWS(A$2:A38))),"")</f>
        <v>T/2026/00365</v>
      </c>
      <c r="R38" s="115" t="str" cm="1">
        <f t="array" aca="1" ref="R38" ca="1">IFERROR(INDEX(MPOB!$D$3:$D$1000,
SMALL(
IF((MPOB!$Q$3:$Q$1000&lt;&gt;"")*(MPOB!$Q$3:$Q$1000&lt;&gt;"Not Due"),
ROW(MPOB!$Q$3:$Q$1000)-ROW(MPOB!$Q$3)+1),
ROWS(A$2:A38))),"")</f>
        <v>MyAsset</v>
      </c>
      <c r="S38" s="116" t="str" cm="1">
        <f t="array" aca="1" ref="S38" ca="1">IFERROR(INDEX(MPOB!$G$3:$G$1000,
SMALL(
IF((MPOB!$Q$3:$Q$1000&lt;&gt;"")*(MPOB!$Q$3:$Q$1000&lt;&gt;"Not Due"),
ROW(MPOB!$Q$3:$Q$1000)-ROW(MPOB!$Q$3)+1),
ROWS(A$2:A38))),"")</f>
        <v>tak boleh nak daftar aset, TERIMAAN ASSET</v>
      </c>
      <c r="T38" s="88" t="str" cm="1">
        <f t="array" aca="1" ref="T38" ca="1">IFERROR(INDEX(MPOB!$Q$3:$Q$1000,
SMALL(
IF((MPOB!$Q$3:$Q$1000&lt;&gt;"")*(MPOB!$Q$3:$Q$1000&lt;&gt;"Not Due"),
ROW(MPOB!$Q$3:$Q$1000)-ROW(MPOB!$Q$3)+1),
ROWS(A$2:A38))
),"")</f>
        <v>31-60 Days</v>
      </c>
      <c r="V38" s="115">
        <v>37</v>
      </c>
      <c r="W38" s="121" t="str" cm="1">
        <f t="array" aca="1" ref="W38" ca="1">IFERROR(INDEX(LKTN!$E$3:$E$1000,
SMALL(
IF((LKTN!$Q$3:$Q$1000&lt;&gt;"")*(LKTN!$Q$3:$Q$1000&lt;&gt;"Not Due"),
ROW(LKTN!$Q$3:$Q$1000)-ROW(LKTN!$Q$3)+1),
ROWS(A$2:A38))),"")</f>
        <v/>
      </c>
      <c r="X38" s="115" t="str" cm="1">
        <f t="array" aca="1" ref="X38" ca="1">IFERROR(INDEX(LKTN!$B$3:$B$1000,
SMALL(
IF((LKTN!$Q$3:$Q$1000&lt;&gt;"")*(LKTN!$Q$3:$Q$1000&lt;&gt;"Not Due"),
ROW(LKTN!$Q$3:$Q$1000)-ROW(LKTN!$Q$3)+1),
ROWS(A$2:A38))),"")</f>
        <v/>
      </c>
      <c r="Y38" s="115" t="str" cm="1">
        <f t="array" aca="1" ref="Y38" ca="1">IFERROR(INDEX(LKTN!$D$3:$D$1000,
SMALL(
IF((LKTN!$Q$3:$Q$1000&lt;&gt;"")*(LKTN!$Q$3:$Q$1000&lt;&gt;"Not Due"),
ROW(LKTN!$Q$3:$Q$1000)-ROW(LKTN!$Q$3)+1),
ROWS(A$2:A38))),"")</f>
        <v/>
      </c>
      <c r="Z38" s="116" t="str" cm="1">
        <f t="array" aca="1" ref="Z38" ca="1">IFERROR(INDEX(LKTN!$G$3:$G$1000,
SMALL(
IF((LKTN!$Q$3:$Q$1000&lt;&gt;"")*(LKTN!$Q$3:$Q$1000&lt;&gt;"Not Due"),
ROW(LKTN!$Q$3:$Q$1000)-ROW(LKTN!$Q$3)+1),
ROWS(A$2:A38))),"")</f>
        <v/>
      </c>
      <c r="AA38" s="64" t="str" cm="1">
        <f t="array" aca="1" ref="AA38" ca="1">IFERROR(INDEX(LKTN!$Q$3:$Q$1000,
SMALL(
IF((LKTN!$Q$3:$Q$1000&lt;&gt;"")*(LKTN!$Q$3:$Q$1000&lt;&gt;"Not Due"),
ROW(LKTN!$Q$3:$Q$1000)-ROW(LKTN!$Q$3)+1),
ROWS(A$2:A38))
),"")</f>
        <v/>
      </c>
      <c r="AJ38" s="115">
        <v>37</v>
      </c>
      <c r="AK38" s="123" t="str" cm="1">
        <f t="array" aca="1" ref="AK38" ca="1">IFERROR(INDEX(ISN!$E$3:$E$1000,
SMALL(
IF((ISN!$Q$3:$Q$1000&lt;&gt;"")*(ISN!$Q$3:$Q$1000&lt;&gt;"Not Due"),
ROW(ISN!$Q$3:$Q$1000)-ROW(ISN!$Q$3)+1),
ROWS(A$2:A38))),"")</f>
        <v/>
      </c>
      <c r="AL38" s="115" t="str" cm="1">
        <f t="array" aca="1" ref="AL38" ca="1">IFERROR(INDEX(ISN!$B$3:$B$1000,
SMALL(
IF((ISN!$Q$3:$Q$1000&lt;&gt;"")*(ISN!$Q$3:$Q$1000&lt;&gt;"Not Due"),
ROW(ISN!$Q$3:$Q$1000)-ROW(ISN!$Q$3)+1),
ROWS(A$2:A38))),"")</f>
        <v/>
      </c>
      <c r="AM38" s="116" t="str" cm="1">
        <f t="array" aca="1" ref="AM38" ca="1">IFERROR(INDEX(ISN!$D$3:$D$1000,
SMALL(
IF((ISN!$Q$3:$Q$1000&lt;&gt;"")*(ISN!$Q$3:$Q$1000&lt;&gt;"Not Due"),
ROW(ISN!$Q$3:$Q$1000)-ROW(ISN!$Q$3)+1),
ROWS(A$2:A38))),"")</f>
        <v/>
      </c>
      <c r="AN38" s="116" t="str" cm="1">
        <f t="array" aca="1" ref="AN38" ca="1">IFERROR(INDEX(ISN!$G$3:$G$1000,
SMALL(
IF((ISN!$Q$3:$Q$1000&lt;&gt;"")*(ISN!$Q$3:$Q$1000&lt;&gt;"Not Due"),
ROW(ISN!$Q$3:$Q$1000)-ROW(ISN!$Q$3)+1),
ROWS(A$2:A38))),"")</f>
        <v/>
      </c>
      <c r="AO38" s="64" t="str" cm="1">
        <f t="array" aca="1" ref="AO38" ca="1">IFERROR(INDEX(ISN!$Q$3:$Q$1000,
SMALL(
IF((ISN!$Q$3:$Q$1000&lt;&gt;"")*(ISN!$Q$3:$Q$1000&lt;&gt;"Not Due"),
ROW(ISN!$Q$3:$Q$1000)-ROW(ISN!$Q$3)+1),
ROWS(A$2:A38))
),"")</f>
        <v/>
      </c>
      <c r="AQ38" s="115">
        <v>37</v>
      </c>
      <c r="AR38" s="124" t="str" cm="1">
        <f t="array" aca="1" ref="AR38" ca="1">IFERROR(INDEX(MSN!$E$3:$E$1000,
SMALL(
IF((MSN!$Q$3:$Q$1000&lt;&gt;"")*(MSN!$Q$3:$Q$1000&lt;&gt;"Not Due"),
ROW(MSN!$Q$3:$Q$1000)-ROW(MSN!$Q$3)+1),
ROWS(A$2:A38))),"")</f>
        <v/>
      </c>
      <c r="AS38" s="115" t="str" cm="1">
        <f t="array" aca="1" ref="AS38" ca="1">IFERROR(INDEX(MSN!$B$3:$B$1000,
SMALL(
IF((MSN!$Q$3:$Q$1000&lt;&gt;"")*(MSN!$Q$3:$Q$1000&lt;&gt;"Not Due"),
ROW(MSN!$Q$3:$Q$1000)-ROW(MSN!$Q$3)+1),
ROWS(A$2:A38))),"")</f>
        <v/>
      </c>
      <c r="AT38" s="115" t="str" cm="1">
        <f t="array" aca="1" ref="AT38" ca="1">IFERROR(INDEX(MSN!$D$3:$D$1000,
SMALL(
IF((MSN!$Q$3:$Q$1000&lt;&gt;"")*(MSN!$Q$3:$Q$1000&lt;&gt;"Not Due"),
ROW(MSN!$Q$3:$Q$1000)-ROW(MSN!$Q$3)+1),
ROWS(A$2:A38))),"")</f>
        <v/>
      </c>
      <c r="AU38" s="116" t="str" cm="1">
        <f t="array" aca="1" ref="AU38" ca="1">IFERROR(INDEX(MSN!$G$3:$G$1000,
SMALL(
IF((MSN!$Q$3:$Q$1000&lt;&gt;"")*(MSN!$Q$3:$Q$1000&lt;&gt;"Not Due"),
ROW(MSN!$Q$3:$Q$1000)-ROW(MSN!$Q$3)+1),
ROWS(A$2:A38))),"")</f>
        <v/>
      </c>
      <c r="AV38" s="64" t="str" cm="1">
        <f t="array" aca="1" ref="AV38" ca="1">IFERROR(INDEX(MSN!$Q$3:$Q$1000,
SMALL(
IF((MSN!$Q$3:$Q$1000&lt;&gt;"")*(MSN!$Q$3:$Q$1000&lt;&gt;"Not Due"),
ROW(MSN!$Q$3:$Q$1000)-ROW(MSN!$Q$3)+1),
ROWS(A$2:A38))
),"")</f>
        <v/>
      </c>
    </row>
    <row r="39" spans="1:48" x14ac:dyDescent="0.3">
      <c r="A39" s="115">
        <v>38</v>
      </c>
      <c r="B39" s="118" t="str" cm="1">
        <f t="array" aca="1" ref="B39" ca="1">IFERROR(INDEX(FRIM!$E$3:$E$1000,
SMALL(IF(FRIM!$Q$3:$Q$1000&lt;&gt;"",
ROW(FRIM!$Q$3:$Q$1000)-ROW(FRIM!$Q$3)+1),
ROWS(A$2:A39))),"")</f>
        <v/>
      </c>
      <c r="C39" s="116" t="str" cm="1">
        <f t="array" aca="1" ref="C39" ca="1">IFERROR(INDEX(FRIM!$B$3:$B$1000,
SMALL(IF(FRIM!$Q$3:$Q$1000&lt;&gt;"",
ROW(FRIM!$Q$3:$Q$1000)-ROW(FRIM!$Q$3)+1),
ROWS(A$2:A39))),"")</f>
        <v/>
      </c>
      <c r="D39" s="116" t="str" cm="1">
        <f t="array" aca="1" ref="D39" ca="1">IFERROR(INDEX(FRIM!$D$3:$D$1000,
SMALL(IF(FRIM!$Q$3:$Q$1000&lt;&gt;"",
ROW(FRIM!$Q$3:$Q$1000)-ROW(FRIM!$Q$3)+1),
ROWS(A$2:A39))),"")</f>
        <v/>
      </c>
      <c r="E39" s="116" t="str" cm="1">
        <f t="array" aca="1" ref="E39" ca="1">IFERROR(INDEX(FRIM!$G$3:$G$1000,
SMALL(IF(FRIM!$Q$3:$Q$1000&lt;&gt;"",
ROW(FRIM!$Q$3:$Q$1000)-ROW(FRIM!$Q$3)+1),
ROWS(A$2:A39))),"")</f>
        <v/>
      </c>
      <c r="F39" s="88" t="str" cm="1">
        <f t="array" aca="1" ref="F39" ca="1">IFERROR(INDEX(FRIM!$Q$3:$Q$1000,
SMALL(IF(FRIM!$Q$3:$Q$1000&lt;&gt;"",
ROW(FRIM!$Q$3:$Q$1000)-ROW(FRIM!$Q$3)+1),
ROWS(A$2:A39))),"")</f>
        <v/>
      </c>
      <c r="H39" s="115">
        <v>38</v>
      </c>
      <c r="I39" s="119" t="str" cm="1">
        <f t="array" aca="1" ref="I39" ca="1">IFERROR(INDEX(MTIB!$E$3:$E$1000,
SMALL(
IF((MTIB!$Q$3:$Q$1000&lt;&gt;"")*(MTIB!$Q$3:$Q$1000&lt;&gt;"Not Due"),
ROW(MTIB!$Q$3:$Q$1000)-ROW(MTIB!$Q$3)+1),
ROWS(A$2:A39))),"")</f>
        <v/>
      </c>
      <c r="J39" s="115" t="str" cm="1">
        <f t="array" aca="1" ref="J39" ca="1">IFERROR(INDEX(MTIB!$B$3:$B$1000,
SMALL(
IF((MTIB!$Q$3:$Q$1000&lt;&gt;"")*(MTIB!$Q$3:$Q$1000&lt;&gt;"Not Due"),
ROW(MTIB!$Q$3:$Q$1000)-ROW(MTIB!$Q$3)+1),
ROWS(A$2:A39))),"")</f>
        <v/>
      </c>
      <c r="K39" s="115" t="str" cm="1">
        <f t="array" aca="1" ref="K39" ca="1">IFERROR(INDEX(MTIB!$D$3:$D$1000,
SMALL(
IF((MTIB!$Q$3:$Q$1000&lt;&gt;"")*(MTIB!$Q$3:$Q$1000&lt;&gt;"Not Due"),
ROW(MTIB!$Q$3:$Q$1000)-ROW(MTIB!$Q$3)+1),
ROWS(A$2:A39))),"")</f>
        <v/>
      </c>
      <c r="L39" s="116" t="str" cm="1">
        <f t="array" aca="1" ref="L39" ca="1">IFERROR(INDEX(MTIB!$G$3:$G$1000,
SMALL(
IF((MTIB!$Q$3:$Q$1000&lt;&gt;"")*(MTIB!$Q$3:$Q$1000&lt;&gt;"Not Due"),
ROW(MTIB!$Q$3:$Q$1000)-ROW(MTIB!$Q$3)+1),
ROWS(A$2:A39))),"")</f>
        <v/>
      </c>
      <c r="M39" s="88" t="str" cm="1">
        <f t="array" aca="1" ref="M39" ca="1">IFERROR(INDEX(MTIB!$Q$3:$Q$1000,
SMALL(
IF((MTIB!$Q$3:$Q$1000&lt;&gt;"")*(MTIB!$Q$3:$Q$1000&lt;&gt;"Not Due"),
ROW(MTIB!$Q$3:$Q$1000)-ROW(MTIB!$Q$3)+1),
ROWS(A$2:A39))
),"")</f>
        <v/>
      </c>
      <c r="O39" s="115">
        <v>38</v>
      </c>
      <c r="P39" s="120" t="str" cm="1">
        <f t="array" aca="1" ref="P39" ca="1">IFERROR(INDEX(MPOB!$E$3:$E$1000,
SMALL(
IF((MPOB!$Q$3:$Q$1000&lt;&gt;"")*(MPOB!$Q$3:$Q$1000&lt;&gt;"Not Due"),
ROW(MPOB!$Q$3:$Q$1000)-ROW(MPOB!$Q$3)+1),
ROWS(A$2:A39))),"")</f>
        <v/>
      </c>
      <c r="Q39" s="115" t="str" cm="1">
        <f t="array" aca="1" ref="Q39" ca="1">IFERROR(INDEX(MPOB!$B$3:$B$1000,
SMALL(
IF((MPOB!$Q$3:$Q$1000&lt;&gt;"")*(MPOB!$Q$3:$Q$1000&lt;&gt;"Not Due"),
ROW(MPOB!$Q$3:$Q$1000)-ROW(MPOB!$Q$3)+1),
ROWS(A$2:A39))),"")</f>
        <v/>
      </c>
      <c r="R39" s="115" t="str" cm="1">
        <f t="array" aca="1" ref="R39" ca="1">IFERROR(INDEX(MPOB!$D$3:$D$1000,
SMALL(
IF((MPOB!$Q$3:$Q$1000&lt;&gt;"")*(MPOB!$Q$3:$Q$1000&lt;&gt;"Not Due"),
ROW(MPOB!$Q$3:$Q$1000)-ROW(MPOB!$Q$3)+1),
ROWS(A$2:A39))),"")</f>
        <v/>
      </c>
      <c r="S39" s="116" t="str" cm="1">
        <f t="array" aca="1" ref="S39" ca="1">IFERROR(INDEX(MPOB!$G$3:$G$1000,
SMALL(
IF((MPOB!$Q$3:$Q$1000&lt;&gt;"")*(MPOB!$Q$3:$Q$1000&lt;&gt;"Not Due"),
ROW(MPOB!$Q$3:$Q$1000)-ROW(MPOB!$Q$3)+1),
ROWS(A$2:A39))),"")</f>
        <v/>
      </c>
      <c r="T39" s="88" t="str" cm="1">
        <f t="array" aca="1" ref="T39" ca="1">IFERROR(INDEX(MPOB!$Q$3:$Q$1000,
SMALL(
IF((MPOB!$Q$3:$Q$1000&lt;&gt;"")*(MPOB!$Q$3:$Q$1000&lt;&gt;"Not Due"),
ROW(MPOB!$Q$3:$Q$1000)-ROW(MPOB!$Q$3)+1),
ROWS(A$2:A39))
),"")</f>
        <v/>
      </c>
      <c r="V39" s="115">
        <v>38</v>
      </c>
      <c r="W39" s="121" t="str" cm="1">
        <f t="array" aca="1" ref="W39" ca="1">IFERROR(INDEX(LKTN!$E$3:$E$1000,
SMALL(
IF((LKTN!$Q$3:$Q$1000&lt;&gt;"")*(LKTN!$Q$3:$Q$1000&lt;&gt;"Not Due"),
ROW(LKTN!$Q$3:$Q$1000)-ROW(LKTN!$Q$3)+1),
ROWS(A$2:A39))),"")</f>
        <v/>
      </c>
      <c r="X39" s="115" t="str" cm="1">
        <f t="array" aca="1" ref="X39" ca="1">IFERROR(INDEX(LKTN!$B$3:$B$1000,
SMALL(
IF((LKTN!$Q$3:$Q$1000&lt;&gt;"")*(LKTN!$Q$3:$Q$1000&lt;&gt;"Not Due"),
ROW(LKTN!$Q$3:$Q$1000)-ROW(LKTN!$Q$3)+1),
ROWS(A$2:A39))),"")</f>
        <v/>
      </c>
      <c r="Y39" s="115" t="str" cm="1">
        <f t="array" aca="1" ref="Y39" ca="1">IFERROR(INDEX(LKTN!$D$3:$D$1000,
SMALL(
IF((LKTN!$Q$3:$Q$1000&lt;&gt;"")*(LKTN!$Q$3:$Q$1000&lt;&gt;"Not Due"),
ROW(LKTN!$Q$3:$Q$1000)-ROW(LKTN!$Q$3)+1),
ROWS(A$2:A39))),"")</f>
        <v/>
      </c>
      <c r="Z39" s="116" t="str" cm="1">
        <f t="array" aca="1" ref="Z39" ca="1">IFERROR(INDEX(LKTN!$G$3:$G$1000,
SMALL(
IF((LKTN!$Q$3:$Q$1000&lt;&gt;"")*(LKTN!$Q$3:$Q$1000&lt;&gt;"Not Due"),
ROW(LKTN!$Q$3:$Q$1000)-ROW(LKTN!$Q$3)+1),
ROWS(A$2:A39))),"")</f>
        <v/>
      </c>
      <c r="AA39" s="64" t="str" cm="1">
        <f t="array" aca="1" ref="AA39" ca="1">IFERROR(INDEX(LKTN!$Q$3:$Q$1000,
SMALL(
IF((LKTN!$Q$3:$Q$1000&lt;&gt;"")*(LKTN!$Q$3:$Q$1000&lt;&gt;"Not Due"),
ROW(LKTN!$Q$3:$Q$1000)-ROW(LKTN!$Q$3)+1),
ROWS(A$2:A39))
),"")</f>
        <v/>
      </c>
      <c r="AJ39" s="115">
        <v>38</v>
      </c>
      <c r="AK39" s="123" t="str" cm="1">
        <f t="array" aca="1" ref="AK39" ca="1">IFERROR(INDEX(ISN!$E$3:$E$1000,
SMALL(
IF((ISN!$Q$3:$Q$1000&lt;&gt;"")*(ISN!$Q$3:$Q$1000&lt;&gt;"Not Due"),
ROW(ISN!$Q$3:$Q$1000)-ROW(ISN!$Q$3)+1),
ROWS(A$2:A39))),"")</f>
        <v/>
      </c>
      <c r="AL39" s="115" t="str" cm="1">
        <f t="array" aca="1" ref="AL39" ca="1">IFERROR(INDEX(ISN!$B$3:$B$1000,
SMALL(
IF((ISN!$Q$3:$Q$1000&lt;&gt;"")*(ISN!$Q$3:$Q$1000&lt;&gt;"Not Due"),
ROW(ISN!$Q$3:$Q$1000)-ROW(ISN!$Q$3)+1),
ROWS(A$2:A39))),"")</f>
        <v/>
      </c>
      <c r="AM39" s="116" t="str" cm="1">
        <f t="array" aca="1" ref="AM39" ca="1">IFERROR(INDEX(ISN!$D$3:$D$1000,
SMALL(
IF((ISN!$Q$3:$Q$1000&lt;&gt;"")*(ISN!$Q$3:$Q$1000&lt;&gt;"Not Due"),
ROW(ISN!$Q$3:$Q$1000)-ROW(ISN!$Q$3)+1),
ROWS(A$2:A39))),"")</f>
        <v/>
      </c>
      <c r="AN39" s="116" t="str" cm="1">
        <f t="array" aca="1" ref="AN39" ca="1">IFERROR(INDEX(ISN!$G$3:$G$1000,
SMALL(
IF((ISN!$Q$3:$Q$1000&lt;&gt;"")*(ISN!$Q$3:$Q$1000&lt;&gt;"Not Due"),
ROW(ISN!$Q$3:$Q$1000)-ROW(ISN!$Q$3)+1),
ROWS(A$2:A39))),"")</f>
        <v/>
      </c>
      <c r="AO39" s="64" t="str" cm="1">
        <f t="array" aca="1" ref="AO39" ca="1">IFERROR(INDEX(ISN!$Q$3:$Q$1000,
SMALL(
IF((ISN!$Q$3:$Q$1000&lt;&gt;"")*(ISN!$Q$3:$Q$1000&lt;&gt;"Not Due"),
ROW(ISN!$Q$3:$Q$1000)-ROW(ISN!$Q$3)+1),
ROWS(A$2:A39))
),"")</f>
        <v/>
      </c>
      <c r="AQ39" s="115">
        <v>38</v>
      </c>
      <c r="AR39" s="124" t="str" cm="1">
        <f t="array" aca="1" ref="AR39" ca="1">IFERROR(INDEX(MSN!$E$3:$E$1000,
SMALL(
IF((MSN!$Q$3:$Q$1000&lt;&gt;"")*(MSN!$Q$3:$Q$1000&lt;&gt;"Not Due"),
ROW(MSN!$Q$3:$Q$1000)-ROW(MSN!$Q$3)+1),
ROWS(A$2:A39))),"")</f>
        <v/>
      </c>
      <c r="AS39" s="115" t="str" cm="1">
        <f t="array" aca="1" ref="AS39" ca="1">IFERROR(INDEX(MSN!$B$3:$B$1000,
SMALL(
IF((MSN!$Q$3:$Q$1000&lt;&gt;"")*(MSN!$Q$3:$Q$1000&lt;&gt;"Not Due"),
ROW(MSN!$Q$3:$Q$1000)-ROW(MSN!$Q$3)+1),
ROWS(A$2:A39))),"")</f>
        <v/>
      </c>
      <c r="AT39" s="115" t="str" cm="1">
        <f t="array" aca="1" ref="AT39" ca="1">IFERROR(INDEX(MSN!$D$3:$D$1000,
SMALL(
IF((MSN!$Q$3:$Q$1000&lt;&gt;"")*(MSN!$Q$3:$Q$1000&lt;&gt;"Not Due"),
ROW(MSN!$Q$3:$Q$1000)-ROW(MSN!$Q$3)+1),
ROWS(A$2:A39))),"")</f>
        <v/>
      </c>
      <c r="AU39" s="116" t="str" cm="1">
        <f t="array" aca="1" ref="AU39" ca="1">IFERROR(INDEX(MSN!$G$3:$G$1000,
SMALL(
IF((MSN!$Q$3:$Q$1000&lt;&gt;"")*(MSN!$Q$3:$Q$1000&lt;&gt;"Not Due"),
ROW(MSN!$Q$3:$Q$1000)-ROW(MSN!$Q$3)+1),
ROWS(A$2:A39))),"")</f>
        <v/>
      </c>
      <c r="AV39" s="64" t="str" cm="1">
        <f t="array" aca="1" ref="AV39" ca="1">IFERROR(INDEX(MSN!$Q$3:$Q$1000,
SMALL(
IF((MSN!$Q$3:$Q$1000&lt;&gt;"")*(MSN!$Q$3:$Q$1000&lt;&gt;"Not Due"),
ROW(MSN!$Q$3:$Q$1000)-ROW(MSN!$Q$3)+1),
ROWS(A$2:A39))
),"")</f>
        <v/>
      </c>
    </row>
    <row r="40" spans="1:48" x14ac:dyDescent="0.3">
      <c r="A40" s="115">
        <v>39</v>
      </c>
      <c r="B40" s="118" t="str" cm="1">
        <f t="array" aca="1" ref="B40" ca="1">IFERROR(INDEX(FRIM!$E$3:$E$1000,
SMALL(IF(FRIM!$Q$3:$Q$1000&lt;&gt;"",
ROW(FRIM!$Q$3:$Q$1000)-ROW(FRIM!$Q$3)+1),
ROWS(A$2:A40))),"")</f>
        <v/>
      </c>
      <c r="C40" s="116" t="str" cm="1">
        <f t="array" aca="1" ref="C40" ca="1">IFERROR(INDEX(FRIM!$B$3:$B$1000,
SMALL(IF(FRIM!$Q$3:$Q$1000&lt;&gt;"",
ROW(FRIM!$Q$3:$Q$1000)-ROW(FRIM!$Q$3)+1),
ROWS(A$2:A40))),"")</f>
        <v/>
      </c>
      <c r="D40" s="116" t="str" cm="1">
        <f t="array" aca="1" ref="D40" ca="1">IFERROR(INDEX(FRIM!$D$3:$D$1000,
SMALL(IF(FRIM!$Q$3:$Q$1000&lt;&gt;"",
ROW(FRIM!$Q$3:$Q$1000)-ROW(FRIM!$Q$3)+1),
ROWS(A$2:A40))),"")</f>
        <v/>
      </c>
      <c r="E40" s="116" t="str" cm="1">
        <f t="array" aca="1" ref="E40" ca="1">IFERROR(INDEX(FRIM!$G$3:$G$1000,
SMALL(IF(FRIM!$Q$3:$Q$1000&lt;&gt;"",
ROW(FRIM!$Q$3:$Q$1000)-ROW(FRIM!$Q$3)+1),
ROWS(A$2:A40))),"")</f>
        <v/>
      </c>
      <c r="F40" s="88" t="str" cm="1">
        <f t="array" aca="1" ref="F40" ca="1">IFERROR(INDEX(FRIM!$Q$3:$Q$1000,
SMALL(IF(FRIM!$Q$3:$Q$1000&lt;&gt;"",
ROW(FRIM!$Q$3:$Q$1000)-ROW(FRIM!$Q$3)+1),
ROWS(A$2:A40))),"")</f>
        <v/>
      </c>
      <c r="H40" s="115">
        <v>39</v>
      </c>
      <c r="I40" s="119" t="str" cm="1">
        <f t="array" aca="1" ref="I40" ca="1">IFERROR(INDEX(MTIB!$E$3:$E$1000,
SMALL(
IF((MTIB!$Q$3:$Q$1000&lt;&gt;"")*(MTIB!$Q$3:$Q$1000&lt;&gt;"Not Due"),
ROW(MTIB!$Q$3:$Q$1000)-ROW(MTIB!$Q$3)+1),
ROWS(A$2:A40))),"")</f>
        <v/>
      </c>
      <c r="J40" s="115" t="str" cm="1">
        <f t="array" aca="1" ref="J40" ca="1">IFERROR(INDEX(MTIB!$B$3:$B$1000,
SMALL(
IF((MTIB!$Q$3:$Q$1000&lt;&gt;"")*(MTIB!$Q$3:$Q$1000&lt;&gt;"Not Due"),
ROW(MTIB!$Q$3:$Q$1000)-ROW(MTIB!$Q$3)+1),
ROWS(A$2:A40))),"")</f>
        <v/>
      </c>
      <c r="K40" s="115" t="str" cm="1">
        <f t="array" aca="1" ref="K40" ca="1">IFERROR(INDEX(MTIB!$D$3:$D$1000,
SMALL(
IF((MTIB!$Q$3:$Q$1000&lt;&gt;"")*(MTIB!$Q$3:$Q$1000&lt;&gt;"Not Due"),
ROW(MTIB!$Q$3:$Q$1000)-ROW(MTIB!$Q$3)+1),
ROWS(A$2:A40))),"")</f>
        <v/>
      </c>
      <c r="L40" s="116" t="str" cm="1">
        <f t="array" aca="1" ref="L40" ca="1">IFERROR(INDEX(MTIB!$G$3:$G$1000,
SMALL(
IF((MTIB!$Q$3:$Q$1000&lt;&gt;"")*(MTIB!$Q$3:$Q$1000&lt;&gt;"Not Due"),
ROW(MTIB!$Q$3:$Q$1000)-ROW(MTIB!$Q$3)+1),
ROWS(A$2:A40))),"")</f>
        <v/>
      </c>
      <c r="M40" s="88" t="str" cm="1">
        <f t="array" aca="1" ref="M40" ca="1">IFERROR(INDEX(MTIB!$Q$3:$Q$1000,
SMALL(
IF((MTIB!$Q$3:$Q$1000&lt;&gt;"")*(MTIB!$Q$3:$Q$1000&lt;&gt;"Not Due"),
ROW(MTIB!$Q$3:$Q$1000)-ROW(MTIB!$Q$3)+1),
ROWS(A$2:A40))
),"")</f>
        <v/>
      </c>
      <c r="O40" s="115">
        <v>39</v>
      </c>
      <c r="P40" s="120" t="str" cm="1">
        <f t="array" aca="1" ref="P40" ca="1">IFERROR(INDEX(MPOB!$E$3:$E$1000,
SMALL(
IF((MPOB!$Q$3:$Q$1000&lt;&gt;"")*(MPOB!$Q$3:$Q$1000&lt;&gt;"Not Due"),
ROW(MPOB!$Q$3:$Q$1000)-ROW(MPOB!$Q$3)+1),
ROWS(A$2:A40))),"")</f>
        <v/>
      </c>
      <c r="Q40" s="115" t="str" cm="1">
        <f t="array" aca="1" ref="Q40" ca="1">IFERROR(INDEX(MPOB!$B$3:$B$1000,
SMALL(
IF((MPOB!$Q$3:$Q$1000&lt;&gt;"")*(MPOB!$Q$3:$Q$1000&lt;&gt;"Not Due"),
ROW(MPOB!$Q$3:$Q$1000)-ROW(MPOB!$Q$3)+1),
ROWS(A$2:A40))),"")</f>
        <v/>
      </c>
      <c r="R40" s="115" t="str" cm="1">
        <f t="array" aca="1" ref="R40" ca="1">IFERROR(INDEX(MPOB!$D$3:$D$1000,
SMALL(
IF((MPOB!$Q$3:$Q$1000&lt;&gt;"")*(MPOB!$Q$3:$Q$1000&lt;&gt;"Not Due"),
ROW(MPOB!$Q$3:$Q$1000)-ROW(MPOB!$Q$3)+1),
ROWS(A$2:A40))),"")</f>
        <v/>
      </c>
      <c r="S40" s="116" t="str" cm="1">
        <f t="array" aca="1" ref="S40" ca="1">IFERROR(INDEX(MPOB!$G$3:$G$1000,
SMALL(
IF((MPOB!$Q$3:$Q$1000&lt;&gt;"")*(MPOB!$Q$3:$Q$1000&lt;&gt;"Not Due"),
ROW(MPOB!$Q$3:$Q$1000)-ROW(MPOB!$Q$3)+1),
ROWS(A$2:A40))),"")</f>
        <v/>
      </c>
      <c r="T40" s="88" t="str" cm="1">
        <f t="array" aca="1" ref="T40" ca="1">IFERROR(INDEX(MPOB!$Q$3:$Q$1000,
SMALL(
IF((MPOB!$Q$3:$Q$1000&lt;&gt;"")*(MPOB!$Q$3:$Q$1000&lt;&gt;"Not Due"),
ROW(MPOB!$Q$3:$Q$1000)-ROW(MPOB!$Q$3)+1),
ROWS(A$2:A40))
),"")</f>
        <v/>
      </c>
      <c r="V40" s="115">
        <v>39</v>
      </c>
      <c r="W40" s="121" t="str" cm="1">
        <f t="array" aca="1" ref="W40" ca="1">IFERROR(INDEX(LKTN!$E$3:$E$1000,
SMALL(
IF((LKTN!$Q$3:$Q$1000&lt;&gt;"")*(LKTN!$Q$3:$Q$1000&lt;&gt;"Not Due"),
ROW(LKTN!$Q$3:$Q$1000)-ROW(LKTN!$Q$3)+1),
ROWS(A$2:A40))),"")</f>
        <v/>
      </c>
      <c r="X40" s="115" t="str" cm="1">
        <f t="array" aca="1" ref="X40" ca="1">IFERROR(INDEX(LKTN!$B$3:$B$1000,
SMALL(
IF((LKTN!$Q$3:$Q$1000&lt;&gt;"")*(LKTN!$Q$3:$Q$1000&lt;&gt;"Not Due"),
ROW(LKTN!$Q$3:$Q$1000)-ROW(LKTN!$Q$3)+1),
ROWS(A$2:A40))),"")</f>
        <v/>
      </c>
      <c r="Y40" s="115" t="str" cm="1">
        <f t="array" aca="1" ref="Y40" ca="1">IFERROR(INDEX(LKTN!$D$3:$D$1000,
SMALL(
IF((LKTN!$Q$3:$Q$1000&lt;&gt;"")*(LKTN!$Q$3:$Q$1000&lt;&gt;"Not Due"),
ROW(LKTN!$Q$3:$Q$1000)-ROW(LKTN!$Q$3)+1),
ROWS(A$2:A40))),"")</f>
        <v/>
      </c>
      <c r="Z40" s="116" t="str" cm="1">
        <f t="array" aca="1" ref="Z40" ca="1">IFERROR(INDEX(LKTN!$G$3:$G$1000,
SMALL(
IF((LKTN!$Q$3:$Q$1000&lt;&gt;"")*(LKTN!$Q$3:$Q$1000&lt;&gt;"Not Due"),
ROW(LKTN!$Q$3:$Q$1000)-ROW(LKTN!$Q$3)+1),
ROWS(A$2:A40))),"")</f>
        <v/>
      </c>
      <c r="AA40" s="64" t="str" cm="1">
        <f t="array" aca="1" ref="AA40" ca="1">IFERROR(INDEX(LKTN!$Q$3:$Q$1000,
SMALL(
IF((LKTN!$Q$3:$Q$1000&lt;&gt;"")*(LKTN!$Q$3:$Q$1000&lt;&gt;"Not Due"),
ROW(LKTN!$Q$3:$Q$1000)-ROW(LKTN!$Q$3)+1),
ROWS(A$2:A40))
),"")</f>
        <v/>
      </c>
      <c r="AJ40" s="115">
        <v>39</v>
      </c>
      <c r="AK40" s="123" t="str" cm="1">
        <f t="array" aca="1" ref="AK40" ca="1">IFERROR(INDEX(ISN!$E$3:$E$1000,
SMALL(
IF((ISN!$Q$3:$Q$1000&lt;&gt;"")*(ISN!$Q$3:$Q$1000&lt;&gt;"Not Due"),
ROW(ISN!$Q$3:$Q$1000)-ROW(ISN!$Q$3)+1),
ROWS(A$2:A40))),"")</f>
        <v/>
      </c>
      <c r="AL40" s="115" t="str" cm="1">
        <f t="array" aca="1" ref="AL40" ca="1">IFERROR(INDEX(ISN!$B$3:$B$1000,
SMALL(
IF((ISN!$Q$3:$Q$1000&lt;&gt;"")*(ISN!$Q$3:$Q$1000&lt;&gt;"Not Due"),
ROW(ISN!$Q$3:$Q$1000)-ROW(ISN!$Q$3)+1),
ROWS(A$2:A40))),"")</f>
        <v/>
      </c>
      <c r="AM40" s="116" t="str" cm="1">
        <f t="array" aca="1" ref="AM40" ca="1">IFERROR(INDEX(ISN!$D$3:$D$1000,
SMALL(
IF((ISN!$Q$3:$Q$1000&lt;&gt;"")*(ISN!$Q$3:$Q$1000&lt;&gt;"Not Due"),
ROW(ISN!$Q$3:$Q$1000)-ROW(ISN!$Q$3)+1),
ROWS(A$2:A40))),"")</f>
        <v/>
      </c>
      <c r="AN40" s="116" t="str" cm="1">
        <f t="array" aca="1" ref="AN40" ca="1">IFERROR(INDEX(ISN!$G$3:$G$1000,
SMALL(
IF((ISN!$Q$3:$Q$1000&lt;&gt;"")*(ISN!$Q$3:$Q$1000&lt;&gt;"Not Due"),
ROW(ISN!$Q$3:$Q$1000)-ROW(ISN!$Q$3)+1),
ROWS(A$2:A40))),"")</f>
        <v/>
      </c>
      <c r="AO40" s="64" t="str" cm="1">
        <f t="array" aca="1" ref="AO40" ca="1">IFERROR(INDEX(ISN!$Q$3:$Q$1000,
SMALL(
IF((ISN!$Q$3:$Q$1000&lt;&gt;"")*(ISN!$Q$3:$Q$1000&lt;&gt;"Not Due"),
ROW(ISN!$Q$3:$Q$1000)-ROW(ISN!$Q$3)+1),
ROWS(A$2:A40))
),"")</f>
        <v/>
      </c>
      <c r="AQ40" s="115">
        <v>39</v>
      </c>
      <c r="AR40" s="124" t="str" cm="1">
        <f t="array" aca="1" ref="AR40" ca="1">IFERROR(INDEX(MSN!$E$3:$E$1000,
SMALL(
IF((MSN!$Q$3:$Q$1000&lt;&gt;"")*(MSN!$Q$3:$Q$1000&lt;&gt;"Not Due"),
ROW(MSN!$Q$3:$Q$1000)-ROW(MSN!$Q$3)+1),
ROWS(A$2:A40))),"")</f>
        <v/>
      </c>
      <c r="AS40" s="115" t="str" cm="1">
        <f t="array" aca="1" ref="AS40" ca="1">IFERROR(INDEX(MSN!$B$3:$B$1000,
SMALL(
IF((MSN!$Q$3:$Q$1000&lt;&gt;"")*(MSN!$Q$3:$Q$1000&lt;&gt;"Not Due"),
ROW(MSN!$Q$3:$Q$1000)-ROW(MSN!$Q$3)+1),
ROWS(A$2:A40))),"")</f>
        <v/>
      </c>
      <c r="AT40" s="115" t="str" cm="1">
        <f t="array" aca="1" ref="AT40" ca="1">IFERROR(INDEX(MSN!$D$3:$D$1000,
SMALL(
IF((MSN!$Q$3:$Q$1000&lt;&gt;"")*(MSN!$Q$3:$Q$1000&lt;&gt;"Not Due"),
ROW(MSN!$Q$3:$Q$1000)-ROW(MSN!$Q$3)+1),
ROWS(A$2:A40))),"")</f>
        <v/>
      </c>
      <c r="AU40" s="116" t="str" cm="1">
        <f t="array" aca="1" ref="AU40" ca="1">IFERROR(INDEX(MSN!$G$3:$G$1000,
SMALL(
IF((MSN!$Q$3:$Q$1000&lt;&gt;"")*(MSN!$Q$3:$Q$1000&lt;&gt;"Not Due"),
ROW(MSN!$Q$3:$Q$1000)-ROW(MSN!$Q$3)+1),
ROWS(A$2:A40))),"")</f>
        <v/>
      </c>
      <c r="AV40" s="64" t="str" cm="1">
        <f t="array" aca="1" ref="AV40" ca="1">IFERROR(INDEX(MSN!$Q$3:$Q$1000,
SMALL(
IF((MSN!$Q$3:$Q$1000&lt;&gt;"")*(MSN!$Q$3:$Q$1000&lt;&gt;"Not Due"),
ROW(MSN!$Q$3:$Q$1000)-ROW(MSN!$Q$3)+1),
ROWS(A$2:A40))
),"")</f>
        <v/>
      </c>
    </row>
    <row r="41" spans="1:48" x14ac:dyDescent="0.3">
      <c r="A41" s="115">
        <v>40</v>
      </c>
      <c r="B41" s="118" t="str" cm="1">
        <f t="array" aca="1" ref="B41" ca="1">IFERROR(INDEX(FRIM!$E$3:$E$1000,
SMALL(IF(FRIM!$Q$3:$Q$1000&lt;&gt;"",
ROW(FRIM!$Q$3:$Q$1000)-ROW(FRIM!$Q$3)+1),
ROWS(A$2:A41))),"")</f>
        <v/>
      </c>
      <c r="C41" s="116" t="str" cm="1">
        <f t="array" aca="1" ref="C41" ca="1">IFERROR(INDEX(FRIM!$B$3:$B$1000,
SMALL(IF(FRIM!$Q$3:$Q$1000&lt;&gt;"",
ROW(FRIM!$Q$3:$Q$1000)-ROW(FRIM!$Q$3)+1),
ROWS(A$2:A41))),"")</f>
        <v/>
      </c>
      <c r="D41" s="116" t="str" cm="1">
        <f t="array" aca="1" ref="D41" ca="1">IFERROR(INDEX(FRIM!$D$3:$D$1000,
SMALL(IF(FRIM!$Q$3:$Q$1000&lt;&gt;"",
ROW(FRIM!$Q$3:$Q$1000)-ROW(FRIM!$Q$3)+1),
ROWS(A$2:A41))),"")</f>
        <v/>
      </c>
      <c r="E41" s="116" t="str" cm="1">
        <f t="array" aca="1" ref="E41" ca="1">IFERROR(INDEX(FRIM!$G$3:$G$1000,
SMALL(IF(FRIM!$Q$3:$Q$1000&lt;&gt;"",
ROW(FRIM!$Q$3:$Q$1000)-ROW(FRIM!$Q$3)+1),
ROWS(A$2:A41))),"")</f>
        <v/>
      </c>
      <c r="F41" s="88" t="str" cm="1">
        <f t="array" aca="1" ref="F41" ca="1">IFERROR(INDEX(FRIM!$Q$3:$Q$1000,
SMALL(IF(FRIM!$Q$3:$Q$1000&lt;&gt;"",
ROW(FRIM!$Q$3:$Q$1000)-ROW(FRIM!$Q$3)+1),
ROWS(A$2:A41))),"")</f>
        <v/>
      </c>
      <c r="H41" s="115">
        <v>40</v>
      </c>
      <c r="I41" s="119" t="str" cm="1">
        <f t="array" aca="1" ref="I41" ca="1">IFERROR(INDEX(MTIB!$E$3:$E$1000,
SMALL(
IF((MTIB!$Q$3:$Q$1000&lt;&gt;"")*(MTIB!$Q$3:$Q$1000&lt;&gt;"Not Due"),
ROW(MTIB!$Q$3:$Q$1000)-ROW(MTIB!$Q$3)+1),
ROWS(A$2:A41))),"")</f>
        <v/>
      </c>
      <c r="J41" s="115" t="str" cm="1">
        <f t="array" aca="1" ref="J41" ca="1">IFERROR(INDEX(MTIB!$B$3:$B$1000,
SMALL(
IF((MTIB!$Q$3:$Q$1000&lt;&gt;"")*(MTIB!$Q$3:$Q$1000&lt;&gt;"Not Due"),
ROW(MTIB!$Q$3:$Q$1000)-ROW(MTIB!$Q$3)+1),
ROWS(A$2:A41))),"")</f>
        <v/>
      </c>
      <c r="K41" s="115" t="str" cm="1">
        <f t="array" aca="1" ref="K41" ca="1">IFERROR(INDEX(MTIB!$D$3:$D$1000,
SMALL(
IF((MTIB!$Q$3:$Q$1000&lt;&gt;"")*(MTIB!$Q$3:$Q$1000&lt;&gt;"Not Due"),
ROW(MTIB!$Q$3:$Q$1000)-ROW(MTIB!$Q$3)+1),
ROWS(A$2:A41))),"")</f>
        <v/>
      </c>
      <c r="L41" s="116" t="str" cm="1">
        <f t="array" aca="1" ref="L41" ca="1">IFERROR(INDEX(MTIB!$G$3:$G$1000,
SMALL(
IF((MTIB!$Q$3:$Q$1000&lt;&gt;"")*(MTIB!$Q$3:$Q$1000&lt;&gt;"Not Due"),
ROW(MTIB!$Q$3:$Q$1000)-ROW(MTIB!$Q$3)+1),
ROWS(A$2:A41))),"")</f>
        <v/>
      </c>
      <c r="M41" s="88" t="str" cm="1">
        <f t="array" aca="1" ref="M41" ca="1">IFERROR(INDEX(MTIB!$Q$3:$Q$1000,
SMALL(
IF((MTIB!$Q$3:$Q$1000&lt;&gt;"")*(MTIB!$Q$3:$Q$1000&lt;&gt;"Not Due"),
ROW(MTIB!$Q$3:$Q$1000)-ROW(MTIB!$Q$3)+1),
ROWS(A$2:A41))
),"")</f>
        <v/>
      </c>
      <c r="O41" s="115">
        <v>40</v>
      </c>
      <c r="P41" s="120" t="str" cm="1">
        <f t="array" aca="1" ref="P41" ca="1">IFERROR(INDEX(MPOB!$E$3:$E$1000,
SMALL(
IF((MPOB!$Q$3:$Q$1000&lt;&gt;"")*(MPOB!$Q$3:$Q$1000&lt;&gt;"Not Due"),
ROW(MPOB!$Q$3:$Q$1000)-ROW(MPOB!$Q$3)+1),
ROWS(A$2:A41))),"")</f>
        <v/>
      </c>
      <c r="Q41" s="115" t="str" cm="1">
        <f t="array" aca="1" ref="Q41" ca="1">IFERROR(INDEX(MPOB!$B$3:$B$1000,
SMALL(
IF((MPOB!$Q$3:$Q$1000&lt;&gt;"")*(MPOB!$Q$3:$Q$1000&lt;&gt;"Not Due"),
ROW(MPOB!$Q$3:$Q$1000)-ROW(MPOB!$Q$3)+1),
ROWS(A$2:A41))),"")</f>
        <v/>
      </c>
      <c r="R41" s="115" t="str" cm="1">
        <f t="array" aca="1" ref="R41" ca="1">IFERROR(INDEX(MPOB!$D$3:$D$1000,
SMALL(
IF((MPOB!$Q$3:$Q$1000&lt;&gt;"")*(MPOB!$Q$3:$Q$1000&lt;&gt;"Not Due"),
ROW(MPOB!$Q$3:$Q$1000)-ROW(MPOB!$Q$3)+1),
ROWS(A$2:A41))),"")</f>
        <v/>
      </c>
      <c r="S41" s="116" t="str" cm="1">
        <f t="array" aca="1" ref="S41" ca="1">IFERROR(INDEX(MPOB!$G$3:$G$1000,
SMALL(
IF((MPOB!$Q$3:$Q$1000&lt;&gt;"")*(MPOB!$Q$3:$Q$1000&lt;&gt;"Not Due"),
ROW(MPOB!$Q$3:$Q$1000)-ROW(MPOB!$Q$3)+1),
ROWS(A$2:A41))),"")</f>
        <v/>
      </c>
      <c r="T41" s="88" t="str" cm="1">
        <f t="array" aca="1" ref="T41" ca="1">IFERROR(INDEX(MPOB!$Q$3:$Q$1000,
SMALL(
IF((MPOB!$Q$3:$Q$1000&lt;&gt;"")*(MPOB!$Q$3:$Q$1000&lt;&gt;"Not Due"),
ROW(MPOB!$Q$3:$Q$1000)-ROW(MPOB!$Q$3)+1),
ROWS(A$2:A41))
),"")</f>
        <v/>
      </c>
      <c r="V41" s="115">
        <v>40</v>
      </c>
      <c r="W41" s="121" t="str" cm="1">
        <f t="array" aca="1" ref="W41" ca="1">IFERROR(INDEX(LKTN!$E$3:$E$1000,
SMALL(
IF((LKTN!$Q$3:$Q$1000&lt;&gt;"")*(LKTN!$Q$3:$Q$1000&lt;&gt;"Not Due"),
ROW(LKTN!$Q$3:$Q$1000)-ROW(LKTN!$Q$3)+1),
ROWS(A$2:A41))),"")</f>
        <v/>
      </c>
      <c r="X41" s="115" t="str" cm="1">
        <f t="array" aca="1" ref="X41" ca="1">IFERROR(INDEX(LKTN!$B$3:$B$1000,
SMALL(
IF((LKTN!$Q$3:$Q$1000&lt;&gt;"")*(LKTN!$Q$3:$Q$1000&lt;&gt;"Not Due"),
ROW(LKTN!$Q$3:$Q$1000)-ROW(LKTN!$Q$3)+1),
ROWS(A$2:A41))),"")</f>
        <v/>
      </c>
      <c r="Y41" s="115" t="str" cm="1">
        <f t="array" aca="1" ref="Y41" ca="1">IFERROR(INDEX(LKTN!$D$3:$D$1000,
SMALL(
IF((LKTN!$Q$3:$Q$1000&lt;&gt;"")*(LKTN!$Q$3:$Q$1000&lt;&gt;"Not Due"),
ROW(LKTN!$Q$3:$Q$1000)-ROW(LKTN!$Q$3)+1),
ROWS(A$2:A41))),"")</f>
        <v/>
      </c>
      <c r="Z41" s="116" t="str" cm="1">
        <f t="array" aca="1" ref="Z41" ca="1">IFERROR(INDEX(LKTN!$G$3:$G$1000,
SMALL(
IF((LKTN!$Q$3:$Q$1000&lt;&gt;"")*(LKTN!$Q$3:$Q$1000&lt;&gt;"Not Due"),
ROW(LKTN!$Q$3:$Q$1000)-ROW(LKTN!$Q$3)+1),
ROWS(A$2:A41))),"")</f>
        <v/>
      </c>
      <c r="AA41" s="64" t="str" cm="1">
        <f t="array" aca="1" ref="AA41" ca="1">IFERROR(INDEX(LKTN!$Q$3:$Q$1000,
SMALL(
IF((LKTN!$Q$3:$Q$1000&lt;&gt;"")*(LKTN!$Q$3:$Q$1000&lt;&gt;"Not Due"),
ROW(LKTN!$Q$3:$Q$1000)-ROW(LKTN!$Q$3)+1),
ROWS(A$2:A41))
),"")</f>
        <v/>
      </c>
      <c r="AJ41" s="115">
        <v>40</v>
      </c>
      <c r="AK41" s="123" t="str" cm="1">
        <f t="array" aca="1" ref="AK41" ca="1">IFERROR(INDEX(ISN!$E$3:$E$1000,
SMALL(
IF((ISN!$Q$3:$Q$1000&lt;&gt;"")*(ISN!$Q$3:$Q$1000&lt;&gt;"Not Due"),
ROW(ISN!$Q$3:$Q$1000)-ROW(ISN!$Q$3)+1),
ROWS(A$2:A41))),"")</f>
        <v/>
      </c>
      <c r="AL41" s="115" t="str" cm="1">
        <f t="array" aca="1" ref="AL41" ca="1">IFERROR(INDEX(ISN!$B$3:$B$1000,
SMALL(
IF((ISN!$Q$3:$Q$1000&lt;&gt;"")*(ISN!$Q$3:$Q$1000&lt;&gt;"Not Due"),
ROW(ISN!$Q$3:$Q$1000)-ROW(ISN!$Q$3)+1),
ROWS(A$2:A41))),"")</f>
        <v/>
      </c>
      <c r="AM41" s="116" t="str" cm="1">
        <f t="array" aca="1" ref="AM41" ca="1">IFERROR(INDEX(ISN!$D$3:$D$1000,
SMALL(
IF((ISN!$Q$3:$Q$1000&lt;&gt;"")*(ISN!$Q$3:$Q$1000&lt;&gt;"Not Due"),
ROW(ISN!$Q$3:$Q$1000)-ROW(ISN!$Q$3)+1),
ROWS(A$2:A41))),"")</f>
        <v/>
      </c>
      <c r="AN41" s="116" t="str" cm="1">
        <f t="array" aca="1" ref="AN41" ca="1">IFERROR(INDEX(ISN!$G$3:$G$1000,
SMALL(
IF((ISN!$Q$3:$Q$1000&lt;&gt;"")*(ISN!$Q$3:$Q$1000&lt;&gt;"Not Due"),
ROW(ISN!$Q$3:$Q$1000)-ROW(ISN!$Q$3)+1),
ROWS(A$2:A41))),"")</f>
        <v/>
      </c>
      <c r="AO41" s="64" t="str" cm="1">
        <f t="array" aca="1" ref="AO41" ca="1">IFERROR(INDEX(ISN!$Q$3:$Q$1000,
SMALL(
IF((ISN!$Q$3:$Q$1000&lt;&gt;"")*(ISN!$Q$3:$Q$1000&lt;&gt;"Not Due"),
ROW(ISN!$Q$3:$Q$1000)-ROW(ISN!$Q$3)+1),
ROWS(A$2:A41))
),"")</f>
        <v/>
      </c>
      <c r="AQ41" s="115">
        <v>40</v>
      </c>
      <c r="AR41" s="124" t="str" cm="1">
        <f t="array" aca="1" ref="AR41" ca="1">IFERROR(INDEX(MSN!$E$3:$E$1000,
SMALL(
IF((MSN!$Q$3:$Q$1000&lt;&gt;"")*(MSN!$Q$3:$Q$1000&lt;&gt;"Not Due"),
ROW(MSN!$Q$3:$Q$1000)-ROW(MSN!$Q$3)+1),
ROWS(A$2:A41))),"")</f>
        <v/>
      </c>
      <c r="AS41" s="115" t="str" cm="1">
        <f t="array" aca="1" ref="AS41" ca="1">IFERROR(INDEX(MSN!$B$3:$B$1000,
SMALL(
IF((MSN!$Q$3:$Q$1000&lt;&gt;"")*(MSN!$Q$3:$Q$1000&lt;&gt;"Not Due"),
ROW(MSN!$Q$3:$Q$1000)-ROW(MSN!$Q$3)+1),
ROWS(A$2:A41))),"")</f>
        <v/>
      </c>
      <c r="AT41" s="115" t="str" cm="1">
        <f t="array" aca="1" ref="AT41" ca="1">IFERROR(INDEX(MSN!$D$3:$D$1000,
SMALL(
IF((MSN!$Q$3:$Q$1000&lt;&gt;"")*(MSN!$Q$3:$Q$1000&lt;&gt;"Not Due"),
ROW(MSN!$Q$3:$Q$1000)-ROW(MSN!$Q$3)+1),
ROWS(A$2:A41))),"")</f>
        <v/>
      </c>
      <c r="AU41" s="116" t="str" cm="1">
        <f t="array" aca="1" ref="AU41" ca="1">IFERROR(INDEX(MSN!$G$3:$G$1000,
SMALL(
IF((MSN!$Q$3:$Q$1000&lt;&gt;"")*(MSN!$Q$3:$Q$1000&lt;&gt;"Not Due"),
ROW(MSN!$Q$3:$Q$1000)-ROW(MSN!$Q$3)+1),
ROWS(A$2:A41))),"")</f>
        <v/>
      </c>
      <c r="AV41" s="64" t="str" cm="1">
        <f t="array" aca="1" ref="AV41" ca="1">IFERROR(INDEX(MSN!$Q$3:$Q$1000,
SMALL(
IF((MSN!$Q$3:$Q$1000&lt;&gt;"")*(MSN!$Q$3:$Q$1000&lt;&gt;"Not Due"),
ROW(MSN!$Q$3:$Q$1000)-ROW(MSN!$Q$3)+1),
ROWS(A$2:A41))
),"")</f>
        <v/>
      </c>
    </row>
    <row r="42" spans="1:48" x14ac:dyDescent="0.3">
      <c r="A42" s="115">
        <v>41</v>
      </c>
      <c r="B42" s="118" t="str" cm="1">
        <f t="array" aca="1" ref="B42" ca="1">IFERROR(INDEX(FRIM!$E$3:$E$1000,
SMALL(IF(FRIM!$Q$3:$Q$1000&lt;&gt;"",
ROW(FRIM!$Q$3:$Q$1000)-ROW(FRIM!$Q$3)+1),
ROWS(A$2:A42))),"")</f>
        <v/>
      </c>
      <c r="C42" s="116" t="str" cm="1">
        <f t="array" aca="1" ref="C42" ca="1">IFERROR(INDEX(FRIM!$B$3:$B$1000,
SMALL(IF(FRIM!$Q$3:$Q$1000&lt;&gt;"",
ROW(FRIM!$Q$3:$Q$1000)-ROW(FRIM!$Q$3)+1),
ROWS(A$2:A42))),"")</f>
        <v/>
      </c>
      <c r="D42" s="116" t="str" cm="1">
        <f t="array" aca="1" ref="D42" ca="1">IFERROR(INDEX(FRIM!$D$3:$D$1000,
SMALL(IF(FRIM!$Q$3:$Q$1000&lt;&gt;"",
ROW(FRIM!$Q$3:$Q$1000)-ROW(FRIM!$Q$3)+1),
ROWS(A$2:A42))),"")</f>
        <v/>
      </c>
      <c r="E42" s="116" t="str" cm="1">
        <f t="array" aca="1" ref="E42" ca="1">IFERROR(INDEX(FRIM!$G$3:$G$1000,
SMALL(IF(FRIM!$Q$3:$Q$1000&lt;&gt;"",
ROW(FRIM!$Q$3:$Q$1000)-ROW(FRIM!$Q$3)+1),
ROWS(A$2:A42))),"")</f>
        <v/>
      </c>
      <c r="F42" s="88" t="str" cm="1">
        <f t="array" aca="1" ref="F42" ca="1">IFERROR(INDEX(FRIM!$Q$3:$Q$1000,
SMALL(IF(FRIM!$Q$3:$Q$1000&lt;&gt;"",
ROW(FRIM!$Q$3:$Q$1000)-ROW(FRIM!$Q$3)+1),
ROWS(A$2:A42))),"")</f>
        <v/>
      </c>
      <c r="H42" s="115">
        <v>41</v>
      </c>
      <c r="I42" s="119" t="str" cm="1">
        <f t="array" aca="1" ref="I42" ca="1">IFERROR(INDEX(MTIB!$E$3:$E$1000,
SMALL(
IF((MTIB!$Q$3:$Q$1000&lt;&gt;"")*(MTIB!$Q$3:$Q$1000&lt;&gt;"Not Due"),
ROW(MTIB!$Q$3:$Q$1000)-ROW(MTIB!$Q$3)+1),
ROWS(A$2:A42))),"")</f>
        <v/>
      </c>
      <c r="J42" s="115" t="str" cm="1">
        <f t="array" aca="1" ref="J42" ca="1">IFERROR(INDEX(MTIB!$B$3:$B$1000,
SMALL(
IF((MTIB!$Q$3:$Q$1000&lt;&gt;"")*(MTIB!$Q$3:$Q$1000&lt;&gt;"Not Due"),
ROW(MTIB!$Q$3:$Q$1000)-ROW(MTIB!$Q$3)+1),
ROWS(A$2:A42))),"")</f>
        <v/>
      </c>
      <c r="K42" s="115" t="str" cm="1">
        <f t="array" aca="1" ref="K42" ca="1">IFERROR(INDEX(MTIB!$D$3:$D$1000,
SMALL(
IF((MTIB!$Q$3:$Q$1000&lt;&gt;"")*(MTIB!$Q$3:$Q$1000&lt;&gt;"Not Due"),
ROW(MTIB!$Q$3:$Q$1000)-ROW(MTIB!$Q$3)+1),
ROWS(A$2:A42))),"")</f>
        <v/>
      </c>
      <c r="L42" s="116" t="str" cm="1">
        <f t="array" aca="1" ref="L42" ca="1">IFERROR(INDEX(MTIB!$G$3:$G$1000,
SMALL(
IF((MTIB!$Q$3:$Q$1000&lt;&gt;"")*(MTIB!$Q$3:$Q$1000&lt;&gt;"Not Due"),
ROW(MTIB!$Q$3:$Q$1000)-ROW(MTIB!$Q$3)+1),
ROWS(A$2:A42))),"")</f>
        <v/>
      </c>
      <c r="M42" s="88" t="str" cm="1">
        <f t="array" aca="1" ref="M42" ca="1">IFERROR(INDEX(MTIB!$Q$3:$Q$1000,
SMALL(
IF((MTIB!$Q$3:$Q$1000&lt;&gt;"")*(MTIB!$Q$3:$Q$1000&lt;&gt;"Not Due"),
ROW(MTIB!$Q$3:$Q$1000)-ROW(MTIB!$Q$3)+1),
ROWS(A$2:A42))
),"")</f>
        <v/>
      </c>
      <c r="O42" s="115">
        <v>41</v>
      </c>
      <c r="P42" s="120" t="str" cm="1">
        <f t="array" aca="1" ref="P42" ca="1">IFERROR(INDEX(MPOB!$E$3:$E$1000,
SMALL(
IF((MPOB!$Q$3:$Q$1000&lt;&gt;"")*(MPOB!$Q$3:$Q$1000&lt;&gt;"Not Due"),
ROW(MPOB!$Q$3:$Q$1000)-ROW(MPOB!$Q$3)+1),
ROWS(A$2:A42))),"")</f>
        <v/>
      </c>
      <c r="Q42" s="115" t="str" cm="1">
        <f t="array" aca="1" ref="Q42" ca="1">IFERROR(INDEX(MPOB!$B$3:$B$1000,
SMALL(
IF((MPOB!$Q$3:$Q$1000&lt;&gt;"")*(MPOB!$Q$3:$Q$1000&lt;&gt;"Not Due"),
ROW(MPOB!$Q$3:$Q$1000)-ROW(MPOB!$Q$3)+1),
ROWS(A$2:A42))),"")</f>
        <v/>
      </c>
      <c r="R42" s="115" t="str" cm="1">
        <f t="array" aca="1" ref="R42" ca="1">IFERROR(INDEX(MPOB!$D$3:$D$1000,
SMALL(
IF((MPOB!$Q$3:$Q$1000&lt;&gt;"")*(MPOB!$Q$3:$Q$1000&lt;&gt;"Not Due"),
ROW(MPOB!$Q$3:$Q$1000)-ROW(MPOB!$Q$3)+1),
ROWS(A$2:A42))),"")</f>
        <v/>
      </c>
      <c r="S42" s="116" t="str" cm="1">
        <f t="array" aca="1" ref="S42" ca="1">IFERROR(INDEX(MPOB!$G$3:$G$1000,
SMALL(
IF((MPOB!$Q$3:$Q$1000&lt;&gt;"")*(MPOB!$Q$3:$Q$1000&lt;&gt;"Not Due"),
ROW(MPOB!$Q$3:$Q$1000)-ROW(MPOB!$Q$3)+1),
ROWS(A$2:A42))),"")</f>
        <v/>
      </c>
      <c r="T42" s="88" t="str" cm="1">
        <f t="array" aca="1" ref="T42" ca="1">IFERROR(INDEX(MPOB!$Q$3:$Q$1000,
SMALL(
IF((MPOB!$Q$3:$Q$1000&lt;&gt;"")*(MPOB!$Q$3:$Q$1000&lt;&gt;"Not Due"),
ROW(MPOB!$Q$3:$Q$1000)-ROW(MPOB!$Q$3)+1),
ROWS(A$2:A42))
),"")</f>
        <v/>
      </c>
      <c r="V42" s="115">
        <v>41</v>
      </c>
      <c r="W42" s="121" t="str" cm="1">
        <f t="array" aca="1" ref="W42" ca="1">IFERROR(INDEX(LKTN!$E$3:$E$1000,
SMALL(
IF((LKTN!$Q$3:$Q$1000&lt;&gt;"")*(LKTN!$Q$3:$Q$1000&lt;&gt;"Not Due"),
ROW(LKTN!$Q$3:$Q$1000)-ROW(LKTN!$Q$3)+1),
ROWS(A$2:A42))),"")</f>
        <v/>
      </c>
      <c r="X42" s="115" t="str" cm="1">
        <f t="array" aca="1" ref="X42" ca="1">IFERROR(INDEX(LKTN!$B$3:$B$1000,
SMALL(
IF((LKTN!$Q$3:$Q$1000&lt;&gt;"")*(LKTN!$Q$3:$Q$1000&lt;&gt;"Not Due"),
ROW(LKTN!$Q$3:$Q$1000)-ROW(LKTN!$Q$3)+1),
ROWS(A$2:A42))),"")</f>
        <v/>
      </c>
      <c r="Y42" s="115" t="str" cm="1">
        <f t="array" aca="1" ref="Y42" ca="1">IFERROR(INDEX(LKTN!$D$3:$D$1000,
SMALL(
IF((LKTN!$Q$3:$Q$1000&lt;&gt;"")*(LKTN!$Q$3:$Q$1000&lt;&gt;"Not Due"),
ROW(LKTN!$Q$3:$Q$1000)-ROW(LKTN!$Q$3)+1),
ROWS(A$2:A42))),"")</f>
        <v/>
      </c>
      <c r="Z42" s="116" t="str" cm="1">
        <f t="array" aca="1" ref="Z42" ca="1">IFERROR(INDEX(LKTN!$G$3:$G$1000,
SMALL(
IF((LKTN!$Q$3:$Q$1000&lt;&gt;"")*(LKTN!$Q$3:$Q$1000&lt;&gt;"Not Due"),
ROW(LKTN!$Q$3:$Q$1000)-ROW(LKTN!$Q$3)+1),
ROWS(A$2:A42))),"")</f>
        <v/>
      </c>
      <c r="AA42" s="64" t="str" cm="1">
        <f t="array" aca="1" ref="AA42" ca="1">IFERROR(INDEX(LKTN!$Q$3:$Q$1000,
SMALL(
IF((LKTN!$Q$3:$Q$1000&lt;&gt;"")*(LKTN!$Q$3:$Q$1000&lt;&gt;"Not Due"),
ROW(LKTN!$Q$3:$Q$1000)-ROW(LKTN!$Q$3)+1),
ROWS(A$2:A42))
),"")</f>
        <v/>
      </c>
      <c r="AJ42" s="115">
        <v>41</v>
      </c>
      <c r="AK42" s="123" t="str" cm="1">
        <f t="array" aca="1" ref="AK42" ca="1">IFERROR(INDEX(ISN!$E$3:$E$1000,
SMALL(
IF((ISN!$Q$3:$Q$1000&lt;&gt;"")*(ISN!$Q$3:$Q$1000&lt;&gt;"Not Due"),
ROW(ISN!$Q$3:$Q$1000)-ROW(ISN!$Q$3)+1),
ROWS(A$2:A42))),"")</f>
        <v/>
      </c>
      <c r="AL42" s="115" t="str" cm="1">
        <f t="array" aca="1" ref="AL42" ca="1">IFERROR(INDEX(ISN!$B$3:$B$1000,
SMALL(
IF((ISN!$Q$3:$Q$1000&lt;&gt;"")*(ISN!$Q$3:$Q$1000&lt;&gt;"Not Due"),
ROW(ISN!$Q$3:$Q$1000)-ROW(ISN!$Q$3)+1),
ROWS(A$2:A42))),"")</f>
        <v/>
      </c>
      <c r="AM42" s="116" t="str" cm="1">
        <f t="array" aca="1" ref="AM42" ca="1">IFERROR(INDEX(ISN!$D$3:$D$1000,
SMALL(
IF((ISN!$Q$3:$Q$1000&lt;&gt;"")*(ISN!$Q$3:$Q$1000&lt;&gt;"Not Due"),
ROW(ISN!$Q$3:$Q$1000)-ROW(ISN!$Q$3)+1),
ROWS(A$2:A42))),"")</f>
        <v/>
      </c>
      <c r="AN42" s="116" t="str" cm="1">
        <f t="array" aca="1" ref="AN42" ca="1">IFERROR(INDEX(ISN!$G$3:$G$1000,
SMALL(
IF((ISN!$Q$3:$Q$1000&lt;&gt;"")*(ISN!$Q$3:$Q$1000&lt;&gt;"Not Due"),
ROW(ISN!$Q$3:$Q$1000)-ROW(ISN!$Q$3)+1),
ROWS(A$2:A42))),"")</f>
        <v/>
      </c>
      <c r="AO42" s="64" t="str" cm="1">
        <f t="array" aca="1" ref="AO42" ca="1">IFERROR(INDEX(ISN!$Q$3:$Q$1000,
SMALL(
IF((ISN!$Q$3:$Q$1000&lt;&gt;"")*(ISN!$Q$3:$Q$1000&lt;&gt;"Not Due"),
ROW(ISN!$Q$3:$Q$1000)-ROW(ISN!$Q$3)+1),
ROWS(A$2:A42))
),"")</f>
        <v/>
      </c>
      <c r="AQ42" s="115">
        <v>41</v>
      </c>
      <c r="AR42" s="124" t="str" cm="1">
        <f t="array" aca="1" ref="AR42" ca="1">IFERROR(INDEX(MSN!$E$3:$E$1000,
SMALL(
IF((MSN!$Q$3:$Q$1000&lt;&gt;"")*(MSN!$Q$3:$Q$1000&lt;&gt;"Not Due"),
ROW(MSN!$Q$3:$Q$1000)-ROW(MSN!$Q$3)+1),
ROWS(A$2:A42))),"")</f>
        <v/>
      </c>
      <c r="AS42" s="115" t="str" cm="1">
        <f t="array" aca="1" ref="AS42" ca="1">IFERROR(INDEX(MSN!$B$3:$B$1000,
SMALL(
IF((MSN!$Q$3:$Q$1000&lt;&gt;"")*(MSN!$Q$3:$Q$1000&lt;&gt;"Not Due"),
ROW(MSN!$Q$3:$Q$1000)-ROW(MSN!$Q$3)+1),
ROWS(A$2:A42))),"")</f>
        <v/>
      </c>
      <c r="AT42" s="115" t="str" cm="1">
        <f t="array" aca="1" ref="AT42" ca="1">IFERROR(INDEX(MSN!$D$3:$D$1000,
SMALL(
IF((MSN!$Q$3:$Q$1000&lt;&gt;"")*(MSN!$Q$3:$Q$1000&lt;&gt;"Not Due"),
ROW(MSN!$Q$3:$Q$1000)-ROW(MSN!$Q$3)+1),
ROWS(A$2:A42))),"")</f>
        <v/>
      </c>
      <c r="AU42" s="116" t="str" cm="1">
        <f t="array" aca="1" ref="AU42" ca="1">IFERROR(INDEX(MSN!$G$3:$G$1000,
SMALL(
IF((MSN!$Q$3:$Q$1000&lt;&gt;"")*(MSN!$Q$3:$Q$1000&lt;&gt;"Not Due"),
ROW(MSN!$Q$3:$Q$1000)-ROW(MSN!$Q$3)+1),
ROWS(A$2:A42))),"")</f>
        <v/>
      </c>
      <c r="AV42" s="64" t="str" cm="1">
        <f t="array" aca="1" ref="AV42" ca="1">IFERROR(INDEX(MSN!$Q$3:$Q$1000,
SMALL(
IF((MSN!$Q$3:$Q$1000&lt;&gt;"")*(MSN!$Q$3:$Q$1000&lt;&gt;"Not Due"),
ROW(MSN!$Q$3:$Q$1000)-ROW(MSN!$Q$3)+1),
ROWS(A$2:A42))
),"")</f>
        <v/>
      </c>
    </row>
    <row r="43" spans="1:48" x14ac:dyDescent="0.3">
      <c r="A43" s="115">
        <v>42</v>
      </c>
      <c r="B43" s="118" t="str" cm="1">
        <f t="array" aca="1" ref="B43" ca="1">IFERROR(INDEX(FRIM!$E$3:$E$1000,
SMALL(IF(FRIM!$Q$3:$Q$1000&lt;&gt;"",
ROW(FRIM!$Q$3:$Q$1000)-ROW(FRIM!$Q$3)+1),
ROWS(A$2:A43))),"")</f>
        <v/>
      </c>
      <c r="C43" s="116" t="str" cm="1">
        <f t="array" aca="1" ref="C43" ca="1">IFERROR(INDEX(FRIM!$B$3:$B$1000,
SMALL(IF(FRIM!$Q$3:$Q$1000&lt;&gt;"",
ROW(FRIM!$Q$3:$Q$1000)-ROW(FRIM!$Q$3)+1),
ROWS(A$2:A43))),"")</f>
        <v/>
      </c>
      <c r="D43" s="116" t="str" cm="1">
        <f t="array" aca="1" ref="D43" ca="1">IFERROR(INDEX(FRIM!$D$3:$D$1000,
SMALL(IF(FRIM!$Q$3:$Q$1000&lt;&gt;"",
ROW(FRIM!$Q$3:$Q$1000)-ROW(FRIM!$Q$3)+1),
ROWS(A$2:A43))),"")</f>
        <v/>
      </c>
      <c r="E43" s="116" t="str" cm="1">
        <f t="array" aca="1" ref="E43" ca="1">IFERROR(INDEX(FRIM!$G$3:$G$1000,
SMALL(IF(FRIM!$Q$3:$Q$1000&lt;&gt;"",
ROW(FRIM!$Q$3:$Q$1000)-ROW(FRIM!$Q$3)+1),
ROWS(A$2:A43))),"")</f>
        <v/>
      </c>
      <c r="F43" s="88" t="str" cm="1">
        <f t="array" aca="1" ref="F43" ca="1">IFERROR(INDEX(FRIM!$Q$3:$Q$1000,
SMALL(IF(FRIM!$Q$3:$Q$1000&lt;&gt;"",
ROW(FRIM!$Q$3:$Q$1000)-ROW(FRIM!$Q$3)+1),
ROWS(A$2:A43))),"")</f>
        <v/>
      </c>
      <c r="H43" s="115">
        <v>42</v>
      </c>
      <c r="I43" s="119" t="str" cm="1">
        <f t="array" aca="1" ref="I43" ca="1">IFERROR(INDEX(MTIB!$E$3:$E$1000,
SMALL(
IF((MTIB!$Q$3:$Q$1000&lt;&gt;"")*(MTIB!$Q$3:$Q$1000&lt;&gt;"Not Due"),
ROW(MTIB!$Q$3:$Q$1000)-ROW(MTIB!$Q$3)+1),
ROWS(A$2:A43))),"")</f>
        <v/>
      </c>
      <c r="J43" s="115" t="str" cm="1">
        <f t="array" aca="1" ref="J43" ca="1">IFERROR(INDEX(MTIB!$B$3:$B$1000,
SMALL(
IF((MTIB!$Q$3:$Q$1000&lt;&gt;"")*(MTIB!$Q$3:$Q$1000&lt;&gt;"Not Due"),
ROW(MTIB!$Q$3:$Q$1000)-ROW(MTIB!$Q$3)+1),
ROWS(A$2:A43))),"")</f>
        <v/>
      </c>
      <c r="K43" s="115" t="str" cm="1">
        <f t="array" aca="1" ref="K43" ca="1">IFERROR(INDEX(MTIB!$D$3:$D$1000,
SMALL(
IF((MTIB!$Q$3:$Q$1000&lt;&gt;"")*(MTIB!$Q$3:$Q$1000&lt;&gt;"Not Due"),
ROW(MTIB!$Q$3:$Q$1000)-ROW(MTIB!$Q$3)+1),
ROWS(A$2:A43))),"")</f>
        <v/>
      </c>
      <c r="L43" s="116" t="str" cm="1">
        <f t="array" aca="1" ref="L43" ca="1">IFERROR(INDEX(MTIB!$G$3:$G$1000,
SMALL(
IF((MTIB!$Q$3:$Q$1000&lt;&gt;"")*(MTIB!$Q$3:$Q$1000&lt;&gt;"Not Due"),
ROW(MTIB!$Q$3:$Q$1000)-ROW(MTIB!$Q$3)+1),
ROWS(A$2:A43))),"")</f>
        <v/>
      </c>
      <c r="M43" s="88" t="str" cm="1">
        <f t="array" aca="1" ref="M43" ca="1">IFERROR(INDEX(MTIB!$Q$3:$Q$1000,
SMALL(
IF((MTIB!$Q$3:$Q$1000&lt;&gt;"")*(MTIB!$Q$3:$Q$1000&lt;&gt;"Not Due"),
ROW(MTIB!$Q$3:$Q$1000)-ROW(MTIB!$Q$3)+1),
ROWS(A$2:A43))
),"")</f>
        <v/>
      </c>
      <c r="O43" s="115">
        <v>42</v>
      </c>
      <c r="P43" s="120" t="str" cm="1">
        <f t="array" aca="1" ref="P43" ca="1">IFERROR(INDEX(MPOB!$E$3:$E$1000,
SMALL(
IF((MPOB!$Q$3:$Q$1000&lt;&gt;"")*(MPOB!$Q$3:$Q$1000&lt;&gt;"Not Due"),
ROW(MPOB!$Q$3:$Q$1000)-ROW(MPOB!$Q$3)+1),
ROWS(A$2:A43))),"")</f>
        <v/>
      </c>
      <c r="Q43" s="115" t="str" cm="1">
        <f t="array" aca="1" ref="Q43" ca="1">IFERROR(INDEX(MPOB!$B$3:$B$1000,
SMALL(
IF((MPOB!$Q$3:$Q$1000&lt;&gt;"")*(MPOB!$Q$3:$Q$1000&lt;&gt;"Not Due"),
ROW(MPOB!$Q$3:$Q$1000)-ROW(MPOB!$Q$3)+1),
ROWS(A$2:A43))),"")</f>
        <v/>
      </c>
      <c r="R43" s="115" t="str" cm="1">
        <f t="array" aca="1" ref="R43" ca="1">IFERROR(INDEX(MPOB!$D$3:$D$1000,
SMALL(
IF((MPOB!$Q$3:$Q$1000&lt;&gt;"")*(MPOB!$Q$3:$Q$1000&lt;&gt;"Not Due"),
ROW(MPOB!$Q$3:$Q$1000)-ROW(MPOB!$Q$3)+1),
ROWS(A$2:A43))),"")</f>
        <v/>
      </c>
      <c r="S43" s="116" t="str" cm="1">
        <f t="array" aca="1" ref="S43" ca="1">IFERROR(INDEX(MPOB!$G$3:$G$1000,
SMALL(
IF((MPOB!$Q$3:$Q$1000&lt;&gt;"")*(MPOB!$Q$3:$Q$1000&lt;&gt;"Not Due"),
ROW(MPOB!$Q$3:$Q$1000)-ROW(MPOB!$Q$3)+1),
ROWS(A$2:A43))),"")</f>
        <v/>
      </c>
      <c r="T43" s="88" t="str" cm="1">
        <f t="array" aca="1" ref="T43" ca="1">IFERROR(INDEX(MPOB!$Q$3:$Q$1000,
SMALL(
IF((MPOB!$Q$3:$Q$1000&lt;&gt;"")*(MPOB!$Q$3:$Q$1000&lt;&gt;"Not Due"),
ROW(MPOB!$Q$3:$Q$1000)-ROW(MPOB!$Q$3)+1),
ROWS(A$2:A43))
),"")</f>
        <v/>
      </c>
      <c r="V43" s="115">
        <v>42</v>
      </c>
      <c r="W43" s="121" t="str" cm="1">
        <f t="array" aca="1" ref="W43" ca="1">IFERROR(INDEX(LKTN!$E$3:$E$1000,
SMALL(
IF((LKTN!$Q$3:$Q$1000&lt;&gt;"")*(LKTN!$Q$3:$Q$1000&lt;&gt;"Not Due"),
ROW(LKTN!$Q$3:$Q$1000)-ROW(LKTN!$Q$3)+1),
ROWS(A$2:A43))),"")</f>
        <v/>
      </c>
      <c r="X43" s="115" t="str" cm="1">
        <f t="array" aca="1" ref="X43" ca="1">IFERROR(INDEX(LKTN!$B$3:$B$1000,
SMALL(
IF((LKTN!$Q$3:$Q$1000&lt;&gt;"")*(LKTN!$Q$3:$Q$1000&lt;&gt;"Not Due"),
ROW(LKTN!$Q$3:$Q$1000)-ROW(LKTN!$Q$3)+1),
ROWS(A$2:A43))),"")</f>
        <v/>
      </c>
      <c r="Y43" s="115" t="str" cm="1">
        <f t="array" aca="1" ref="Y43" ca="1">IFERROR(INDEX(LKTN!$D$3:$D$1000,
SMALL(
IF((LKTN!$Q$3:$Q$1000&lt;&gt;"")*(LKTN!$Q$3:$Q$1000&lt;&gt;"Not Due"),
ROW(LKTN!$Q$3:$Q$1000)-ROW(LKTN!$Q$3)+1),
ROWS(A$2:A43))),"")</f>
        <v/>
      </c>
      <c r="Z43" s="116" t="str" cm="1">
        <f t="array" aca="1" ref="Z43" ca="1">IFERROR(INDEX(LKTN!$G$3:$G$1000,
SMALL(
IF((LKTN!$Q$3:$Q$1000&lt;&gt;"")*(LKTN!$Q$3:$Q$1000&lt;&gt;"Not Due"),
ROW(LKTN!$Q$3:$Q$1000)-ROW(LKTN!$Q$3)+1),
ROWS(A$2:A43))),"")</f>
        <v/>
      </c>
      <c r="AA43" s="64" t="str" cm="1">
        <f t="array" aca="1" ref="AA43" ca="1">IFERROR(INDEX(LKTN!$Q$3:$Q$1000,
SMALL(
IF((LKTN!$Q$3:$Q$1000&lt;&gt;"")*(LKTN!$Q$3:$Q$1000&lt;&gt;"Not Due"),
ROW(LKTN!$Q$3:$Q$1000)-ROW(LKTN!$Q$3)+1),
ROWS(A$2:A43))
),"")</f>
        <v/>
      </c>
      <c r="AJ43" s="115">
        <v>42</v>
      </c>
      <c r="AK43" s="123" t="str" cm="1">
        <f t="array" aca="1" ref="AK43" ca="1">IFERROR(INDEX(ISN!$E$3:$E$1000,
SMALL(
IF((ISN!$Q$3:$Q$1000&lt;&gt;"")*(ISN!$Q$3:$Q$1000&lt;&gt;"Not Due"),
ROW(ISN!$Q$3:$Q$1000)-ROW(ISN!$Q$3)+1),
ROWS(A$2:A43))),"")</f>
        <v/>
      </c>
      <c r="AL43" s="115" t="str" cm="1">
        <f t="array" aca="1" ref="AL43" ca="1">IFERROR(INDEX(ISN!$B$3:$B$1000,
SMALL(
IF((ISN!$Q$3:$Q$1000&lt;&gt;"")*(ISN!$Q$3:$Q$1000&lt;&gt;"Not Due"),
ROW(ISN!$Q$3:$Q$1000)-ROW(ISN!$Q$3)+1),
ROWS(A$2:A43))),"")</f>
        <v/>
      </c>
      <c r="AM43" s="116" t="str" cm="1">
        <f t="array" aca="1" ref="AM43" ca="1">IFERROR(INDEX(ISN!$D$3:$D$1000,
SMALL(
IF((ISN!$Q$3:$Q$1000&lt;&gt;"")*(ISN!$Q$3:$Q$1000&lt;&gt;"Not Due"),
ROW(ISN!$Q$3:$Q$1000)-ROW(ISN!$Q$3)+1),
ROWS(A$2:A43))),"")</f>
        <v/>
      </c>
      <c r="AN43" s="116" t="str" cm="1">
        <f t="array" aca="1" ref="AN43" ca="1">IFERROR(INDEX(ISN!$G$3:$G$1000,
SMALL(
IF((ISN!$Q$3:$Q$1000&lt;&gt;"")*(ISN!$Q$3:$Q$1000&lt;&gt;"Not Due"),
ROW(ISN!$Q$3:$Q$1000)-ROW(ISN!$Q$3)+1),
ROWS(A$2:A43))),"")</f>
        <v/>
      </c>
      <c r="AO43" s="64" t="str" cm="1">
        <f t="array" aca="1" ref="AO43" ca="1">IFERROR(INDEX(ISN!$Q$3:$Q$1000,
SMALL(
IF((ISN!$Q$3:$Q$1000&lt;&gt;"")*(ISN!$Q$3:$Q$1000&lt;&gt;"Not Due"),
ROW(ISN!$Q$3:$Q$1000)-ROW(ISN!$Q$3)+1),
ROWS(A$2:A43))
),"")</f>
        <v/>
      </c>
      <c r="AQ43" s="115">
        <v>42</v>
      </c>
      <c r="AR43" s="124" t="str" cm="1">
        <f t="array" aca="1" ref="AR43" ca="1">IFERROR(INDEX(MSN!$E$3:$E$1000,
SMALL(
IF((MSN!$Q$3:$Q$1000&lt;&gt;"")*(MSN!$Q$3:$Q$1000&lt;&gt;"Not Due"),
ROW(MSN!$Q$3:$Q$1000)-ROW(MSN!$Q$3)+1),
ROWS(A$2:A43))),"")</f>
        <v/>
      </c>
      <c r="AS43" s="115" t="str" cm="1">
        <f t="array" aca="1" ref="AS43" ca="1">IFERROR(INDEX(MSN!$B$3:$B$1000,
SMALL(
IF((MSN!$Q$3:$Q$1000&lt;&gt;"")*(MSN!$Q$3:$Q$1000&lt;&gt;"Not Due"),
ROW(MSN!$Q$3:$Q$1000)-ROW(MSN!$Q$3)+1),
ROWS(A$2:A43))),"")</f>
        <v/>
      </c>
      <c r="AT43" s="115" t="str" cm="1">
        <f t="array" aca="1" ref="AT43" ca="1">IFERROR(INDEX(MSN!$D$3:$D$1000,
SMALL(
IF((MSN!$Q$3:$Q$1000&lt;&gt;"")*(MSN!$Q$3:$Q$1000&lt;&gt;"Not Due"),
ROW(MSN!$Q$3:$Q$1000)-ROW(MSN!$Q$3)+1),
ROWS(A$2:A43))),"")</f>
        <v/>
      </c>
      <c r="AU43" s="116" t="str" cm="1">
        <f t="array" aca="1" ref="AU43" ca="1">IFERROR(INDEX(MSN!$G$3:$G$1000,
SMALL(
IF((MSN!$Q$3:$Q$1000&lt;&gt;"")*(MSN!$Q$3:$Q$1000&lt;&gt;"Not Due"),
ROW(MSN!$Q$3:$Q$1000)-ROW(MSN!$Q$3)+1),
ROWS(A$2:A43))),"")</f>
        <v/>
      </c>
      <c r="AV43" s="64" t="str" cm="1">
        <f t="array" aca="1" ref="AV43" ca="1">IFERROR(INDEX(MSN!$Q$3:$Q$1000,
SMALL(
IF((MSN!$Q$3:$Q$1000&lt;&gt;"")*(MSN!$Q$3:$Q$1000&lt;&gt;"Not Due"),
ROW(MSN!$Q$3:$Q$1000)-ROW(MSN!$Q$3)+1),
ROWS(A$2:A43))
),"")</f>
        <v/>
      </c>
    </row>
    <row r="44" spans="1:48" x14ac:dyDescent="0.3">
      <c r="A44" s="115">
        <v>43</v>
      </c>
      <c r="B44" s="118" t="str" cm="1">
        <f t="array" aca="1" ref="B44" ca="1">IFERROR(INDEX(FRIM!$E$3:$E$1000,
SMALL(IF(FRIM!$Q$3:$Q$1000&lt;&gt;"",
ROW(FRIM!$Q$3:$Q$1000)-ROW(FRIM!$Q$3)+1),
ROWS(A$2:A44))),"")</f>
        <v/>
      </c>
      <c r="C44" s="116" t="str" cm="1">
        <f t="array" aca="1" ref="C44" ca="1">IFERROR(INDEX(FRIM!$B$3:$B$1000,
SMALL(IF(FRIM!$Q$3:$Q$1000&lt;&gt;"",
ROW(FRIM!$Q$3:$Q$1000)-ROW(FRIM!$Q$3)+1),
ROWS(A$2:A44))),"")</f>
        <v/>
      </c>
      <c r="D44" s="116" t="str" cm="1">
        <f t="array" aca="1" ref="D44" ca="1">IFERROR(INDEX(FRIM!$D$3:$D$1000,
SMALL(IF(FRIM!$Q$3:$Q$1000&lt;&gt;"",
ROW(FRIM!$Q$3:$Q$1000)-ROW(FRIM!$Q$3)+1),
ROWS(A$2:A44))),"")</f>
        <v/>
      </c>
      <c r="E44" s="116" t="str" cm="1">
        <f t="array" aca="1" ref="E44" ca="1">IFERROR(INDEX(FRIM!$G$3:$G$1000,
SMALL(IF(FRIM!$Q$3:$Q$1000&lt;&gt;"",
ROW(FRIM!$Q$3:$Q$1000)-ROW(FRIM!$Q$3)+1),
ROWS(A$2:A44))),"")</f>
        <v/>
      </c>
      <c r="F44" s="88" t="str" cm="1">
        <f t="array" aca="1" ref="F44" ca="1">IFERROR(INDEX(FRIM!$Q$3:$Q$1000,
SMALL(IF(FRIM!$Q$3:$Q$1000&lt;&gt;"",
ROW(FRIM!$Q$3:$Q$1000)-ROW(FRIM!$Q$3)+1),
ROWS(A$2:A44))),"")</f>
        <v/>
      </c>
      <c r="H44" s="115">
        <v>43</v>
      </c>
      <c r="I44" s="119" t="str" cm="1">
        <f t="array" aca="1" ref="I44" ca="1">IFERROR(INDEX(MTIB!$E$3:$E$1000,
SMALL(
IF((MTIB!$Q$3:$Q$1000&lt;&gt;"")*(MTIB!$Q$3:$Q$1000&lt;&gt;"Not Due"),
ROW(MTIB!$Q$3:$Q$1000)-ROW(MTIB!$Q$3)+1),
ROWS(A$2:A44))),"")</f>
        <v/>
      </c>
      <c r="J44" s="115" t="str" cm="1">
        <f t="array" aca="1" ref="J44" ca="1">IFERROR(INDEX(MTIB!$B$3:$B$1000,
SMALL(
IF((MTIB!$Q$3:$Q$1000&lt;&gt;"")*(MTIB!$Q$3:$Q$1000&lt;&gt;"Not Due"),
ROW(MTIB!$Q$3:$Q$1000)-ROW(MTIB!$Q$3)+1),
ROWS(A$2:A44))),"")</f>
        <v/>
      </c>
      <c r="K44" s="115" t="str" cm="1">
        <f t="array" aca="1" ref="K44" ca="1">IFERROR(INDEX(MTIB!$D$3:$D$1000,
SMALL(
IF((MTIB!$Q$3:$Q$1000&lt;&gt;"")*(MTIB!$Q$3:$Q$1000&lt;&gt;"Not Due"),
ROW(MTIB!$Q$3:$Q$1000)-ROW(MTIB!$Q$3)+1),
ROWS(A$2:A44))),"")</f>
        <v/>
      </c>
      <c r="L44" s="116" t="str" cm="1">
        <f t="array" aca="1" ref="L44" ca="1">IFERROR(INDEX(MTIB!$G$3:$G$1000,
SMALL(
IF((MTIB!$Q$3:$Q$1000&lt;&gt;"")*(MTIB!$Q$3:$Q$1000&lt;&gt;"Not Due"),
ROW(MTIB!$Q$3:$Q$1000)-ROW(MTIB!$Q$3)+1),
ROWS(A$2:A44))),"")</f>
        <v/>
      </c>
      <c r="M44" s="88" t="str" cm="1">
        <f t="array" aca="1" ref="M44" ca="1">IFERROR(INDEX(MTIB!$Q$3:$Q$1000,
SMALL(
IF((MTIB!$Q$3:$Q$1000&lt;&gt;"")*(MTIB!$Q$3:$Q$1000&lt;&gt;"Not Due"),
ROW(MTIB!$Q$3:$Q$1000)-ROW(MTIB!$Q$3)+1),
ROWS(A$2:A44))
),"")</f>
        <v/>
      </c>
      <c r="O44" s="115">
        <v>43</v>
      </c>
      <c r="P44" s="120" t="str" cm="1">
        <f t="array" aca="1" ref="P44" ca="1">IFERROR(INDEX(MPOB!$E$3:$E$1000,
SMALL(
IF((MPOB!$Q$3:$Q$1000&lt;&gt;"")*(MPOB!$Q$3:$Q$1000&lt;&gt;"Not Due"),
ROW(MPOB!$Q$3:$Q$1000)-ROW(MPOB!$Q$3)+1),
ROWS(A$2:A44))),"")</f>
        <v/>
      </c>
      <c r="Q44" s="115" t="str" cm="1">
        <f t="array" aca="1" ref="Q44" ca="1">IFERROR(INDEX(MPOB!$B$3:$B$1000,
SMALL(
IF((MPOB!$Q$3:$Q$1000&lt;&gt;"")*(MPOB!$Q$3:$Q$1000&lt;&gt;"Not Due"),
ROW(MPOB!$Q$3:$Q$1000)-ROW(MPOB!$Q$3)+1),
ROWS(A$2:A44))),"")</f>
        <v/>
      </c>
      <c r="R44" s="115" t="str" cm="1">
        <f t="array" aca="1" ref="R44" ca="1">IFERROR(INDEX(MPOB!$D$3:$D$1000,
SMALL(
IF((MPOB!$Q$3:$Q$1000&lt;&gt;"")*(MPOB!$Q$3:$Q$1000&lt;&gt;"Not Due"),
ROW(MPOB!$Q$3:$Q$1000)-ROW(MPOB!$Q$3)+1),
ROWS(A$2:A44))),"")</f>
        <v/>
      </c>
      <c r="S44" s="116" t="str" cm="1">
        <f t="array" aca="1" ref="S44" ca="1">IFERROR(INDEX(MPOB!$G$3:$G$1000,
SMALL(
IF((MPOB!$Q$3:$Q$1000&lt;&gt;"")*(MPOB!$Q$3:$Q$1000&lt;&gt;"Not Due"),
ROW(MPOB!$Q$3:$Q$1000)-ROW(MPOB!$Q$3)+1),
ROWS(A$2:A44))),"")</f>
        <v/>
      </c>
      <c r="T44" s="88" t="str" cm="1">
        <f t="array" aca="1" ref="T44" ca="1">IFERROR(INDEX(MPOB!$Q$3:$Q$1000,
SMALL(
IF((MPOB!$Q$3:$Q$1000&lt;&gt;"")*(MPOB!$Q$3:$Q$1000&lt;&gt;"Not Due"),
ROW(MPOB!$Q$3:$Q$1000)-ROW(MPOB!$Q$3)+1),
ROWS(A$2:A44))
),"")</f>
        <v/>
      </c>
      <c r="V44" s="115">
        <v>43</v>
      </c>
      <c r="W44" s="121" t="str" cm="1">
        <f t="array" aca="1" ref="W44" ca="1">IFERROR(INDEX(LKTN!$E$3:$E$1000,
SMALL(
IF((LKTN!$Q$3:$Q$1000&lt;&gt;"")*(LKTN!$Q$3:$Q$1000&lt;&gt;"Not Due"),
ROW(LKTN!$Q$3:$Q$1000)-ROW(LKTN!$Q$3)+1),
ROWS(A$2:A44))),"")</f>
        <v/>
      </c>
      <c r="X44" s="115" t="str" cm="1">
        <f t="array" aca="1" ref="X44" ca="1">IFERROR(INDEX(LKTN!$B$3:$B$1000,
SMALL(
IF((LKTN!$Q$3:$Q$1000&lt;&gt;"")*(LKTN!$Q$3:$Q$1000&lt;&gt;"Not Due"),
ROW(LKTN!$Q$3:$Q$1000)-ROW(LKTN!$Q$3)+1),
ROWS(A$2:A44))),"")</f>
        <v/>
      </c>
      <c r="Y44" s="115" t="str" cm="1">
        <f t="array" aca="1" ref="Y44" ca="1">IFERROR(INDEX(LKTN!$D$3:$D$1000,
SMALL(
IF((LKTN!$Q$3:$Q$1000&lt;&gt;"")*(LKTN!$Q$3:$Q$1000&lt;&gt;"Not Due"),
ROW(LKTN!$Q$3:$Q$1000)-ROW(LKTN!$Q$3)+1),
ROWS(A$2:A44))),"")</f>
        <v/>
      </c>
      <c r="Z44" s="116" t="str" cm="1">
        <f t="array" aca="1" ref="Z44" ca="1">IFERROR(INDEX(LKTN!$G$3:$G$1000,
SMALL(
IF((LKTN!$Q$3:$Q$1000&lt;&gt;"")*(LKTN!$Q$3:$Q$1000&lt;&gt;"Not Due"),
ROW(LKTN!$Q$3:$Q$1000)-ROW(LKTN!$Q$3)+1),
ROWS(A$2:A44))),"")</f>
        <v/>
      </c>
      <c r="AA44" s="64" t="str" cm="1">
        <f t="array" aca="1" ref="AA44" ca="1">IFERROR(INDEX(LKTN!$Q$3:$Q$1000,
SMALL(
IF((LKTN!$Q$3:$Q$1000&lt;&gt;"")*(LKTN!$Q$3:$Q$1000&lt;&gt;"Not Due"),
ROW(LKTN!$Q$3:$Q$1000)-ROW(LKTN!$Q$3)+1),
ROWS(A$2:A44))
),"")</f>
        <v/>
      </c>
      <c r="AJ44" s="115">
        <v>43</v>
      </c>
      <c r="AK44" s="123" t="str" cm="1">
        <f t="array" aca="1" ref="AK44" ca="1">IFERROR(INDEX(ISN!$E$3:$E$1000,
SMALL(
IF((ISN!$Q$3:$Q$1000&lt;&gt;"")*(ISN!$Q$3:$Q$1000&lt;&gt;"Not Due"),
ROW(ISN!$Q$3:$Q$1000)-ROW(ISN!$Q$3)+1),
ROWS(A$2:A44))),"")</f>
        <v/>
      </c>
      <c r="AL44" s="115" t="str" cm="1">
        <f t="array" aca="1" ref="AL44" ca="1">IFERROR(INDEX(ISN!$B$3:$B$1000,
SMALL(
IF((ISN!$Q$3:$Q$1000&lt;&gt;"")*(ISN!$Q$3:$Q$1000&lt;&gt;"Not Due"),
ROW(ISN!$Q$3:$Q$1000)-ROW(ISN!$Q$3)+1),
ROWS(A$2:A44))),"")</f>
        <v/>
      </c>
      <c r="AM44" s="116" t="str" cm="1">
        <f t="array" aca="1" ref="AM44" ca="1">IFERROR(INDEX(ISN!$D$3:$D$1000,
SMALL(
IF((ISN!$Q$3:$Q$1000&lt;&gt;"")*(ISN!$Q$3:$Q$1000&lt;&gt;"Not Due"),
ROW(ISN!$Q$3:$Q$1000)-ROW(ISN!$Q$3)+1),
ROWS(A$2:A44))),"")</f>
        <v/>
      </c>
      <c r="AN44" s="116" t="str" cm="1">
        <f t="array" aca="1" ref="AN44" ca="1">IFERROR(INDEX(ISN!$G$3:$G$1000,
SMALL(
IF((ISN!$Q$3:$Q$1000&lt;&gt;"")*(ISN!$Q$3:$Q$1000&lt;&gt;"Not Due"),
ROW(ISN!$Q$3:$Q$1000)-ROW(ISN!$Q$3)+1),
ROWS(A$2:A44))),"")</f>
        <v/>
      </c>
      <c r="AO44" s="64" t="str" cm="1">
        <f t="array" aca="1" ref="AO44" ca="1">IFERROR(INDEX(ISN!$Q$3:$Q$1000,
SMALL(
IF((ISN!$Q$3:$Q$1000&lt;&gt;"")*(ISN!$Q$3:$Q$1000&lt;&gt;"Not Due"),
ROW(ISN!$Q$3:$Q$1000)-ROW(ISN!$Q$3)+1),
ROWS(A$2:A44))
),"")</f>
        <v/>
      </c>
      <c r="AQ44" s="115">
        <v>43</v>
      </c>
      <c r="AR44" s="124" t="str" cm="1">
        <f t="array" aca="1" ref="AR44" ca="1">IFERROR(INDEX(MSN!$E$3:$E$1000,
SMALL(
IF((MSN!$Q$3:$Q$1000&lt;&gt;"")*(MSN!$Q$3:$Q$1000&lt;&gt;"Not Due"),
ROW(MSN!$Q$3:$Q$1000)-ROW(MSN!$Q$3)+1),
ROWS(A$2:A44))),"")</f>
        <v/>
      </c>
      <c r="AS44" s="115" t="str" cm="1">
        <f t="array" aca="1" ref="AS44" ca="1">IFERROR(INDEX(MSN!$B$3:$B$1000,
SMALL(
IF((MSN!$Q$3:$Q$1000&lt;&gt;"")*(MSN!$Q$3:$Q$1000&lt;&gt;"Not Due"),
ROW(MSN!$Q$3:$Q$1000)-ROW(MSN!$Q$3)+1),
ROWS(A$2:A44))),"")</f>
        <v/>
      </c>
      <c r="AT44" s="115" t="str" cm="1">
        <f t="array" aca="1" ref="AT44" ca="1">IFERROR(INDEX(MSN!$D$3:$D$1000,
SMALL(
IF((MSN!$Q$3:$Q$1000&lt;&gt;"")*(MSN!$Q$3:$Q$1000&lt;&gt;"Not Due"),
ROW(MSN!$Q$3:$Q$1000)-ROW(MSN!$Q$3)+1),
ROWS(A$2:A44))),"")</f>
        <v/>
      </c>
      <c r="AU44" s="116" t="str" cm="1">
        <f t="array" aca="1" ref="AU44" ca="1">IFERROR(INDEX(MSN!$G$3:$G$1000,
SMALL(
IF((MSN!$Q$3:$Q$1000&lt;&gt;"")*(MSN!$Q$3:$Q$1000&lt;&gt;"Not Due"),
ROW(MSN!$Q$3:$Q$1000)-ROW(MSN!$Q$3)+1),
ROWS(A$2:A44))),"")</f>
        <v/>
      </c>
      <c r="AV44" s="64" t="str" cm="1">
        <f t="array" aca="1" ref="AV44" ca="1">IFERROR(INDEX(MSN!$Q$3:$Q$1000,
SMALL(
IF((MSN!$Q$3:$Q$1000&lt;&gt;"")*(MSN!$Q$3:$Q$1000&lt;&gt;"Not Due"),
ROW(MSN!$Q$3:$Q$1000)-ROW(MSN!$Q$3)+1),
ROWS(A$2:A44))
),"")</f>
        <v/>
      </c>
    </row>
    <row r="45" spans="1:48" x14ac:dyDescent="0.3">
      <c r="A45" s="115">
        <v>44</v>
      </c>
      <c r="B45" s="118" t="str" cm="1">
        <f t="array" aca="1" ref="B45" ca="1">IFERROR(INDEX(FRIM!$E$3:$E$1000,
SMALL(IF(FRIM!$Q$3:$Q$1000&lt;&gt;"",
ROW(FRIM!$Q$3:$Q$1000)-ROW(FRIM!$Q$3)+1),
ROWS(A$2:A45))),"")</f>
        <v/>
      </c>
      <c r="C45" s="116" t="str" cm="1">
        <f t="array" aca="1" ref="C45" ca="1">IFERROR(INDEX(FRIM!$B$3:$B$1000,
SMALL(IF(FRIM!$Q$3:$Q$1000&lt;&gt;"",
ROW(FRIM!$Q$3:$Q$1000)-ROW(FRIM!$Q$3)+1),
ROWS(A$2:A45))),"")</f>
        <v/>
      </c>
      <c r="D45" s="116" t="str" cm="1">
        <f t="array" aca="1" ref="D45" ca="1">IFERROR(INDEX(FRIM!$D$3:$D$1000,
SMALL(IF(FRIM!$Q$3:$Q$1000&lt;&gt;"",
ROW(FRIM!$Q$3:$Q$1000)-ROW(FRIM!$Q$3)+1),
ROWS(A$2:A45))),"")</f>
        <v/>
      </c>
      <c r="E45" s="116" t="str" cm="1">
        <f t="array" aca="1" ref="E45" ca="1">IFERROR(INDEX(FRIM!$G$3:$G$1000,
SMALL(IF(FRIM!$Q$3:$Q$1000&lt;&gt;"",
ROW(FRIM!$Q$3:$Q$1000)-ROW(FRIM!$Q$3)+1),
ROWS(A$2:A45))),"")</f>
        <v/>
      </c>
      <c r="F45" s="88" t="str" cm="1">
        <f t="array" aca="1" ref="F45" ca="1">IFERROR(INDEX(FRIM!$Q$3:$Q$1000,
SMALL(IF(FRIM!$Q$3:$Q$1000&lt;&gt;"",
ROW(FRIM!$Q$3:$Q$1000)-ROW(FRIM!$Q$3)+1),
ROWS(A$2:A45))),"")</f>
        <v/>
      </c>
      <c r="H45" s="115">
        <v>44</v>
      </c>
      <c r="I45" s="119" t="str" cm="1">
        <f t="array" aca="1" ref="I45" ca="1">IFERROR(INDEX(MTIB!$E$3:$E$1000,
SMALL(
IF((MTIB!$Q$3:$Q$1000&lt;&gt;"")*(MTIB!$Q$3:$Q$1000&lt;&gt;"Not Due"),
ROW(MTIB!$Q$3:$Q$1000)-ROW(MTIB!$Q$3)+1),
ROWS(A$2:A45))),"")</f>
        <v/>
      </c>
      <c r="J45" s="115" t="str" cm="1">
        <f t="array" aca="1" ref="J45" ca="1">IFERROR(INDEX(MTIB!$B$3:$B$1000,
SMALL(
IF((MTIB!$Q$3:$Q$1000&lt;&gt;"")*(MTIB!$Q$3:$Q$1000&lt;&gt;"Not Due"),
ROW(MTIB!$Q$3:$Q$1000)-ROW(MTIB!$Q$3)+1),
ROWS(A$2:A45))),"")</f>
        <v/>
      </c>
      <c r="K45" s="115" t="str" cm="1">
        <f t="array" aca="1" ref="K45" ca="1">IFERROR(INDEX(MTIB!$D$3:$D$1000,
SMALL(
IF((MTIB!$Q$3:$Q$1000&lt;&gt;"")*(MTIB!$Q$3:$Q$1000&lt;&gt;"Not Due"),
ROW(MTIB!$Q$3:$Q$1000)-ROW(MTIB!$Q$3)+1),
ROWS(A$2:A45))),"")</f>
        <v/>
      </c>
      <c r="L45" s="116" t="str" cm="1">
        <f t="array" aca="1" ref="L45" ca="1">IFERROR(INDEX(MTIB!$G$3:$G$1000,
SMALL(
IF((MTIB!$Q$3:$Q$1000&lt;&gt;"")*(MTIB!$Q$3:$Q$1000&lt;&gt;"Not Due"),
ROW(MTIB!$Q$3:$Q$1000)-ROW(MTIB!$Q$3)+1),
ROWS(A$2:A45))),"")</f>
        <v/>
      </c>
      <c r="M45" s="88" t="str" cm="1">
        <f t="array" aca="1" ref="M45" ca="1">IFERROR(INDEX(MTIB!$Q$3:$Q$1000,
SMALL(
IF((MTIB!$Q$3:$Q$1000&lt;&gt;"")*(MTIB!$Q$3:$Q$1000&lt;&gt;"Not Due"),
ROW(MTIB!$Q$3:$Q$1000)-ROW(MTIB!$Q$3)+1),
ROWS(A$2:A45))
),"")</f>
        <v/>
      </c>
      <c r="O45" s="115">
        <v>44</v>
      </c>
      <c r="P45" s="120" t="str" cm="1">
        <f t="array" aca="1" ref="P45" ca="1">IFERROR(INDEX(MPOB!$E$3:$E$1000,
SMALL(
IF((MPOB!$Q$3:$Q$1000&lt;&gt;"")*(MPOB!$Q$3:$Q$1000&lt;&gt;"Not Due"),
ROW(MPOB!$Q$3:$Q$1000)-ROW(MPOB!$Q$3)+1),
ROWS(A$2:A45))),"")</f>
        <v/>
      </c>
      <c r="Q45" s="115" t="str" cm="1">
        <f t="array" aca="1" ref="Q45" ca="1">IFERROR(INDEX(MPOB!$B$3:$B$1000,
SMALL(
IF((MPOB!$Q$3:$Q$1000&lt;&gt;"")*(MPOB!$Q$3:$Q$1000&lt;&gt;"Not Due"),
ROW(MPOB!$Q$3:$Q$1000)-ROW(MPOB!$Q$3)+1),
ROWS(A$2:A45))),"")</f>
        <v/>
      </c>
      <c r="R45" s="115" t="str" cm="1">
        <f t="array" aca="1" ref="R45" ca="1">IFERROR(INDEX(MPOB!$D$3:$D$1000,
SMALL(
IF((MPOB!$Q$3:$Q$1000&lt;&gt;"")*(MPOB!$Q$3:$Q$1000&lt;&gt;"Not Due"),
ROW(MPOB!$Q$3:$Q$1000)-ROW(MPOB!$Q$3)+1),
ROWS(A$2:A45))),"")</f>
        <v/>
      </c>
      <c r="S45" s="116" t="str" cm="1">
        <f t="array" aca="1" ref="S45" ca="1">IFERROR(INDEX(MPOB!$G$3:$G$1000,
SMALL(
IF((MPOB!$Q$3:$Q$1000&lt;&gt;"")*(MPOB!$Q$3:$Q$1000&lt;&gt;"Not Due"),
ROW(MPOB!$Q$3:$Q$1000)-ROW(MPOB!$Q$3)+1),
ROWS(A$2:A45))),"")</f>
        <v/>
      </c>
      <c r="T45" s="88" t="str" cm="1">
        <f t="array" aca="1" ref="T45" ca="1">IFERROR(INDEX(MPOB!$Q$3:$Q$1000,
SMALL(
IF((MPOB!$Q$3:$Q$1000&lt;&gt;"")*(MPOB!$Q$3:$Q$1000&lt;&gt;"Not Due"),
ROW(MPOB!$Q$3:$Q$1000)-ROW(MPOB!$Q$3)+1),
ROWS(A$2:A45))
),"")</f>
        <v/>
      </c>
      <c r="V45" s="115">
        <v>44</v>
      </c>
      <c r="W45" s="121" t="str" cm="1">
        <f t="array" aca="1" ref="W45" ca="1">IFERROR(INDEX(LKTN!$E$3:$E$1000,
SMALL(
IF((LKTN!$Q$3:$Q$1000&lt;&gt;"")*(LKTN!$Q$3:$Q$1000&lt;&gt;"Not Due"),
ROW(LKTN!$Q$3:$Q$1000)-ROW(LKTN!$Q$3)+1),
ROWS(A$2:A45))),"")</f>
        <v/>
      </c>
      <c r="X45" s="115" t="str" cm="1">
        <f t="array" aca="1" ref="X45" ca="1">IFERROR(INDEX(LKTN!$B$3:$B$1000,
SMALL(
IF((LKTN!$Q$3:$Q$1000&lt;&gt;"")*(LKTN!$Q$3:$Q$1000&lt;&gt;"Not Due"),
ROW(LKTN!$Q$3:$Q$1000)-ROW(LKTN!$Q$3)+1),
ROWS(A$2:A45))),"")</f>
        <v/>
      </c>
      <c r="Y45" s="115" t="str" cm="1">
        <f t="array" aca="1" ref="Y45" ca="1">IFERROR(INDEX(LKTN!$D$3:$D$1000,
SMALL(
IF((LKTN!$Q$3:$Q$1000&lt;&gt;"")*(LKTN!$Q$3:$Q$1000&lt;&gt;"Not Due"),
ROW(LKTN!$Q$3:$Q$1000)-ROW(LKTN!$Q$3)+1),
ROWS(A$2:A45))),"")</f>
        <v/>
      </c>
      <c r="Z45" s="116" t="str" cm="1">
        <f t="array" aca="1" ref="Z45" ca="1">IFERROR(INDEX(LKTN!$G$3:$G$1000,
SMALL(
IF((LKTN!$Q$3:$Q$1000&lt;&gt;"")*(LKTN!$Q$3:$Q$1000&lt;&gt;"Not Due"),
ROW(LKTN!$Q$3:$Q$1000)-ROW(LKTN!$Q$3)+1),
ROWS(A$2:A45))),"")</f>
        <v/>
      </c>
      <c r="AA45" s="64" t="str" cm="1">
        <f t="array" aca="1" ref="AA45" ca="1">IFERROR(INDEX(LKTN!$Q$3:$Q$1000,
SMALL(
IF((LKTN!$Q$3:$Q$1000&lt;&gt;"")*(LKTN!$Q$3:$Q$1000&lt;&gt;"Not Due"),
ROW(LKTN!$Q$3:$Q$1000)-ROW(LKTN!$Q$3)+1),
ROWS(A$2:A45))
),"")</f>
        <v/>
      </c>
      <c r="AJ45" s="115">
        <v>44</v>
      </c>
      <c r="AK45" s="123" t="str" cm="1">
        <f t="array" aca="1" ref="AK45" ca="1">IFERROR(INDEX(ISN!$E$3:$E$1000,
SMALL(
IF((ISN!$Q$3:$Q$1000&lt;&gt;"")*(ISN!$Q$3:$Q$1000&lt;&gt;"Not Due"),
ROW(ISN!$Q$3:$Q$1000)-ROW(ISN!$Q$3)+1),
ROWS(A$2:A45))),"")</f>
        <v/>
      </c>
      <c r="AL45" s="115" t="str" cm="1">
        <f t="array" aca="1" ref="AL45" ca="1">IFERROR(INDEX(ISN!$B$3:$B$1000,
SMALL(
IF((ISN!$Q$3:$Q$1000&lt;&gt;"")*(ISN!$Q$3:$Q$1000&lt;&gt;"Not Due"),
ROW(ISN!$Q$3:$Q$1000)-ROW(ISN!$Q$3)+1),
ROWS(A$2:A45))),"")</f>
        <v/>
      </c>
      <c r="AM45" s="116" t="str" cm="1">
        <f t="array" aca="1" ref="AM45" ca="1">IFERROR(INDEX(ISN!$D$3:$D$1000,
SMALL(
IF((ISN!$Q$3:$Q$1000&lt;&gt;"")*(ISN!$Q$3:$Q$1000&lt;&gt;"Not Due"),
ROW(ISN!$Q$3:$Q$1000)-ROW(ISN!$Q$3)+1),
ROWS(A$2:A45))),"")</f>
        <v/>
      </c>
      <c r="AN45" s="116" t="str" cm="1">
        <f t="array" aca="1" ref="AN45" ca="1">IFERROR(INDEX(ISN!$G$3:$G$1000,
SMALL(
IF((ISN!$Q$3:$Q$1000&lt;&gt;"")*(ISN!$Q$3:$Q$1000&lt;&gt;"Not Due"),
ROW(ISN!$Q$3:$Q$1000)-ROW(ISN!$Q$3)+1),
ROWS(A$2:A45))),"")</f>
        <v/>
      </c>
      <c r="AO45" s="64" t="str" cm="1">
        <f t="array" aca="1" ref="AO45" ca="1">IFERROR(INDEX(ISN!$Q$3:$Q$1000,
SMALL(
IF((ISN!$Q$3:$Q$1000&lt;&gt;"")*(ISN!$Q$3:$Q$1000&lt;&gt;"Not Due"),
ROW(ISN!$Q$3:$Q$1000)-ROW(ISN!$Q$3)+1),
ROWS(A$2:A45))
),"")</f>
        <v/>
      </c>
      <c r="AQ45" s="115">
        <v>44</v>
      </c>
      <c r="AR45" s="124" t="str" cm="1">
        <f t="array" aca="1" ref="AR45" ca="1">IFERROR(INDEX(MSN!$E$3:$E$1000,
SMALL(
IF((MSN!$Q$3:$Q$1000&lt;&gt;"")*(MSN!$Q$3:$Q$1000&lt;&gt;"Not Due"),
ROW(MSN!$Q$3:$Q$1000)-ROW(MSN!$Q$3)+1),
ROWS(A$2:A45))),"")</f>
        <v/>
      </c>
      <c r="AS45" s="115" t="str" cm="1">
        <f t="array" aca="1" ref="AS45" ca="1">IFERROR(INDEX(MSN!$B$3:$B$1000,
SMALL(
IF((MSN!$Q$3:$Q$1000&lt;&gt;"")*(MSN!$Q$3:$Q$1000&lt;&gt;"Not Due"),
ROW(MSN!$Q$3:$Q$1000)-ROW(MSN!$Q$3)+1),
ROWS(A$2:A45))),"")</f>
        <v/>
      </c>
      <c r="AT45" s="115" t="str" cm="1">
        <f t="array" aca="1" ref="AT45" ca="1">IFERROR(INDEX(MSN!$D$3:$D$1000,
SMALL(
IF((MSN!$Q$3:$Q$1000&lt;&gt;"")*(MSN!$Q$3:$Q$1000&lt;&gt;"Not Due"),
ROW(MSN!$Q$3:$Q$1000)-ROW(MSN!$Q$3)+1),
ROWS(A$2:A45))),"")</f>
        <v/>
      </c>
      <c r="AU45" s="116" t="str" cm="1">
        <f t="array" aca="1" ref="AU45" ca="1">IFERROR(INDEX(MSN!$G$3:$G$1000,
SMALL(
IF((MSN!$Q$3:$Q$1000&lt;&gt;"")*(MSN!$Q$3:$Q$1000&lt;&gt;"Not Due"),
ROW(MSN!$Q$3:$Q$1000)-ROW(MSN!$Q$3)+1),
ROWS(A$2:A45))),"")</f>
        <v/>
      </c>
      <c r="AV45" s="64" t="str" cm="1">
        <f t="array" aca="1" ref="AV45" ca="1">IFERROR(INDEX(MSN!$Q$3:$Q$1000,
SMALL(
IF((MSN!$Q$3:$Q$1000&lt;&gt;"")*(MSN!$Q$3:$Q$1000&lt;&gt;"Not Due"),
ROW(MSN!$Q$3:$Q$1000)-ROW(MSN!$Q$3)+1),
ROWS(A$2:A45))
),"")</f>
        <v/>
      </c>
    </row>
    <row r="46" spans="1:48" x14ac:dyDescent="0.3">
      <c r="A46" s="115">
        <v>45</v>
      </c>
      <c r="B46" s="118" t="str" cm="1">
        <f t="array" aca="1" ref="B46" ca="1">IFERROR(INDEX(FRIM!$E$3:$E$1000,
SMALL(IF(FRIM!$Q$3:$Q$1000&lt;&gt;"",
ROW(FRIM!$Q$3:$Q$1000)-ROW(FRIM!$Q$3)+1),
ROWS(A$2:A46))),"")</f>
        <v/>
      </c>
      <c r="C46" s="116" t="str" cm="1">
        <f t="array" aca="1" ref="C46" ca="1">IFERROR(INDEX(FRIM!$B$3:$B$1000,
SMALL(IF(FRIM!$Q$3:$Q$1000&lt;&gt;"",
ROW(FRIM!$Q$3:$Q$1000)-ROW(FRIM!$Q$3)+1),
ROWS(A$2:A46))),"")</f>
        <v/>
      </c>
      <c r="D46" s="116" t="str" cm="1">
        <f t="array" aca="1" ref="D46" ca="1">IFERROR(INDEX(FRIM!$D$3:$D$1000,
SMALL(IF(FRIM!$Q$3:$Q$1000&lt;&gt;"",
ROW(FRIM!$Q$3:$Q$1000)-ROW(FRIM!$Q$3)+1),
ROWS(A$2:A46))),"")</f>
        <v/>
      </c>
      <c r="E46" s="116" t="str" cm="1">
        <f t="array" aca="1" ref="E46" ca="1">IFERROR(INDEX(FRIM!$G$3:$G$1000,
SMALL(IF(FRIM!$Q$3:$Q$1000&lt;&gt;"",
ROW(FRIM!$Q$3:$Q$1000)-ROW(FRIM!$Q$3)+1),
ROWS(A$2:A46))),"")</f>
        <v/>
      </c>
      <c r="F46" s="88" t="str" cm="1">
        <f t="array" aca="1" ref="F46" ca="1">IFERROR(INDEX(FRIM!$Q$3:$Q$1000,
SMALL(IF(FRIM!$Q$3:$Q$1000&lt;&gt;"",
ROW(FRIM!$Q$3:$Q$1000)-ROW(FRIM!$Q$3)+1),
ROWS(A$2:A46))),"")</f>
        <v/>
      </c>
      <c r="H46" s="115">
        <v>45</v>
      </c>
      <c r="I46" s="119" t="str" cm="1">
        <f t="array" aca="1" ref="I46" ca="1">IFERROR(INDEX(MTIB!$E$3:$E$1000,
SMALL(
IF((MTIB!$Q$3:$Q$1000&lt;&gt;"")*(MTIB!$Q$3:$Q$1000&lt;&gt;"Not Due"),
ROW(MTIB!$Q$3:$Q$1000)-ROW(MTIB!$Q$3)+1),
ROWS(A$2:A46))),"")</f>
        <v/>
      </c>
      <c r="J46" s="115" t="str" cm="1">
        <f t="array" aca="1" ref="J46" ca="1">IFERROR(INDEX(MTIB!$B$3:$B$1000,
SMALL(
IF((MTIB!$Q$3:$Q$1000&lt;&gt;"")*(MTIB!$Q$3:$Q$1000&lt;&gt;"Not Due"),
ROW(MTIB!$Q$3:$Q$1000)-ROW(MTIB!$Q$3)+1),
ROWS(A$2:A46))),"")</f>
        <v/>
      </c>
      <c r="K46" s="115" t="str" cm="1">
        <f t="array" aca="1" ref="K46" ca="1">IFERROR(INDEX(MTIB!$D$3:$D$1000,
SMALL(
IF((MTIB!$Q$3:$Q$1000&lt;&gt;"")*(MTIB!$Q$3:$Q$1000&lt;&gt;"Not Due"),
ROW(MTIB!$Q$3:$Q$1000)-ROW(MTIB!$Q$3)+1),
ROWS(A$2:A46))),"")</f>
        <v/>
      </c>
      <c r="L46" s="116" t="str" cm="1">
        <f t="array" aca="1" ref="L46" ca="1">IFERROR(INDEX(MTIB!$G$3:$G$1000,
SMALL(
IF((MTIB!$Q$3:$Q$1000&lt;&gt;"")*(MTIB!$Q$3:$Q$1000&lt;&gt;"Not Due"),
ROW(MTIB!$Q$3:$Q$1000)-ROW(MTIB!$Q$3)+1),
ROWS(A$2:A46))),"")</f>
        <v/>
      </c>
      <c r="M46" s="88" t="str" cm="1">
        <f t="array" aca="1" ref="M46" ca="1">IFERROR(INDEX(MTIB!$Q$3:$Q$1000,
SMALL(
IF((MTIB!$Q$3:$Q$1000&lt;&gt;"")*(MTIB!$Q$3:$Q$1000&lt;&gt;"Not Due"),
ROW(MTIB!$Q$3:$Q$1000)-ROW(MTIB!$Q$3)+1),
ROWS(A$2:A46))
),"")</f>
        <v/>
      </c>
      <c r="O46" s="115">
        <v>45</v>
      </c>
      <c r="P46" s="120" t="str" cm="1">
        <f t="array" aca="1" ref="P46" ca="1">IFERROR(INDEX(MPOB!$E$3:$E$1000,
SMALL(
IF((MPOB!$Q$3:$Q$1000&lt;&gt;"")*(MPOB!$Q$3:$Q$1000&lt;&gt;"Not Due"),
ROW(MPOB!$Q$3:$Q$1000)-ROW(MPOB!$Q$3)+1),
ROWS(A$2:A46))),"")</f>
        <v/>
      </c>
      <c r="Q46" s="115" t="str" cm="1">
        <f t="array" aca="1" ref="Q46" ca="1">IFERROR(INDEX(MPOB!$B$3:$B$1000,
SMALL(
IF((MPOB!$Q$3:$Q$1000&lt;&gt;"")*(MPOB!$Q$3:$Q$1000&lt;&gt;"Not Due"),
ROW(MPOB!$Q$3:$Q$1000)-ROW(MPOB!$Q$3)+1),
ROWS(A$2:A46))),"")</f>
        <v/>
      </c>
      <c r="R46" s="115" t="str" cm="1">
        <f t="array" aca="1" ref="R46" ca="1">IFERROR(INDEX(MPOB!$D$3:$D$1000,
SMALL(
IF((MPOB!$Q$3:$Q$1000&lt;&gt;"")*(MPOB!$Q$3:$Q$1000&lt;&gt;"Not Due"),
ROW(MPOB!$Q$3:$Q$1000)-ROW(MPOB!$Q$3)+1),
ROWS(A$2:A46))),"")</f>
        <v/>
      </c>
      <c r="S46" s="116" t="str" cm="1">
        <f t="array" aca="1" ref="S46" ca="1">IFERROR(INDEX(MPOB!$G$3:$G$1000,
SMALL(
IF((MPOB!$Q$3:$Q$1000&lt;&gt;"")*(MPOB!$Q$3:$Q$1000&lt;&gt;"Not Due"),
ROW(MPOB!$Q$3:$Q$1000)-ROW(MPOB!$Q$3)+1),
ROWS(A$2:A46))),"")</f>
        <v/>
      </c>
      <c r="T46" s="88" t="str" cm="1">
        <f t="array" aca="1" ref="T46" ca="1">IFERROR(INDEX(MPOB!$Q$3:$Q$1000,
SMALL(
IF((MPOB!$Q$3:$Q$1000&lt;&gt;"")*(MPOB!$Q$3:$Q$1000&lt;&gt;"Not Due"),
ROW(MPOB!$Q$3:$Q$1000)-ROW(MPOB!$Q$3)+1),
ROWS(A$2:A46))
),"")</f>
        <v/>
      </c>
      <c r="V46" s="115">
        <v>45</v>
      </c>
      <c r="W46" s="121" t="str" cm="1">
        <f t="array" aca="1" ref="W46" ca="1">IFERROR(INDEX(LKTN!$E$3:$E$1000,
SMALL(
IF((LKTN!$Q$3:$Q$1000&lt;&gt;"")*(LKTN!$Q$3:$Q$1000&lt;&gt;"Not Due"),
ROW(LKTN!$Q$3:$Q$1000)-ROW(LKTN!$Q$3)+1),
ROWS(A$2:A46))),"")</f>
        <v/>
      </c>
      <c r="X46" s="115" t="str" cm="1">
        <f t="array" aca="1" ref="X46" ca="1">IFERROR(INDEX(LKTN!$B$3:$B$1000,
SMALL(
IF((LKTN!$Q$3:$Q$1000&lt;&gt;"")*(LKTN!$Q$3:$Q$1000&lt;&gt;"Not Due"),
ROW(LKTN!$Q$3:$Q$1000)-ROW(LKTN!$Q$3)+1),
ROWS(A$2:A46))),"")</f>
        <v/>
      </c>
      <c r="Y46" s="115" t="str" cm="1">
        <f t="array" aca="1" ref="Y46" ca="1">IFERROR(INDEX(LKTN!$D$3:$D$1000,
SMALL(
IF((LKTN!$Q$3:$Q$1000&lt;&gt;"")*(LKTN!$Q$3:$Q$1000&lt;&gt;"Not Due"),
ROW(LKTN!$Q$3:$Q$1000)-ROW(LKTN!$Q$3)+1),
ROWS(A$2:A46))),"")</f>
        <v/>
      </c>
      <c r="Z46" s="116" t="str" cm="1">
        <f t="array" aca="1" ref="Z46" ca="1">IFERROR(INDEX(LKTN!$G$3:$G$1000,
SMALL(
IF((LKTN!$Q$3:$Q$1000&lt;&gt;"")*(LKTN!$Q$3:$Q$1000&lt;&gt;"Not Due"),
ROW(LKTN!$Q$3:$Q$1000)-ROW(LKTN!$Q$3)+1),
ROWS(A$2:A46))),"")</f>
        <v/>
      </c>
      <c r="AA46" s="64" t="str" cm="1">
        <f t="array" aca="1" ref="AA46" ca="1">IFERROR(INDEX(LKTN!$Q$3:$Q$1000,
SMALL(
IF((LKTN!$Q$3:$Q$1000&lt;&gt;"")*(LKTN!$Q$3:$Q$1000&lt;&gt;"Not Due"),
ROW(LKTN!$Q$3:$Q$1000)-ROW(LKTN!$Q$3)+1),
ROWS(A$2:A46))
),"")</f>
        <v/>
      </c>
      <c r="AJ46" s="115">
        <v>45</v>
      </c>
      <c r="AK46" s="123" t="str" cm="1">
        <f t="array" aca="1" ref="AK46" ca="1">IFERROR(INDEX(ISN!$E$3:$E$1000,
SMALL(
IF((ISN!$Q$3:$Q$1000&lt;&gt;"")*(ISN!$Q$3:$Q$1000&lt;&gt;"Not Due"),
ROW(ISN!$Q$3:$Q$1000)-ROW(ISN!$Q$3)+1),
ROWS(A$2:A46))),"")</f>
        <v/>
      </c>
      <c r="AL46" s="115" t="str" cm="1">
        <f t="array" aca="1" ref="AL46" ca="1">IFERROR(INDEX(ISN!$B$3:$B$1000,
SMALL(
IF((ISN!$Q$3:$Q$1000&lt;&gt;"")*(ISN!$Q$3:$Q$1000&lt;&gt;"Not Due"),
ROW(ISN!$Q$3:$Q$1000)-ROW(ISN!$Q$3)+1),
ROWS(A$2:A46))),"")</f>
        <v/>
      </c>
      <c r="AM46" s="116" t="str" cm="1">
        <f t="array" aca="1" ref="AM46" ca="1">IFERROR(INDEX(ISN!$D$3:$D$1000,
SMALL(
IF((ISN!$Q$3:$Q$1000&lt;&gt;"")*(ISN!$Q$3:$Q$1000&lt;&gt;"Not Due"),
ROW(ISN!$Q$3:$Q$1000)-ROW(ISN!$Q$3)+1),
ROWS(A$2:A46))),"")</f>
        <v/>
      </c>
      <c r="AN46" s="116" t="str" cm="1">
        <f t="array" aca="1" ref="AN46" ca="1">IFERROR(INDEX(ISN!$G$3:$G$1000,
SMALL(
IF((ISN!$Q$3:$Q$1000&lt;&gt;"")*(ISN!$Q$3:$Q$1000&lt;&gt;"Not Due"),
ROW(ISN!$Q$3:$Q$1000)-ROW(ISN!$Q$3)+1),
ROWS(A$2:A46))),"")</f>
        <v/>
      </c>
      <c r="AO46" s="64" t="str" cm="1">
        <f t="array" aca="1" ref="AO46" ca="1">IFERROR(INDEX(ISN!$Q$3:$Q$1000,
SMALL(
IF((ISN!$Q$3:$Q$1000&lt;&gt;"")*(ISN!$Q$3:$Q$1000&lt;&gt;"Not Due"),
ROW(ISN!$Q$3:$Q$1000)-ROW(ISN!$Q$3)+1),
ROWS(A$2:A46))
),"")</f>
        <v/>
      </c>
      <c r="AQ46" s="115">
        <v>45</v>
      </c>
      <c r="AR46" s="124" t="str" cm="1">
        <f t="array" aca="1" ref="AR46" ca="1">IFERROR(INDEX(MSN!$E$3:$E$1000,
SMALL(
IF((MSN!$Q$3:$Q$1000&lt;&gt;"")*(MSN!$Q$3:$Q$1000&lt;&gt;"Not Due"),
ROW(MSN!$Q$3:$Q$1000)-ROW(MSN!$Q$3)+1),
ROWS(A$2:A46))),"")</f>
        <v/>
      </c>
      <c r="AS46" s="115" t="str" cm="1">
        <f t="array" aca="1" ref="AS46" ca="1">IFERROR(INDEX(MSN!$B$3:$B$1000,
SMALL(
IF((MSN!$Q$3:$Q$1000&lt;&gt;"")*(MSN!$Q$3:$Q$1000&lt;&gt;"Not Due"),
ROW(MSN!$Q$3:$Q$1000)-ROW(MSN!$Q$3)+1),
ROWS(A$2:A46))),"")</f>
        <v/>
      </c>
      <c r="AT46" s="115" t="str" cm="1">
        <f t="array" aca="1" ref="AT46" ca="1">IFERROR(INDEX(MSN!$D$3:$D$1000,
SMALL(
IF((MSN!$Q$3:$Q$1000&lt;&gt;"")*(MSN!$Q$3:$Q$1000&lt;&gt;"Not Due"),
ROW(MSN!$Q$3:$Q$1000)-ROW(MSN!$Q$3)+1),
ROWS(A$2:A46))),"")</f>
        <v/>
      </c>
      <c r="AU46" s="116" t="str" cm="1">
        <f t="array" aca="1" ref="AU46" ca="1">IFERROR(INDEX(MSN!$G$3:$G$1000,
SMALL(
IF((MSN!$Q$3:$Q$1000&lt;&gt;"")*(MSN!$Q$3:$Q$1000&lt;&gt;"Not Due"),
ROW(MSN!$Q$3:$Q$1000)-ROW(MSN!$Q$3)+1),
ROWS(A$2:A46))),"")</f>
        <v/>
      </c>
      <c r="AV46" s="64" t="str" cm="1">
        <f t="array" aca="1" ref="AV46" ca="1">IFERROR(INDEX(MSN!$Q$3:$Q$1000,
SMALL(
IF((MSN!$Q$3:$Q$1000&lt;&gt;"")*(MSN!$Q$3:$Q$1000&lt;&gt;"Not Due"),
ROW(MSN!$Q$3:$Q$1000)-ROW(MSN!$Q$3)+1),
ROWS(A$2:A46))
),"")</f>
        <v/>
      </c>
    </row>
    <row r="47" spans="1:48" x14ac:dyDescent="0.3">
      <c r="A47" s="115">
        <v>46</v>
      </c>
      <c r="B47" s="118" t="str" cm="1">
        <f t="array" aca="1" ref="B47" ca="1">IFERROR(INDEX(FRIM!$E$3:$E$1000,
SMALL(IF(FRIM!$Q$3:$Q$1000&lt;&gt;"",
ROW(FRIM!$Q$3:$Q$1000)-ROW(FRIM!$Q$3)+1),
ROWS(A$2:A47))),"")</f>
        <v/>
      </c>
      <c r="C47" s="116" t="str" cm="1">
        <f t="array" aca="1" ref="C47" ca="1">IFERROR(INDEX(FRIM!$B$3:$B$1000,
SMALL(IF(FRIM!$Q$3:$Q$1000&lt;&gt;"",
ROW(FRIM!$Q$3:$Q$1000)-ROW(FRIM!$Q$3)+1),
ROWS(A$2:A47))),"")</f>
        <v/>
      </c>
      <c r="D47" s="116" t="str" cm="1">
        <f t="array" aca="1" ref="D47" ca="1">IFERROR(INDEX(FRIM!$D$3:$D$1000,
SMALL(IF(FRIM!$Q$3:$Q$1000&lt;&gt;"",
ROW(FRIM!$Q$3:$Q$1000)-ROW(FRIM!$Q$3)+1),
ROWS(A$2:A47))),"")</f>
        <v/>
      </c>
      <c r="E47" s="116" t="str" cm="1">
        <f t="array" aca="1" ref="E47" ca="1">IFERROR(INDEX(FRIM!$G$3:$G$1000,
SMALL(IF(FRIM!$Q$3:$Q$1000&lt;&gt;"",
ROW(FRIM!$Q$3:$Q$1000)-ROW(FRIM!$Q$3)+1),
ROWS(A$2:A47))),"")</f>
        <v/>
      </c>
      <c r="F47" s="88" t="str" cm="1">
        <f t="array" aca="1" ref="F47" ca="1">IFERROR(INDEX(FRIM!$Q$3:$Q$1000,
SMALL(IF(FRIM!$Q$3:$Q$1000&lt;&gt;"",
ROW(FRIM!$Q$3:$Q$1000)-ROW(FRIM!$Q$3)+1),
ROWS(A$2:A47))),"")</f>
        <v/>
      </c>
      <c r="H47" s="115">
        <v>46</v>
      </c>
      <c r="I47" s="119" t="str" cm="1">
        <f t="array" aca="1" ref="I47" ca="1">IFERROR(INDEX(MTIB!$E$3:$E$1000,
SMALL(
IF((MTIB!$Q$3:$Q$1000&lt;&gt;"")*(MTIB!$Q$3:$Q$1000&lt;&gt;"Not Due"),
ROW(MTIB!$Q$3:$Q$1000)-ROW(MTIB!$Q$3)+1),
ROWS(A$2:A47))),"")</f>
        <v/>
      </c>
      <c r="J47" s="115" t="str" cm="1">
        <f t="array" aca="1" ref="J47" ca="1">IFERROR(INDEX(MTIB!$B$3:$B$1000,
SMALL(
IF((MTIB!$Q$3:$Q$1000&lt;&gt;"")*(MTIB!$Q$3:$Q$1000&lt;&gt;"Not Due"),
ROW(MTIB!$Q$3:$Q$1000)-ROW(MTIB!$Q$3)+1),
ROWS(A$2:A47))),"")</f>
        <v/>
      </c>
      <c r="K47" s="115" t="str" cm="1">
        <f t="array" aca="1" ref="K47" ca="1">IFERROR(INDEX(MTIB!$D$3:$D$1000,
SMALL(
IF((MTIB!$Q$3:$Q$1000&lt;&gt;"")*(MTIB!$Q$3:$Q$1000&lt;&gt;"Not Due"),
ROW(MTIB!$Q$3:$Q$1000)-ROW(MTIB!$Q$3)+1),
ROWS(A$2:A47))),"")</f>
        <v/>
      </c>
      <c r="L47" s="116" t="str" cm="1">
        <f t="array" aca="1" ref="L47" ca="1">IFERROR(INDEX(MTIB!$G$3:$G$1000,
SMALL(
IF((MTIB!$Q$3:$Q$1000&lt;&gt;"")*(MTIB!$Q$3:$Q$1000&lt;&gt;"Not Due"),
ROW(MTIB!$Q$3:$Q$1000)-ROW(MTIB!$Q$3)+1),
ROWS(A$2:A47))),"")</f>
        <v/>
      </c>
      <c r="M47" s="88" t="str" cm="1">
        <f t="array" aca="1" ref="M47" ca="1">IFERROR(INDEX(MTIB!$Q$3:$Q$1000,
SMALL(
IF((MTIB!$Q$3:$Q$1000&lt;&gt;"")*(MTIB!$Q$3:$Q$1000&lt;&gt;"Not Due"),
ROW(MTIB!$Q$3:$Q$1000)-ROW(MTIB!$Q$3)+1),
ROWS(A$2:A47))
),"")</f>
        <v/>
      </c>
      <c r="O47" s="115">
        <v>46</v>
      </c>
      <c r="P47" s="120" t="str" cm="1">
        <f t="array" aca="1" ref="P47" ca="1">IFERROR(INDEX(MPOB!$E$3:$E$1000,
SMALL(
IF((MPOB!$Q$3:$Q$1000&lt;&gt;"")*(MPOB!$Q$3:$Q$1000&lt;&gt;"Not Due"),
ROW(MPOB!$Q$3:$Q$1000)-ROW(MPOB!$Q$3)+1),
ROWS(A$2:A47))),"")</f>
        <v/>
      </c>
      <c r="Q47" s="115" t="str" cm="1">
        <f t="array" aca="1" ref="Q47" ca="1">IFERROR(INDEX(MPOB!$B$3:$B$1000,
SMALL(
IF((MPOB!$Q$3:$Q$1000&lt;&gt;"")*(MPOB!$Q$3:$Q$1000&lt;&gt;"Not Due"),
ROW(MPOB!$Q$3:$Q$1000)-ROW(MPOB!$Q$3)+1),
ROWS(A$2:A47))),"")</f>
        <v/>
      </c>
      <c r="R47" s="115" t="str" cm="1">
        <f t="array" aca="1" ref="R47" ca="1">IFERROR(INDEX(MPOB!$D$3:$D$1000,
SMALL(
IF((MPOB!$Q$3:$Q$1000&lt;&gt;"")*(MPOB!$Q$3:$Q$1000&lt;&gt;"Not Due"),
ROW(MPOB!$Q$3:$Q$1000)-ROW(MPOB!$Q$3)+1),
ROWS(A$2:A47))),"")</f>
        <v/>
      </c>
      <c r="S47" s="116" t="str" cm="1">
        <f t="array" aca="1" ref="S47" ca="1">IFERROR(INDEX(MPOB!$G$3:$G$1000,
SMALL(
IF((MPOB!$Q$3:$Q$1000&lt;&gt;"")*(MPOB!$Q$3:$Q$1000&lt;&gt;"Not Due"),
ROW(MPOB!$Q$3:$Q$1000)-ROW(MPOB!$Q$3)+1),
ROWS(A$2:A47))),"")</f>
        <v/>
      </c>
      <c r="T47" s="88" t="str" cm="1">
        <f t="array" aca="1" ref="T47" ca="1">IFERROR(INDEX(MPOB!$Q$3:$Q$1000,
SMALL(
IF((MPOB!$Q$3:$Q$1000&lt;&gt;"")*(MPOB!$Q$3:$Q$1000&lt;&gt;"Not Due"),
ROW(MPOB!$Q$3:$Q$1000)-ROW(MPOB!$Q$3)+1),
ROWS(A$2:A47))
),"")</f>
        <v/>
      </c>
      <c r="V47" s="115">
        <v>46</v>
      </c>
      <c r="W47" s="121" t="str" cm="1">
        <f t="array" aca="1" ref="W47" ca="1">IFERROR(INDEX(LKTN!$E$3:$E$1000,
SMALL(
IF((LKTN!$Q$3:$Q$1000&lt;&gt;"")*(LKTN!$Q$3:$Q$1000&lt;&gt;"Not Due"),
ROW(LKTN!$Q$3:$Q$1000)-ROW(LKTN!$Q$3)+1),
ROWS(A$2:A47))),"")</f>
        <v/>
      </c>
      <c r="X47" s="115" t="str" cm="1">
        <f t="array" aca="1" ref="X47" ca="1">IFERROR(INDEX(LKTN!$B$3:$B$1000,
SMALL(
IF((LKTN!$Q$3:$Q$1000&lt;&gt;"")*(LKTN!$Q$3:$Q$1000&lt;&gt;"Not Due"),
ROW(LKTN!$Q$3:$Q$1000)-ROW(LKTN!$Q$3)+1),
ROWS(A$2:A47))),"")</f>
        <v/>
      </c>
      <c r="Y47" s="115" t="str" cm="1">
        <f t="array" aca="1" ref="Y47" ca="1">IFERROR(INDEX(LKTN!$D$3:$D$1000,
SMALL(
IF((LKTN!$Q$3:$Q$1000&lt;&gt;"")*(LKTN!$Q$3:$Q$1000&lt;&gt;"Not Due"),
ROW(LKTN!$Q$3:$Q$1000)-ROW(LKTN!$Q$3)+1),
ROWS(A$2:A47))),"")</f>
        <v/>
      </c>
      <c r="Z47" s="116" t="str" cm="1">
        <f t="array" aca="1" ref="Z47" ca="1">IFERROR(INDEX(LKTN!$G$3:$G$1000,
SMALL(
IF((LKTN!$Q$3:$Q$1000&lt;&gt;"")*(LKTN!$Q$3:$Q$1000&lt;&gt;"Not Due"),
ROW(LKTN!$Q$3:$Q$1000)-ROW(LKTN!$Q$3)+1),
ROWS(A$2:A47))),"")</f>
        <v/>
      </c>
      <c r="AA47" s="64" t="str" cm="1">
        <f t="array" aca="1" ref="AA47" ca="1">IFERROR(INDEX(LKTN!$Q$3:$Q$1000,
SMALL(
IF((LKTN!$Q$3:$Q$1000&lt;&gt;"")*(LKTN!$Q$3:$Q$1000&lt;&gt;"Not Due"),
ROW(LKTN!$Q$3:$Q$1000)-ROW(LKTN!$Q$3)+1),
ROWS(A$2:A47))
),"")</f>
        <v/>
      </c>
      <c r="AJ47" s="115">
        <v>46</v>
      </c>
      <c r="AK47" s="123" t="str" cm="1">
        <f t="array" aca="1" ref="AK47" ca="1">IFERROR(INDEX(ISN!$E$3:$E$1000,
SMALL(
IF((ISN!$Q$3:$Q$1000&lt;&gt;"")*(ISN!$Q$3:$Q$1000&lt;&gt;"Not Due"),
ROW(ISN!$Q$3:$Q$1000)-ROW(ISN!$Q$3)+1),
ROWS(A$2:A47))),"")</f>
        <v/>
      </c>
      <c r="AL47" s="115" t="str" cm="1">
        <f t="array" aca="1" ref="AL47" ca="1">IFERROR(INDEX(ISN!$B$3:$B$1000,
SMALL(
IF((ISN!$Q$3:$Q$1000&lt;&gt;"")*(ISN!$Q$3:$Q$1000&lt;&gt;"Not Due"),
ROW(ISN!$Q$3:$Q$1000)-ROW(ISN!$Q$3)+1),
ROWS(A$2:A47))),"")</f>
        <v/>
      </c>
      <c r="AM47" s="116" t="str" cm="1">
        <f t="array" aca="1" ref="AM47" ca="1">IFERROR(INDEX(ISN!$D$3:$D$1000,
SMALL(
IF((ISN!$Q$3:$Q$1000&lt;&gt;"")*(ISN!$Q$3:$Q$1000&lt;&gt;"Not Due"),
ROW(ISN!$Q$3:$Q$1000)-ROW(ISN!$Q$3)+1),
ROWS(A$2:A47))),"")</f>
        <v/>
      </c>
      <c r="AN47" s="116" t="str" cm="1">
        <f t="array" aca="1" ref="AN47" ca="1">IFERROR(INDEX(ISN!$G$3:$G$1000,
SMALL(
IF((ISN!$Q$3:$Q$1000&lt;&gt;"")*(ISN!$Q$3:$Q$1000&lt;&gt;"Not Due"),
ROW(ISN!$Q$3:$Q$1000)-ROW(ISN!$Q$3)+1),
ROWS(A$2:A47))),"")</f>
        <v/>
      </c>
      <c r="AO47" s="64" t="str" cm="1">
        <f t="array" aca="1" ref="AO47" ca="1">IFERROR(INDEX(ISN!$Q$3:$Q$1000,
SMALL(
IF((ISN!$Q$3:$Q$1000&lt;&gt;"")*(ISN!$Q$3:$Q$1000&lt;&gt;"Not Due"),
ROW(ISN!$Q$3:$Q$1000)-ROW(ISN!$Q$3)+1),
ROWS(A$2:A47))
),"")</f>
        <v/>
      </c>
      <c r="AQ47" s="115">
        <v>46</v>
      </c>
      <c r="AR47" s="124" t="str" cm="1">
        <f t="array" aca="1" ref="AR47" ca="1">IFERROR(INDEX(MSN!$E$3:$E$1000,
SMALL(
IF((MSN!$Q$3:$Q$1000&lt;&gt;"")*(MSN!$Q$3:$Q$1000&lt;&gt;"Not Due"),
ROW(MSN!$Q$3:$Q$1000)-ROW(MSN!$Q$3)+1),
ROWS(A$2:A47))),"")</f>
        <v/>
      </c>
      <c r="AS47" s="115" t="str" cm="1">
        <f t="array" aca="1" ref="AS47" ca="1">IFERROR(INDEX(MSN!$B$3:$B$1000,
SMALL(
IF((MSN!$Q$3:$Q$1000&lt;&gt;"")*(MSN!$Q$3:$Q$1000&lt;&gt;"Not Due"),
ROW(MSN!$Q$3:$Q$1000)-ROW(MSN!$Q$3)+1),
ROWS(A$2:A47))),"")</f>
        <v/>
      </c>
      <c r="AT47" s="115" t="str" cm="1">
        <f t="array" aca="1" ref="AT47" ca="1">IFERROR(INDEX(MSN!$D$3:$D$1000,
SMALL(
IF((MSN!$Q$3:$Q$1000&lt;&gt;"")*(MSN!$Q$3:$Q$1000&lt;&gt;"Not Due"),
ROW(MSN!$Q$3:$Q$1000)-ROW(MSN!$Q$3)+1),
ROWS(A$2:A47))),"")</f>
        <v/>
      </c>
      <c r="AU47" s="116" t="str" cm="1">
        <f t="array" aca="1" ref="AU47" ca="1">IFERROR(INDEX(MSN!$G$3:$G$1000,
SMALL(
IF((MSN!$Q$3:$Q$1000&lt;&gt;"")*(MSN!$Q$3:$Q$1000&lt;&gt;"Not Due"),
ROW(MSN!$Q$3:$Q$1000)-ROW(MSN!$Q$3)+1),
ROWS(A$2:A47))),"")</f>
        <v/>
      </c>
      <c r="AV47" s="64" t="str" cm="1">
        <f t="array" aca="1" ref="AV47" ca="1">IFERROR(INDEX(MSN!$Q$3:$Q$1000,
SMALL(
IF((MSN!$Q$3:$Q$1000&lt;&gt;"")*(MSN!$Q$3:$Q$1000&lt;&gt;"Not Due"),
ROW(MSN!$Q$3:$Q$1000)-ROW(MSN!$Q$3)+1),
ROWS(A$2:A47))
),"")</f>
        <v/>
      </c>
    </row>
    <row r="48" spans="1:48" x14ac:dyDescent="0.3">
      <c r="A48" s="115">
        <v>47</v>
      </c>
      <c r="B48" s="118" t="str" cm="1">
        <f t="array" aca="1" ref="B48" ca="1">IFERROR(INDEX(FRIM!$E$3:$E$1000,
SMALL(IF(FRIM!$Q$3:$Q$1000&lt;&gt;"",
ROW(FRIM!$Q$3:$Q$1000)-ROW(FRIM!$Q$3)+1),
ROWS(A$2:A48))),"")</f>
        <v/>
      </c>
      <c r="C48" s="116" t="str" cm="1">
        <f t="array" aca="1" ref="C48" ca="1">IFERROR(INDEX(FRIM!$B$3:$B$1000,
SMALL(IF(FRIM!$Q$3:$Q$1000&lt;&gt;"",
ROW(FRIM!$Q$3:$Q$1000)-ROW(FRIM!$Q$3)+1),
ROWS(A$2:A48))),"")</f>
        <v/>
      </c>
      <c r="D48" s="116" t="str" cm="1">
        <f t="array" aca="1" ref="D48" ca="1">IFERROR(INDEX(FRIM!$D$3:$D$1000,
SMALL(IF(FRIM!$Q$3:$Q$1000&lt;&gt;"",
ROW(FRIM!$Q$3:$Q$1000)-ROW(FRIM!$Q$3)+1),
ROWS(A$2:A48))),"")</f>
        <v/>
      </c>
      <c r="E48" s="116" t="str" cm="1">
        <f t="array" aca="1" ref="E48" ca="1">IFERROR(INDEX(FRIM!$G$3:$G$1000,
SMALL(IF(FRIM!$Q$3:$Q$1000&lt;&gt;"",
ROW(FRIM!$Q$3:$Q$1000)-ROW(FRIM!$Q$3)+1),
ROWS(A$2:A48))),"")</f>
        <v/>
      </c>
      <c r="F48" s="88" t="str" cm="1">
        <f t="array" aca="1" ref="F48" ca="1">IFERROR(INDEX(FRIM!$Q$3:$Q$1000,
SMALL(IF(FRIM!$Q$3:$Q$1000&lt;&gt;"",
ROW(FRIM!$Q$3:$Q$1000)-ROW(FRIM!$Q$3)+1),
ROWS(A$2:A48))),"")</f>
        <v/>
      </c>
      <c r="H48" s="115">
        <v>47</v>
      </c>
      <c r="I48" s="119" t="str" cm="1">
        <f t="array" aca="1" ref="I48" ca="1">IFERROR(INDEX(MTIB!$E$3:$E$1000,
SMALL(
IF((MTIB!$Q$3:$Q$1000&lt;&gt;"")*(MTIB!$Q$3:$Q$1000&lt;&gt;"Not Due"),
ROW(MTIB!$Q$3:$Q$1000)-ROW(MTIB!$Q$3)+1),
ROWS(A$2:A48))),"")</f>
        <v/>
      </c>
      <c r="J48" s="115" t="str" cm="1">
        <f t="array" aca="1" ref="J48" ca="1">IFERROR(INDEX(MTIB!$B$3:$B$1000,
SMALL(
IF((MTIB!$Q$3:$Q$1000&lt;&gt;"")*(MTIB!$Q$3:$Q$1000&lt;&gt;"Not Due"),
ROW(MTIB!$Q$3:$Q$1000)-ROW(MTIB!$Q$3)+1),
ROWS(A$2:A48))),"")</f>
        <v/>
      </c>
      <c r="K48" s="115" t="str" cm="1">
        <f t="array" aca="1" ref="K48" ca="1">IFERROR(INDEX(MTIB!$D$3:$D$1000,
SMALL(
IF((MTIB!$Q$3:$Q$1000&lt;&gt;"")*(MTIB!$Q$3:$Q$1000&lt;&gt;"Not Due"),
ROW(MTIB!$Q$3:$Q$1000)-ROW(MTIB!$Q$3)+1),
ROWS(A$2:A48))),"")</f>
        <v/>
      </c>
      <c r="L48" s="116" t="str" cm="1">
        <f t="array" aca="1" ref="L48" ca="1">IFERROR(INDEX(MTIB!$G$3:$G$1000,
SMALL(
IF((MTIB!$Q$3:$Q$1000&lt;&gt;"")*(MTIB!$Q$3:$Q$1000&lt;&gt;"Not Due"),
ROW(MTIB!$Q$3:$Q$1000)-ROW(MTIB!$Q$3)+1),
ROWS(A$2:A48))),"")</f>
        <v/>
      </c>
      <c r="M48" s="88" t="str" cm="1">
        <f t="array" aca="1" ref="M48" ca="1">IFERROR(INDEX(MTIB!$Q$3:$Q$1000,
SMALL(
IF((MTIB!$Q$3:$Q$1000&lt;&gt;"")*(MTIB!$Q$3:$Q$1000&lt;&gt;"Not Due"),
ROW(MTIB!$Q$3:$Q$1000)-ROW(MTIB!$Q$3)+1),
ROWS(A$2:A48))
),"")</f>
        <v/>
      </c>
      <c r="O48" s="115">
        <v>47</v>
      </c>
      <c r="P48" s="120" t="str" cm="1">
        <f t="array" aca="1" ref="P48" ca="1">IFERROR(INDEX(MPOB!$E$3:$E$1000,
SMALL(
IF((MPOB!$Q$3:$Q$1000&lt;&gt;"")*(MPOB!$Q$3:$Q$1000&lt;&gt;"Not Due"),
ROW(MPOB!$Q$3:$Q$1000)-ROW(MPOB!$Q$3)+1),
ROWS(A$2:A48))),"")</f>
        <v/>
      </c>
      <c r="Q48" s="115" t="str" cm="1">
        <f t="array" aca="1" ref="Q48" ca="1">IFERROR(INDEX(MPOB!$B$3:$B$1000,
SMALL(
IF((MPOB!$Q$3:$Q$1000&lt;&gt;"")*(MPOB!$Q$3:$Q$1000&lt;&gt;"Not Due"),
ROW(MPOB!$Q$3:$Q$1000)-ROW(MPOB!$Q$3)+1),
ROWS(A$2:A48))),"")</f>
        <v/>
      </c>
      <c r="R48" s="115" t="str" cm="1">
        <f t="array" aca="1" ref="R48" ca="1">IFERROR(INDEX(MPOB!$D$3:$D$1000,
SMALL(
IF((MPOB!$Q$3:$Q$1000&lt;&gt;"")*(MPOB!$Q$3:$Q$1000&lt;&gt;"Not Due"),
ROW(MPOB!$Q$3:$Q$1000)-ROW(MPOB!$Q$3)+1),
ROWS(A$2:A48))),"")</f>
        <v/>
      </c>
      <c r="S48" s="116" t="str" cm="1">
        <f t="array" aca="1" ref="S48" ca="1">IFERROR(INDEX(MPOB!$G$3:$G$1000,
SMALL(
IF((MPOB!$Q$3:$Q$1000&lt;&gt;"")*(MPOB!$Q$3:$Q$1000&lt;&gt;"Not Due"),
ROW(MPOB!$Q$3:$Q$1000)-ROW(MPOB!$Q$3)+1),
ROWS(A$2:A48))),"")</f>
        <v/>
      </c>
      <c r="T48" s="88" t="str" cm="1">
        <f t="array" aca="1" ref="T48" ca="1">IFERROR(INDEX(MPOB!$Q$3:$Q$1000,
SMALL(
IF((MPOB!$Q$3:$Q$1000&lt;&gt;"")*(MPOB!$Q$3:$Q$1000&lt;&gt;"Not Due"),
ROW(MPOB!$Q$3:$Q$1000)-ROW(MPOB!$Q$3)+1),
ROWS(A$2:A48))
),"")</f>
        <v/>
      </c>
      <c r="V48" s="115">
        <v>47</v>
      </c>
      <c r="W48" s="121" t="str" cm="1">
        <f t="array" aca="1" ref="W48" ca="1">IFERROR(INDEX(LKTN!$E$3:$E$1000,
SMALL(
IF((LKTN!$Q$3:$Q$1000&lt;&gt;"")*(LKTN!$Q$3:$Q$1000&lt;&gt;"Not Due"),
ROW(LKTN!$Q$3:$Q$1000)-ROW(LKTN!$Q$3)+1),
ROWS(A$2:A48))),"")</f>
        <v/>
      </c>
      <c r="X48" s="115" t="str" cm="1">
        <f t="array" aca="1" ref="X48" ca="1">IFERROR(INDEX(LKTN!$B$3:$B$1000,
SMALL(
IF((LKTN!$Q$3:$Q$1000&lt;&gt;"")*(LKTN!$Q$3:$Q$1000&lt;&gt;"Not Due"),
ROW(LKTN!$Q$3:$Q$1000)-ROW(LKTN!$Q$3)+1),
ROWS(A$2:A48))),"")</f>
        <v/>
      </c>
      <c r="Y48" s="115" t="str" cm="1">
        <f t="array" aca="1" ref="Y48" ca="1">IFERROR(INDEX(LKTN!$D$3:$D$1000,
SMALL(
IF((LKTN!$Q$3:$Q$1000&lt;&gt;"")*(LKTN!$Q$3:$Q$1000&lt;&gt;"Not Due"),
ROW(LKTN!$Q$3:$Q$1000)-ROW(LKTN!$Q$3)+1),
ROWS(A$2:A48))),"")</f>
        <v/>
      </c>
      <c r="Z48" s="116" t="str" cm="1">
        <f t="array" aca="1" ref="Z48" ca="1">IFERROR(INDEX(LKTN!$G$3:$G$1000,
SMALL(
IF((LKTN!$Q$3:$Q$1000&lt;&gt;"")*(LKTN!$Q$3:$Q$1000&lt;&gt;"Not Due"),
ROW(LKTN!$Q$3:$Q$1000)-ROW(LKTN!$Q$3)+1),
ROWS(A$2:A48))),"")</f>
        <v/>
      </c>
      <c r="AA48" s="64" t="str" cm="1">
        <f t="array" aca="1" ref="AA48" ca="1">IFERROR(INDEX(LKTN!$Q$3:$Q$1000,
SMALL(
IF((LKTN!$Q$3:$Q$1000&lt;&gt;"")*(LKTN!$Q$3:$Q$1000&lt;&gt;"Not Due"),
ROW(LKTN!$Q$3:$Q$1000)-ROW(LKTN!$Q$3)+1),
ROWS(A$2:A48))
),"")</f>
        <v/>
      </c>
      <c r="AJ48" s="115">
        <v>47</v>
      </c>
      <c r="AK48" s="123" t="str" cm="1">
        <f t="array" aca="1" ref="AK48" ca="1">IFERROR(INDEX(ISN!$E$3:$E$1000,
SMALL(
IF((ISN!$Q$3:$Q$1000&lt;&gt;"")*(ISN!$Q$3:$Q$1000&lt;&gt;"Not Due"),
ROW(ISN!$Q$3:$Q$1000)-ROW(ISN!$Q$3)+1),
ROWS(A$2:A48))),"")</f>
        <v/>
      </c>
      <c r="AL48" s="115" t="str" cm="1">
        <f t="array" aca="1" ref="AL48" ca="1">IFERROR(INDEX(ISN!$B$3:$B$1000,
SMALL(
IF((ISN!$Q$3:$Q$1000&lt;&gt;"")*(ISN!$Q$3:$Q$1000&lt;&gt;"Not Due"),
ROW(ISN!$Q$3:$Q$1000)-ROW(ISN!$Q$3)+1),
ROWS(A$2:A48))),"")</f>
        <v/>
      </c>
      <c r="AM48" s="116" t="str" cm="1">
        <f t="array" aca="1" ref="AM48" ca="1">IFERROR(INDEX(ISN!$D$3:$D$1000,
SMALL(
IF((ISN!$Q$3:$Q$1000&lt;&gt;"")*(ISN!$Q$3:$Q$1000&lt;&gt;"Not Due"),
ROW(ISN!$Q$3:$Q$1000)-ROW(ISN!$Q$3)+1),
ROWS(A$2:A48))),"")</f>
        <v/>
      </c>
      <c r="AN48" s="116" t="str" cm="1">
        <f t="array" aca="1" ref="AN48" ca="1">IFERROR(INDEX(ISN!$G$3:$G$1000,
SMALL(
IF((ISN!$Q$3:$Q$1000&lt;&gt;"")*(ISN!$Q$3:$Q$1000&lt;&gt;"Not Due"),
ROW(ISN!$Q$3:$Q$1000)-ROW(ISN!$Q$3)+1),
ROWS(A$2:A48))),"")</f>
        <v/>
      </c>
      <c r="AO48" s="64" t="str" cm="1">
        <f t="array" aca="1" ref="AO48" ca="1">IFERROR(INDEX(ISN!$Q$3:$Q$1000,
SMALL(
IF((ISN!$Q$3:$Q$1000&lt;&gt;"")*(ISN!$Q$3:$Q$1000&lt;&gt;"Not Due"),
ROW(ISN!$Q$3:$Q$1000)-ROW(ISN!$Q$3)+1),
ROWS(A$2:A48))
),"")</f>
        <v/>
      </c>
      <c r="AQ48" s="115">
        <v>47</v>
      </c>
      <c r="AR48" s="124" t="str" cm="1">
        <f t="array" aca="1" ref="AR48" ca="1">IFERROR(INDEX(MSN!$E$3:$E$1000,
SMALL(
IF((MSN!$Q$3:$Q$1000&lt;&gt;"")*(MSN!$Q$3:$Q$1000&lt;&gt;"Not Due"),
ROW(MSN!$Q$3:$Q$1000)-ROW(MSN!$Q$3)+1),
ROWS(A$2:A48))),"")</f>
        <v/>
      </c>
      <c r="AS48" s="115" t="str" cm="1">
        <f t="array" aca="1" ref="AS48" ca="1">IFERROR(INDEX(MSN!$B$3:$B$1000,
SMALL(
IF((MSN!$Q$3:$Q$1000&lt;&gt;"")*(MSN!$Q$3:$Q$1000&lt;&gt;"Not Due"),
ROW(MSN!$Q$3:$Q$1000)-ROW(MSN!$Q$3)+1),
ROWS(A$2:A48))),"")</f>
        <v/>
      </c>
      <c r="AT48" s="115" t="str" cm="1">
        <f t="array" aca="1" ref="AT48" ca="1">IFERROR(INDEX(MSN!$D$3:$D$1000,
SMALL(
IF((MSN!$Q$3:$Q$1000&lt;&gt;"")*(MSN!$Q$3:$Q$1000&lt;&gt;"Not Due"),
ROW(MSN!$Q$3:$Q$1000)-ROW(MSN!$Q$3)+1),
ROWS(A$2:A48))),"")</f>
        <v/>
      </c>
      <c r="AU48" s="116" t="str" cm="1">
        <f t="array" aca="1" ref="AU48" ca="1">IFERROR(INDEX(MSN!$G$3:$G$1000,
SMALL(
IF((MSN!$Q$3:$Q$1000&lt;&gt;"")*(MSN!$Q$3:$Q$1000&lt;&gt;"Not Due"),
ROW(MSN!$Q$3:$Q$1000)-ROW(MSN!$Q$3)+1),
ROWS(A$2:A48))),"")</f>
        <v/>
      </c>
      <c r="AV48" s="64" t="str" cm="1">
        <f t="array" aca="1" ref="AV48" ca="1">IFERROR(INDEX(MSN!$Q$3:$Q$1000,
SMALL(
IF((MSN!$Q$3:$Q$1000&lt;&gt;"")*(MSN!$Q$3:$Q$1000&lt;&gt;"Not Due"),
ROW(MSN!$Q$3:$Q$1000)-ROW(MSN!$Q$3)+1),
ROWS(A$2:A48))
),"")</f>
        <v/>
      </c>
    </row>
    <row r="49" spans="1:41" x14ac:dyDescent="0.3">
      <c r="A49" s="115">
        <v>48</v>
      </c>
      <c r="B49" s="118" t="str" cm="1">
        <f t="array" aca="1" ref="B49" ca="1">IFERROR(INDEX(FRIM!$E$3:$E$1000,
SMALL(IF(FRIM!$Q$3:$Q$1000&lt;&gt;"",
ROW(FRIM!$Q$3:$Q$1000)-ROW(FRIM!$Q$3)+1),
ROWS(A$2:A49))),"")</f>
        <v/>
      </c>
      <c r="C49" s="116" t="str" cm="1">
        <f t="array" aca="1" ref="C49" ca="1">IFERROR(INDEX(FRIM!$B$3:$B$1000,
SMALL(IF(FRIM!$Q$3:$Q$1000&lt;&gt;"",
ROW(FRIM!$Q$3:$Q$1000)-ROW(FRIM!$Q$3)+1),
ROWS(A$2:A49))),"")</f>
        <v/>
      </c>
      <c r="D49" s="116" t="str" cm="1">
        <f t="array" aca="1" ref="D49" ca="1">IFERROR(INDEX(FRIM!$D$3:$D$1000,
SMALL(IF(FRIM!$Q$3:$Q$1000&lt;&gt;"",
ROW(FRIM!$Q$3:$Q$1000)-ROW(FRIM!$Q$3)+1),
ROWS(A$2:A49))),"")</f>
        <v/>
      </c>
      <c r="E49" s="116" t="str" cm="1">
        <f t="array" aca="1" ref="E49" ca="1">IFERROR(INDEX(FRIM!$G$3:$G$1000,
SMALL(IF(FRIM!$Q$3:$Q$1000&lt;&gt;"",
ROW(FRIM!$Q$3:$Q$1000)-ROW(FRIM!$Q$3)+1),
ROWS(A$2:A49))),"")</f>
        <v/>
      </c>
      <c r="F49" s="88" t="str" cm="1">
        <f t="array" aca="1" ref="F49" ca="1">IFERROR(INDEX(FRIM!$Q$3:$Q$1000,
SMALL(IF(FRIM!$Q$3:$Q$1000&lt;&gt;"",
ROW(FRIM!$Q$3:$Q$1000)-ROW(FRIM!$Q$3)+1),
ROWS(A$2:A49))),"")</f>
        <v/>
      </c>
      <c r="H49" s="115">
        <v>48</v>
      </c>
      <c r="I49" s="119" t="str" cm="1">
        <f t="array" aca="1" ref="I49" ca="1">IFERROR(INDEX(MTIB!$E$3:$E$1000,
SMALL(
IF((MTIB!$Q$3:$Q$1000&lt;&gt;"")*(MTIB!$Q$3:$Q$1000&lt;&gt;"Not Due"),
ROW(MTIB!$Q$3:$Q$1000)-ROW(MTIB!$Q$3)+1),
ROWS(A$2:A49))),"")</f>
        <v/>
      </c>
      <c r="J49" s="115" t="str" cm="1">
        <f t="array" aca="1" ref="J49" ca="1">IFERROR(INDEX(MTIB!$B$3:$B$1000,
SMALL(
IF((MTIB!$Q$3:$Q$1000&lt;&gt;"")*(MTIB!$Q$3:$Q$1000&lt;&gt;"Not Due"),
ROW(MTIB!$Q$3:$Q$1000)-ROW(MTIB!$Q$3)+1),
ROWS(A$2:A49))),"")</f>
        <v/>
      </c>
      <c r="K49" s="115" t="str" cm="1">
        <f t="array" aca="1" ref="K49" ca="1">IFERROR(INDEX(MTIB!$D$3:$D$1000,
SMALL(
IF((MTIB!$Q$3:$Q$1000&lt;&gt;"")*(MTIB!$Q$3:$Q$1000&lt;&gt;"Not Due"),
ROW(MTIB!$Q$3:$Q$1000)-ROW(MTIB!$Q$3)+1),
ROWS(A$2:A49))),"")</f>
        <v/>
      </c>
      <c r="L49" s="116" t="str" cm="1">
        <f t="array" aca="1" ref="L49" ca="1">IFERROR(INDEX(MTIB!$G$3:$G$1000,
SMALL(
IF((MTIB!$Q$3:$Q$1000&lt;&gt;"")*(MTIB!$Q$3:$Q$1000&lt;&gt;"Not Due"),
ROW(MTIB!$Q$3:$Q$1000)-ROW(MTIB!$Q$3)+1),
ROWS(A$2:A49))),"")</f>
        <v/>
      </c>
      <c r="M49" s="88" t="str" cm="1">
        <f t="array" aca="1" ref="M49" ca="1">IFERROR(INDEX(MTIB!$Q$3:$Q$1000,
SMALL(
IF((MTIB!$Q$3:$Q$1000&lt;&gt;"")*(MTIB!$Q$3:$Q$1000&lt;&gt;"Not Due"),
ROW(MTIB!$Q$3:$Q$1000)-ROW(MTIB!$Q$3)+1),
ROWS(A$2:A49))
),"")</f>
        <v/>
      </c>
      <c r="O49" s="115">
        <v>48</v>
      </c>
      <c r="P49" s="120" t="str" cm="1">
        <f t="array" aca="1" ref="P49" ca="1">IFERROR(INDEX(MPOB!$E$3:$E$1000,
SMALL(
IF((MPOB!$Q$3:$Q$1000&lt;&gt;"")*(MPOB!$Q$3:$Q$1000&lt;&gt;"Not Due"),
ROW(MPOB!$Q$3:$Q$1000)-ROW(MPOB!$Q$3)+1),
ROWS(A$2:A49))),"")</f>
        <v/>
      </c>
      <c r="Q49" s="115" t="str" cm="1">
        <f t="array" aca="1" ref="Q49" ca="1">IFERROR(INDEX(MPOB!$B$3:$B$1000,
SMALL(
IF((MPOB!$Q$3:$Q$1000&lt;&gt;"")*(MPOB!$Q$3:$Q$1000&lt;&gt;"Not Due"),
ROW(MPOB!$Q$3:$Q$1000)-ROW(MPOB!$Q$3)+1),
ROWS(A$2:A49))),"")</f>
        <v/>
      </c>
      <c r="R49" s="115" t="str" cm="1">
        <f t="array" aca="1" ref="R49" ca="1">IFERROR(INDEX(MPOB!$D$3:$D$1000,
SMALL(
IF((MPOB!$Q$3:$Q$1000&lt;&gt;"")*(MPOB!$Q$3:$Q$1000&lt;&gt;"Not Due"),
ROW(MPOB!$Q$3:$Q$1000)-ROW(MPOB!$Q$3)+1),
ROWS(A$2:A49))),"")</f>
        <v/>
      </c>
      <c r="S49" s="116" t="str" cm="1">
        <f t="array" aca="1" ref="S49" ca="1">IFERROR(INDEX(MPOB!$G$3:$G$1000,
SMALL(
IF((MPOB!$Q$3:$Q$1000&lt;&gt;"")*(MPOB!$Q$3:$Q$1000&lt;&gt;"Not Due"),
ROW(MPOB!$Q$3:$Q$1000)-ROW(MPOB!$Q$3)+1),
ROWS(A$2:A49))),"")</f>
        <v/>
      </c>
      <c r="T49" s="88" t="str" cm="1">
        <f t="array" aca="1" ref="T49" ca="1">IFERROR(INDEX(MPOB!$Q$3:$Q$1000,
SMALL(
IF((MPOB!$Q$3:$Q$1000&lt;&gt;"")*(MPOB!$Q$3:$Q$1000&lt;&gt;"Not Due"),
ROW(MPOB!$Q$3:$Q$1000)-ROW(MPOB!$Q$3)+1),
ROWS(A$2:A49))
),"")</f>
        <v/>
      </c>
      <c r="V49" s="115">
        <v>48</v>
      </c>
      <c r="W49" s="121" t="str" cm="1">
        <f t="array" aca="1" ref="W49" ca="1">IFERROR(INDEX(LKTN!$E$3:$E$1000,
SMALL(
IF((LKTN!$Q$3:$Q$1000&lt;&gt;"")*(LKTN!$Q$3:$Q$1000&lt;&gt;"Not Due"),
ROW(LKTN!$Q$3:$Q$1000)-ROW(LKTN!$Q$3)+1),
ROWS(A$2:A49))),"")</f>
        <v/>
      </c>
      <c r="X49" s="115" t="str" cm="1">
        <f t="array" aca="1" ref="X49" ca="1">IFERROR(INDEX(LKTN!$B$3:$B$1000,
SMALL(
IF((LKTN!$Q$3:$Q$1000&lt;&gt;"")*(LKTN!$Q$3:$Q$1000&lt;&gt;"Not Due"),
ROW(LKTN!$Q$3:$Q$1000)-ROW(LKTN!$Q$3)+1),
ROWS(A$2:A49))),"")</f>
        <v/>
      </c>
      <c r="Y49" s="115" t="str" cm="1">
        <f t="array" aca="1" ref="Y49" ca="1">IFERROR(INDEX(LKTN!$D$3:$D$1000,
SMALL(
IF((LKTN!$Q$3:$Q$1000&lt;&gt;"")*(LKTN!$Q$3:$Q$1000&lt;&gt;"Not Due"),
ROW(LKTN!$Q$3:$Q$1000)-ROW(LKTN!$Q$3)+1),
ROWS(A$2:A49))),"")</f>
        <v/>
      </c>
      <c r="Z49" s="116" t="str" cm="1">
        <f t="array" aca="1" ref="Z49" ca="1">IFERROR(INDEX(LKTN!$G$3:$G$1000,
SMALL(
IF((LKTN!$Q$3:$Q$1000&lt;&gt;"")*(LKTN!$Q$3:$Q$1000&lt;&gt;"Not Due"),
ROW(LKTN!$Q$3:$Q$1000)-ROW(LKTN!$Q$3)+1),
ROWS(A$2:A49))),"")</f>
        <v/>
      </c>
      <c r="AA49" s="64" t="str" cm="1">
        <f t="array" aca="1" ref="AA49" ca="1">IFERROR(INDEX(LKTN!$Q$3:$Q$1000,
SMALL(
IF((LKTN!$Q$3:$Q$1000&lt;&gt;"")*(LKTN!$Q$3:$Q$1000&lt;&gt;"Not Due"),
ROW(LKTN!$Q$3:$Q$1000)-ROW(LKTN!$Q$3)+1),
ROWS(A$2:A49))
),"")</f>
        <v/>
      </c>
      <c r="AJ49" s="115">
        <v>48</v>
      </c>
      <c r="AK49" s="123" t="str" cm="1">
        <f t="array" aca="1" ref="AK49" ca="1">IFERROR(INDEX(ISN!$E$3:$E$1000,
SMALL(
IF((ISN!$Q$3:$Q$1000&lt;&gt;"")*(ISN!$Q$3:$Q$1000&lt;&gt;"Not Due"),
ROW(ISN!$Q$3:$Q$1000)-ROW(ISN!$Q$3)+1),
ROWS(A$2:A49))),"")</f>
        <v/>
      </c>
      <c r="AL49" s="115" t="str" cm="1">
        <f t="array" aca="1" ref="AL49" ca="1">IFERROR(INDEX(ISN!$B$3:$B$1000,
SMALL(
IF((ISN!$Q$3:$Q$1000&lt;&gt;"")*(ISN!$Q$3:$Q$1000&lt;&gt;"Not Due"),
ROW(ISN!$Q$3:$Q$1000)-ROW(ISN!$Q$3)+1),
ROWS(A$2:A49))),"")</f>
        <v/>
      </c>
      <c r="AM49" s="116" t="str" cm="1">
        <f t="array" aca="1" ref="AM49" ca="1">IFERROR(INDEX(ISN!$D$3:$D$1000,
SMALL(
IF((ISN!$Q$3:$Q$1000&lt;&gt;"")*(ISN!$Q$3:$Q$1000&lt;&gt;"Not Due"),
ROW(ISN!$Q$3:$Q$1000)-ROW(ISN!$Q$3)+1),
ROWS(A$2:A49))),"")</f>
        <v/>
      </c>
      <c r="AN49" s="116" t="str" cm="1">
        <f t="array" aca="1" ref="AN49" ca="1">IFERROR(INDEX(ISN!$G$3:$G$1000,
SMALL(
IF((ISN!$Q$3:$Q$1000&lt;&gt;"")*(ISN!$Q$3:$Q$1000&lt;&gt;"Not Due"),
ROW(ISN!$Q$3:$Q$1000)-ROW(ISN!$Q$3)+1),
ROWS(A$2:A49))),"")</f>
        <v/>
      </c>
      <c r="AO49" s="64" t="str" cm="1">
        <f t="array" aca="1" ref="AO49" ca="1">IFERROR(INDEX(ISN!$Q$3:$Q$1000,
SMALL(
IF((ISN!$Q$3:$Q$1000&lt;&gt;"")*(ISN!$Q$3:$Q$1000&lt;&gt;"Not Due"),
ROW(ISN!$Q$3:$Q$1000)-ROW(ISN!$Q$3)+1),
ROWS(A$2:A49))
),"")</f>
        <v/>
      </c>
    </row>
    <row r="50" spans="1:41" x14ac:dyDescent="0.3">
      <c r="A50" s="115">
        <v>49</v>
      </c>
      <c r="B50" s="118" t="str" cm="1">
        <f t="array" aca="1" ref="B50" ca="1">IFERROR(INDEX(FRIM!$E$3:$E$1000,
SMALL(IF(FRIM!$Q$3:$Q$1000&lt;&gt;"",
ROW(FRIM!$Q$3:$Q$1000)-ROW(FRIM!$Q$3)+1),
ROWS(A$2:A50))),"")</f>
        <v/>
      </c>
      <c r="C50" s="116" t="str" cm="1">
        <f t="array" aca="1" ref="C50" ca="1">IFERROR(INDEX(FRIM!$B$3:$B$1000,
SMALL(IF(FRIM!$Q$3:$Q$1000&lt;&gt;"",
ROW(FRIM!$Q$3:$Q$1000)-ROW(FRIM!$Q$3)+1),
ROWS(A$2:A50))),"")</f>
        <v/>
      </c>
      <c r="D50" s="116" t="str" cm="1">
        <f t="array" aca="1" ref="D50" ca="1">IFERROR(INDEX(FRIM!$D$3:$D$1000,
SMALL(IF(FRIM!$Q$3:$Q$1000&lt;&gt;"",
ROW(FRIM!$Q$3:$Q$1000)-ROW(FRIM!$Q$3)+1),
ROWS(A$2:A50))),"")</f>
        <v/>
      </c>
      <c r="E50" s="116" t="str" cm="1">
        <f t="array" aca="1" ref="E50" ca="1">IFERROR(INDEX(FRIM!$G$3:$G$1000,
SMALL(IF(FRIM!$Q$3:$Q$1000&lt;&gt;"",
ROW(FRIM!$Q$3:$Q$1000)-ROW(FRIM!$Q$3)+1),
ROWS(A$2:A50))),"")</f>
        <v/>
      </c>
      <c r="F50" s="88" t="str" cm="1">
        <f t="array" aca="1" ref="F50" ca="1">IFERROR(INDEX(FRIM!$Q$3:$Q$1000,
SMALL(IF(FRIM!$Q$3:$Q$1000&lt;&gt;"",
ROW(FRIM!$Q$3:$Q$1000)-ROW(FRIM!$Q$3)+1),
ROWS(A$2:A50))),"")</f>
        <v/>
      </c>
      <c r="H50" s="115">
        <v>49</v>
      </c>
      <c r="I50" s="119" t="str" cm="1">
        <f t="array" aca="1" ref="I50" ca="1">IFERROR(INDEX(MTIB!$E$3:$E$1000,
SMALL(
IF((MTIB!$Q$3:$Q$1000&lt;&gt;"")*(MTIB!$Q$3:$Q$1000&lt;&gt;"Not Due"),
ROW(MTIB!$Q$3:$Q$1000)-ROW(MTIB!$Q$3)+1),
ROWS(A$2:A50))),"")</f>
        <v/>
      </c>
      <c r="J50" s="115" t="str" cm="1">
        <f t="array" aca="1" ref="J50" ca="1">IFERROR(INDEX(MTIB!$B$3:$B$1000,
SMALL(
IF((MTIB!$Q$3:$Q$1000&lt;&gt;"")*(MTIB!$Q$3:$Q$1000&lt;&gt;"Not Due"),
ROW(MTIB!$Q$3:$Q$1000)-ROW(MTIB!$Q$3)+1),
ROWS(A$2:A50))),"")</f>
        <v/>
      </c>
      <c r="K50" s="115" t="str" cm="1">
        <f t="array" aca="1" ref="K50" ca="1">IFERROR(INDEX(MTIB!$D$3:$D$1000,
SMALL(
IF((MTIB!$Q$3:$Q$1000&lt;&gt;"")*(MTIB!$Q$3:$Q$1000&lt;&gt;"Not Due"),
ROW(MTIB!$Q$3:$Q$1000)-ROW(MTIB!$Q$3)+1),
ROWS(A$2:A50))),"")</f>
        <v/>
      </c>
      <c r="L50" s="116" t="str" cm="1">
        <f t="array" aca="1" ref="L50" ca="1">IFERROR(INDEX(MTIB!$G$3:$G$1000,
SMALL(
IF((MTIB!$Q$3:$Q$1000&lt;&gt;"")*(MTIB!$Q$3:$Q$1000&lt;&gt;"Not Due"),
ROW(MTIB!$Q$3:$Q$1000)-ROW(MTIB!$Q$3)+1),
ROWS(A$2:A50))),"")</f>
        <v/>
      </c>
      <c r="M50" s="88" t="str" cm="1">
        <f t="array" aca="1" ref="M50" ca="1">IFERROR(INDEX(MTIB!$Q$3:$Q$1000,
SMALL(
IF((MTIB!$Q$3:$Q$1000&lt;&gt;"")*(MTIB!$Q$3:$Q$1000&lt;&gt;"Not Due"),
ROW(MTIB!$Q$3:$Q$1000)-ROW(MTIB!$Q$3)+1),
ROWS(A$2:A50))
),"")</f>
        <v/>
      </c>
      <c r="O50" s="115">
        <v>49</v>
      </c>
      <c r="P50" s="120" t="str" cm="1">
        <f t="array" aca="1" ref="P50" ca="1">IFERROR(INDEX(MPOB!$E$3:$E$1000,
SMALL(
IF((MPOB!$Q$3:$Q$1000&lt;&gt;"")*(MPOB!$Q$3:$Q$1000&lt;&gt;"Not Due"),
ROW(MPOB!$Q$3:$Q$1000)-ROW(MPOB!$Q$3)+1),
ROWS(A$2:A50))),"")</f>
        <v/>
      </c>
      <c r="Q50" s="115" t="str" cm="1">
        <f t="array" aca="1" ref="Q50" ca="1">IFERROR(INDEX(MPOB!$B$3:$B$1000,
SMALL(
IF((MPOB!$Q$3:$Q$1000&lt;&gt;"")*(MPOB!$Q$3:$Q$1000&lt;&gt;"Not Due"),
ROW(MPOB!$Q$3:$Q$1000)-ROW(MPOB!$Q$3)+1),
ROWS(A$2:A50))),"")</f>
        <v/>
      </c>
      <c r="R50" s="115" t="str" cm="1">
        <f t="array" aca="1" ref="R50" ca="1">IFERROR(INDEX(MPOB!$D$3:$D$1000,
SMALL(
IF((MPOB!$Q$3:$Q$1000&lt;&gt;"")*(MPOB!$Q$3:$Q$1000&lt;&gt;"Not Due"),
ROW(MPOB!$Q$3:$Q$1000)-ROW(MPOB!$Q$3)+1),
ROWS(A$2:A50))),"")</f>
        <v/>
      </c>
      <c r="S50" s="116" t="str" cm="1">
        <f t="array" aca="1" ref="S50" ca="1">IFERROR(INDEX(MPOB!$G$3:$G$1000,
SMALL(
IF((MPOB!$Q$3:$Q$1000&lt;&gt;"")*(MPOB!$Q$3:$Q$1000&lt;&gt;"Not Due"),
ROW(MPOB!$Q$3:$Q$1000)-ROW(MPOB!$Q$3)+1),
ROWS(A$2:A50))),"")</f>
        <v/>
      </c>
      <c r="T50" s="88" t="str" cm="1">
        <f t="array" aca="1" ref="T50" ca="1">IFERROR(INDEX(MPOB!$Q$3:$Q$1000,
SMALL(
IF((MPOB!$Q$3:$Q$1000&lt;&gt;"")*(MPOB!$Q$3:$Q$1000&lt;&gt;"Not Due"),
ROW(MPOB!$Q$3:$Q$1000)-ROW(MPOB!$Q$3)+1),
ROWS(A$2:A50))
),"")</f>
        <v/>
      </c>
      <c r="V50" s="115">
        <v>49</v>
      </c>
      <c r="W50" s="121" t="str" cm="1">
        <f t="array" aca="1" ref="W50" ca="1">IFERROR(INDEX(LKTN!$E$3:$E$1000,
SMALL(
IF((LKTN!$Q$3:$Q$1000&lt;&gt;"")*(LKTN!$Q$3:$Q$1000&lt;&gt;"Not Due"),
ROW(LKTN!$Q$3:$Q$1000)-ROW(LKTN!$Q$3)+1),
ROWS(A$2:A50))),"")</f>
        <v/>
      </c>
      <c r="X50" s="115" t="str" cm="1">
        <f t="array" aca="1" ref="X50" ca="1">IFERROR(INDEX(LKTN!$B$3:$B$1000,
SMALL(
IF((LKTN!$Q$3:$Q$1000&lt;&gt;"")*(LKTN!$Q$3:$Q$1000&lt;&gt;"Not Due"),
ROW(LKTN!$Q$3:$Q$1000)-ROW(LKTN!$Q$3)+1),
ROWS(A$2:A50))),"")</f>
        <v/>
      </c>
      <c r="Y50" s="115" t="str" cm="1">
        <f t="array" aca="1" ref="Y50" ca="1">IFERROR(INDEX(LKTN!$D$3:$D$1000,
SMALL(
IF((LKTN!$Q$3:$Q$1000&lt;&gt;"")*(LKTN!$Q$3:$Q$1000&lt;&gt;"Not Due"),
ROW(LKTN!$Q$3:$Q$1000)-ROW(LKTN!$Q$3)+1),
ROWS(A$2:A50))),"")</f>
        <v/>
      </c>
      <c r="Z50" s="116" t="str" cm="1">
        <f t="array" aca="1" ref="Z50" ca="1">IFERROR(INDEX(LKTN!$G$3:$G$1000,
SMALL(
IF((LKTN!$Q$3:$Q$1000&lt;&gt;"")*(LKTN!$Q$3:$Q$1000&lt;&gt;"Not Due"),
ROW(LKTN!$Q$3:$Q$1000)-ROW(LKTN!$Q$3)+1),
ROWS(A$2:A50))),"")</f>
        <v/>
      </c>
      <c r="AA50" s="64" t="str" cm="1">
        <f t="array" aca="1" ref="AA50" ca="1">IFERROR(INDEX(LKTN!$Q$3:$Q$1000,
SMALL(
IF((LKTN!$Q$3:$Q$1000&lt;&gt;"")*(LKTN!$Q$3:$Q$1000&lt;&gt;"Not Due"),
ROW(LKTN!$Q$3:$Q$1000)-ROW(LKTN!$Q$3)+1),
ROWS(A$2:A50))
),"")</f>
        <v/>
      </c>
      <c r="AJ50" s="115">
        <v>49</v>
      </c>
      <c r="AK50" s="123" t="str" cm="1">
        <f t="array" aca="1" ref="AK50" ca="1">IFERROR(INDEX(ISN!$E$3:$E$1000,
SMALL(
IF((ISN!$Q$3:$Q$1000&lt;&gt;"")*(ISN!$Q$3:$Q$1000&lt;&gt;"Not Due"),
ROW(ISN!$Q$3:$Q$1000)-ROW(ISN!$Q$3)+1),
ROWS(A$2:A50))),"")</f>
        <v/>
      </c>
      <c r="AL50" s="115" t="str" cm="1">
        <f t="array" aca="1" ref="AL50" ca="1">IFERROR(INDEX(ISN!$B$3:$B$1000,
SMALL(
IF((ISN!$Q$3:$Q$1000&lt;&gt;"")*(ISN!$Q$3:$Q$1000&lt;&gt;"Not Due"),
ROW(ISN!$Q$3:$Q$1000)-ROW(ISN!$Q$3)+1),
ROWS(A$2:A50))),"")</f>
        <v/>
      </c>
      <c r="AM50" s="116" t="str" cm="1">
        <f t="array" aca="1" ref="AM50" ca="1">IFERROR(INDEX(ISN!$D$3:$D$1000,
SMALL(
IF((ISN!$Q$3:$Q$1000&lt;&gt;"")*(ISN!$Q$3:$Q$1000&lt;&gt;"Not Due"),
ROW(ISN!$Q$3:$Q$1000)-ROW(ISN!$Q$3)+1),
ROWS(A$2:A50))),"")</f>
        <v/>
      </c>
      <c r="AN50" s="116" t="str" cm="1">
        <f t="array" aca="1" ref="AN50" ca="1">IFERROR(INDEX(ISN!$G$3:$G$1000,
SMALL(
IF((ISN!$Q$3:$Q$1000&lt;&gt;"")*(ISN!$Q$3:$Q$1000&lt;&gt;"Not Due"),
ROW(ISN!$Q$3:$Q$1000)-ROW(ISN!$Q$3)+1),
ROWS(A$2:A50))),"")</f>
        <v/>
      </c>
      <c r="AO50" s="64" t="str" cm="1">
        <f t="array" aca="1" ref="AO50" ca="1">IFERROR(INDEX(ISN!$Q$3:$Q$1000,
SMALL(
IF((ISN!$Q$3:$Q$1000&lt;&gt;"")*(ISN!$Q$3:$Q$1000&lt;&gt;"Not Due"),
ROW(ISN!$Q$3:$Q$1000)-ROW(ISN!$Q$3)+1),
ROWS(A$2:A50))
),"")</f>
        <v/>
      </c>
    </row>
    <row r="51" spans="1:41" x14ac:dyDescent="0.3">
      <c r="A51" s="115">
        <v>50</v>
      </c>
      <c r="B51" s="118" t="str" cm="1">
        <f t="array" aca="1" ref="B51" ca="1">IFERROR(INDEX(FRIM!$E$3:$E$1000,
SMALL(IF(FRIM!$Q$3:$Q$1000&lt;&gt;"",
ROW(FRIM!$Q$3:$Q$1000)-ROW(FRIM!$Q$3)+1),
ROWS(A$2:A51))),"")</f>
        <v/>
      </c>
      <c r="C51" s="116" t="str" cm="1">
        <f t="array" aca="1" ref="C51" ca="1">IFERROR(INDEX(FRIM!$B$3:$B$1000,
SMALL(IF(FRIM!$Q$3:$Q$1000&lt;&gt;"",
ROW(FRIM!$Q$3:$Q$1000)-ROW(FRIM!$Q$3)+1),
ROWS(A$2:A51))),"")</f>
        <v/>
      </c>
      <c r="D51" s="116" t="str" cm="1">
        <f t="array" aca="1" ref="D51" ca="1">IFERROR(INDEX(FRIM!$D$3:$D$1000,
SMALL(IF(FRIM!$Q$3:$Q$1000&lt;&gt;"",
ROW(FRIM!$Q$3:$Q$1000)-ROW(FRIM!$Q$3)+1),
ROWS(A$2:A51))),"")</f>
        <v/>
      </c>
      <c r="E51" s="116" t="str" cm="1">
        <f t="array" aca="1" ref="E51" ca="1">IFERROR(INDEX(FRIM!$G$3:$G$1000,
SMALL(IF(FRIM!$Q$3:$Q$1000&lt;&gt;"",
ROW(FRIM!$Q$3:$Q$1000)-ROW(FRIM!$Q$3)+1),
ROWS(A$2:A51))),"")</f>
        <v/>
      </c>
      <c r="F51" s="88" t="str" cm="1">
        <f t="array" aca="1" ref="F51" ca="1">IFERROR(INDEX(FRIM!$Q$3:$Q$1000,
SMALL(IF(FRIM!$Q$3:$Q$1000&lt;&gt;"",
ROW(FRIM!$Q$3:$Q$1000)-ROW(FRIM!$Q$3)+1),
ROWS(A$2:A51))),"")</f>
        <v/>
      </c>
      <c r="H51" s="115">
        <v>50</v>
      </c>
      <c r="I51" s="119" t="str" cm="1">
        <f t="array" aca="1" ref="I51" ca="1">IFERROR(INDEX(MTIB!$E$3:$E$1000,
SMALL(
IF((MTIB!$Q$3:$Q$1000&lt;&gt;"")*(MTIB!$Q$3:$Q$1000&lt;&gt;"Not Due"),
ROW(MTIB!$Q$3:$Q$1000)-ROW(MTIB!$Q$3)+1),
ROWS(A$2:A51))),"")</f>
        <v/>
      </c>
      <c r="J51" s="115" t="str" cm="1">
        <f t="array" aca="1" ref="J51" ca="1">IFERROR(INDEX(MTIB!$B$3:$B$1000,
SMALL(
IF((MTIB!$Q$3:$Q$1000&lt;&gt;"")*(MTIB!$Q$3:$Q$1000&lt;&gt;"Not Due"),
ROW(MTIB!$Q$3:$Q$1000)-ROW(MTIB!$Q$3)+1),
ROWS(A$2:A51))),"")</f>
        <v/>
      </c>
      <c r="K51" s="115" t="str" cm="1">
        <f t="array" aca="1" ref="K51" ca="1">IFERROR(INDEX(MTIB!$D$3:$D$1000,
SMALL(
IF((MTIB!$Q$3:$Q$1000&lt;&gt;"")*(MTIB!$Q$3:$Q$1000&lt;&gt;"Not Due"),
ROW(MTIB!$Q$3:$Q$1000)-ROW(MTIB!$Q$3)+1),
ROWS(A$2:A51))),"")</f>
        <v/>
      </c>
      <c r="L51" s="116" t="str" cm="1">
        <f t="array" aca="1" ref="L51" ca="1">IFERROR(INDEX(MTIB!$G$3:$G$1000,
SMALL(
IF((MTIB!$Q$3:$Q$1000&lt;&gt;"")*(MTIB!$Q$3:$Q$1000&lt;&gt;"Not Due"),
ROW(MTIB!$Q$3:$Q$1000)-ROW(MTIB!$Q$3)+1),
ROWS(A$2:A51))),"")</f>
        <v/>
      </c>
      <c r="M51" s="88" t="str" cm="1">
        <f t="array" aca="1" ref="M51" ca="1">IFERROR(INDEX(MTIB!$Q$3:$Q$1000,
SMALL(
IF((MTIB!$Q$3:$Q$1000&lt;&gt;"")*(MTIB!$Q$3:$Q$1000&lt;&gt;"Not Due"),
ROW(MTIB!$Q$3:$Q$1000)-ROW(MTIB!$Q$3)+1),
ROWS(A$2:A51))
),"")</f>
        <v/>
      </c>
      <c r="O51" s="115">
        <v>50</v>
      </c>
      <c r="P51" s="120" t="str" cm="1">
        <f t="array" aca="1" ref="P51" ca="1">IFERROR(INDEX(MPOB!$E$3:$E$1000,
SMALL(
IF((MPOB!$Q$3:$Q$1000&lt;&gt;"")*(MPOB!$Q$3:$Q$1000&lt;&gt;"Not Due"),
ROW(MPOB!$Q$3:$Q$1000)-ROW(MPOB!$Q$3)+1),
ROWS(A$2:A51))),"")</f>
        <v/>
      </c>
      <c r="Q51" s="115" t="str" cm="1">
        <f t="array" aca="1" ref="Q51" ca="1">IFERROR(INDEX(MPOB!$B$3:$B$1000,
SMALL(
IF((MPOB!$Q$3:$Q$1000&lt;&gt;"")*(MPOB!$Q$3:$Q$1000&lt;&gt;"Not Due"),
ROW(MPOB!$Q$3:$Q$1000)-ROW(MPOB!$Q$3)+1),
ROWS(A$2:A51))),"")</f>
        <v/>
      </c>
      <c r="R51" s="115" t="str" cm="1">
        <f t="array" aca="1" ref="R51" ca="1">IFERROR(INDEX(MPOB!$D$3:$D$1000,
SMALL(
IF((MPOB!$Q$3:$Q$1000&lt;&gt;"")*(MPOB!$Q$3:$Q$1000&lt;&gt;"Not Due"),
ROW(MPOB!$Q$3:$Q$1000)-ROW(MPOB!$Q$3)+1),
ROWS(A$2:A51))),"")</f>
        <v/>
      </c>
      <c r="S51" s="116" t="str" cm="1">
        <f t="array" aca="1" ref="S51" ca="1">IFERROR(INDEX(MPOB!$G$3:$G$1000,
SMALL(
IF((MPOB!$Q$3:$Q$1000&lt;&gt;"")*(MPOB!$Q$3:$Q$1000&lt;&gt;"Not Due"),
ROW(MPOB!$Q$3:$Q$1000)-ROW(MPOB!$Q$3)+1),
ROWS(A$2:A51))),"")</f>
        <v/>
      </c>
      <c r="T51" s="88" t="str" cm="1">
        <f t="array" aca="1" ref="T51" ca="1">IFERROR(INDEX(MPOB!$Q$3:$Q$1000,
SMALL(
IF((MPOB!$Q$3:$Q$1000&lt;&gt;"")*(MPOB!$Q$3:$Q$1000&lt;&gt;"Not Due"),
ROW(MPOB!$Q$3:$Q$1000)-ROW(MPOB!$Q$3)+1),
ROWS(A$2:A51))
),"")</f>
        <v/>
      </c>
      <c r="V51" s="115">
        <v>50</v>
      </c>
      <c r="W51" s="121" t="str" cm="1">
        <f t="array" aca="1" ref="W51" ca="1">IFERROR(INDEX(LKTN!$E$3:$E$1000,
SMALL(
IF((LKTN!$Q$3:$Q$1000&lt;&gt;"")*(LKTN!$Q$3:$Q$1000&lt;&gt;"Not Due"),
ROW(LKTN!$Q$3:$Q$1000)-ROW(LKTN!$Q$3)+1),
ROWS(A$2:A51))),"")</f>
        <v/>
      </c>
      <c r="X51" s="115" t="str" cm="1">
        <f t="array" aca="1" ref="X51" ca="1">IFERROR(INDEX(LKTN!$B$3:$B$1000,
SMALL(
IF((LKTN!$Q$3:$Q$1000&lt;&gt;"")*(LKTN!$Q$3:$Q$1000&lt;&gt;"Not Due"),
ROW(LKTN!$Q$3:$Q$1000)-ROW(LKTN!$Q$3)+1),
ROWS(A$2:A51))),"")</f>
        <v/>
      </c>
      <c r="Y51" s="115" t="str" cm="1">
        <f t="array" aca="1" ref="Y51" ca="1">IFERROR(INDEX(LKTN!$D$3:$D$1000,
SMALL(
IF((LKTN!$Q$3:$Q$1000&lt;&gt;"")*(LKTN!$Q$3:$Q$1000&lt;&gt;"Not Due"),
ROW(LKTN!$Q$3:$Q$1000)-ROW(LKTN!$Q$3)+1),
ROWS(A$2:A51))),"")</f>
        <v/>
      </c>
      <c r="Z51" s="116" t="str" cm="1">
        <f t="array" aca="1" ref="Z51" ca="1">IFERROR(INDEX(LKTN!$G$3:$G$1000,
SMALL(
IF((LKTN!$Q$3:$Q$1000&lt;&gt;"")*(LKTN!$Q$3:$Q$1000&lt;&gt;"Not Due"),
ROW(LKTN!$Q$3:$Q$1000)-ROW(LKTN!$Q$3)+1),
ROWS(A$2:A51))),"")</f>
        <v/>
      </c>
      <c r="AA51" s="64" t="str" cm="1">
        <f t="array" aca="1" ref="AA51" ca="1">IFERROR(INDEX(LKTN!$Q$3:$Q$1000,
SMALL(
IF((LKTN!$Q$3:$Q$1000&lt;&gt;"")*(LKTN!$Q$3:$Q$1000&lt;&gt;"Not Due"),
ROW(LKTN!$Q$3:$Q$1000)-ROW(LKTN!$Q$3)+1),
ROWS(A$2:A51))
),"")</f>
        <v/>
      </c>
      <c r="AJ51" s="115">
        <v>50</v>
      </c>
      <c r="AK51" s="123" t="str" cm="1">
        <f t="array" aca="1" ref="AK51" ca="1">IFERROR(INDEX(ISN!$E$3:$E$1000,
SMALL(
IF((ISN!$Q$3:$Q$1000&lt;&gt;"")*(ISN!$Q$3:$Q$1000&lt;&gt;"Not Due"),
ROW(ISN!$Q$3:$Q$1000)-ROW(ISN!$Q$3)+1),
ROWS(A$2:A51))),"")</f>
        <v/>
      </c>
      <c r="AL51" s="115" t="str" cm="1">
        <f t="array" aca="1" ref="AL51" ca="1">IFERROR(INDEX(ISN!$B$3:$B$1000,
SMALL(
IF((ISN!$Q$3:$Q$1000&lt;&gt;"")*(ISN!$Q$3:$Q$1000&lt;&gt;"Not Due"),
ROW(ISN!$Q$3:$Q$1000)-ROW(ISN!$Q$3)+1),
ROWS(A$2:A51))),"")</f>
        <v/>
      </c>
      <c r="AM51" s="116" t="str" cm="1">
        <f t="array" aca="1" ref="AM51" ca="1">IFERROR(INDEX(ISN!$D$3:$D$1000,
SMALL(
IF((ISN!$Q$3:$Q$1000&lt;&gt;"")*(ISN!$Q$3:$Q$1000&lt;&gt;"Not Due"),
ROW(ISN!$Q$3:$Q$1000)-ROW(ISN!$Q$3)+1),
ROWS(A$2:A51))),"")</f>
        <v/>
      </c>
      <c r="AN51" s="116" t="str" cm="1">
        <f t="array" aca="1" ref="AN51" ca="1">IFERROR(INDEX(ISN!$G$3:$G$1000,
SMALL(
IF((ISN!$Q$3:$Q$1000&lt;&gt;"")*(ISN!$Q$3:$Q$1000&lt;&gt;"Not Due"),
ROW(ISN!$Q$3:$Q$1000)-ROW(ISN!$Q$3)+1),
ROWS(A$2:A51))),"")</f>
        <v/>
      </c>
      <c r="AO51" s="64" t="str" cm="1">
        <f t="array" aca="1" ref="AO51" ca="1">IFERROR(INDEX(ISN!$Q$3:$Q$1000,
SMALL(
IF((ISN!$Q$3:$Q$1000&lt;&gt;"")*(ISN!$Q$3:$Q$1000&lt;&gt;"Not Due"),
ROW(ISN!$Q$3:$Q$1000)-ROW(ISN!$Q$3)+1),
ROWS(A$2:A51))
),"")</f>
        <v/>
      </c>
    </row>
    <row r="52" spans="1:41" x14ac:dyDescent="0.3">
      <c r="A52" s="115">
        <v>51</v>
      </c>
      <c r="B52" s="118" t="str" cm="1">
        <f t="array" aca="1" ref="B52" ca="1">IFERROR(INDEX(FRIM!$E$3:$E$1000,
SMALL(IF(FRIM!$Q$3:$Q$1000&lt;&gt;"",
ROW(FRIM!$Q$3:$Q$1000)-ROW(FRIM!$Q$3)+1),
ROWS(A$2:A52))),"")</f>
        <v/>
      </c>
      <c r="C52" s="116" t="str" cm="1">
        <f t="array" aca="1" ref="C52" ca="1">IFERROR(INDEX(FRIM!$B$3:$B$1000,
SMALL(IF(FRIM!$Q$3:$Q$1000&lt;&gt;"",
ROW(FRIM!$Q$3:$Q$1000)-ROW(FRIM!$Q$3)+1),
ROWS(A$2:A52))),"")</f>
        <v/>
      </c>
      <c r="D52" s="116" t="str" cm="1">
        <f t="array" aca="1" ref="D52" ca="1">IFERROR(INDEX(FRIM!$D$3:$D$1000,
SMALL(IF(FRIM!$Q$3:$Q$1000&lt;&gt;"",
ROW(FRIM!$Q$3:$Q$1000)-ROW(FRIM!$Q$3)+1),
ROWS(A$2:A52))),"")</f>
        <v/>
      </c>
      <c r="E52" s="116" t="str" cm="1">
        <f t="array" aca="1" ref="E52" ca="1">IFERROR(INDEX(FRIM!$G$3:$G$1000,
SMALL(IF(FRIM!$Q$3:$Q$1000&lt;&gt;"",
ROW(FRIM!$Q$3:$Q$1000)-ROW(FRIM!$Q$3)+1),
ROWS(A$2:A52))),"")</f>
        <v/>
      </c>
      <c r="F52" s="88" t="str" cm="1">
        <f t="array" aca="1" ref="F52" ca="1">IFERROR(INDEX(FRIM!$Q$3:$Q$1000,
SMALL(IF(FRIM!$Q$3:$Q$1000&lt;&gt;"",
ROW(FRIM!$Q$3:$Q$1000)-ROW(FRIM!$Q$3)+1),
ROWS(A$2:A52))),"")</f>
        <v/>
      </c>
      <c r="H52" s="115">
        <v>51</v>
      </c>
      <c r="I52" s="119" t="str" cm="1">
        <f t="array" aca="1" ref="I52" ca="1">IFERROR(INDEX(MTIB!$E$3:$E$1000,
SMALL(
IF((MTIB!$Q$3:$Q$1000&lt;&gt;"")*(MTIB!$Q$3:$Q$1000&lt;&gt;"Not Due"),
ROW(MTIB!$Q$3:$Q$1000)-ROW(MTIB!$Q$3)+1),
ROWS(A$2:A52))),"")</f>
        <v/>
      </c>
      <c r="J52" s="115" t="str" cm="1">
        <f t="array" aca="1" ref="J52" ca="1">IFERROR(INDEX(MTIB!$B$3:$B$1000,
SMALL(
IF((MTIB!$Q$3:$Q$1000&lt;&gt;"")*(MTIB!$Q$3:$Q$1000&lt;&gt;"Not Due"),
ROW(MTIB!$Q$3:$Q$1000)-ROW(MTIB!$Q$3)+1),
ROWS(A$2:A52))),"")</f>
        <v/>
      </c>
      <c r="K52" s="115" t="str" cm="1">
        <f t="array" aca="1" ref="K52" ca="1">IFERROR(INDEX(MTIB!$D$3:$D$1000,
SMALL(
IF((MTIB!$Q$3:$Q$1000&lt;&gt;"")*(MTIB!$Q$3:$Q$1000&lt;&gt;"Not Due"),
ROW(MTIB!$Q$3:$Q$1000)-ROW(MTIB!$Q$3)+1),
ROWS(A$2:A52))),"")</f>
        <v/>
      </c>
      <c r="L52" s="116" t="str" cm="1">
        <f t="array" aca="1" ref="L52" ca="1">IFERROR(INDEX(MTIB!$G$3:$G$1000,
SMALL(
IF((MTIB!$Q$3:$Q$1000&lt;&gt;"")*(MTIB!$Q$3:$Q$1000&lt;&gt;"Not Due"),
ROW(MTIB!$Q$3:$Q$1000)-ROW(MTIB!$Q$3)+1),
ROWS(A$2:A52))),"")</f>
        <v/>
      </c>
      <c r="M52" s="88" t="str" cm="1">
        <f t="array" aca="1" ref="M52" ca="1">IFERROR(INDEX(MTIB!$Q$3:$Q$1000,
SMALL(
IF((MTIB!$Q$3:$Q$1000&lt;&gt;"")*(MTIB!$Q$3:$Q$1000&lt;&gt;"Not Due"),
ROW(MTIB!$Q$3:$Q$1000)-ROW(MTIB!$Q$3)+1),
ROWS(A$2:A52))
),"")</f>
        <v/>
      </c>
      <c r="O52" s="115">
        <v>51</v>
      </c>
      <c r="P52" s="120" t="str" cm="1">
        <f t="array" aca="1" ref="P52" ca="1">IFERROR(INDEX(MPOB!$E$3:$E$1000,
SMALL(
IF((MPOB!$Q$3:$Q$1000&lt;&gt;"")*(MPOB!$Q$3:$Q$1000&lt;&gt;"Not Due"),
ROW(MPOB!$Q$3:$Q$1000)-ROW(MPOB!$Q$3)+1),
ROWS(A$2:A52))),"")</f>
        <v/>
      </c>
      <c r="Q52" s="115" t="str" cm="1">
        <f t="array" aca="1" ref="Q52" ca="1">IFERROR(INDEX(MPOB!$B$3:$B$1000,
SMALL(
IF((MPOB!$Q$3:$Q$1000&lt;&gt;"")*(MPOB!$Q$3:$Q$1000&lt;&gt;"Not Due"),
ROW(MPOB!$Q$3:$Q$1000)-ROW(MPOB!$Q$3)+1),
ROWS(A$2:A52))),"")</f>
        <v/>
      </c>
      <c r="R52" s="115" t="str" cm="1">
        <f t="array" aca="1" ref="R52" ca="1">IFERROR(INDEX(MPOB!$D$3:$D$1000,
SMALL(
IF((MPOB!$Q$3:$Q$1000&lt;&gt;"")*(MPOB!$Q$3:$Q$1000&lt;&gt;"Not Due"),
ROW(MPOB!$Q$3:$Q$1000)-ROW(MPOB!$Q$3)+1),
ROWS(A$2:A52))),"")</f>
        <v/>
      </c>
      <c r="S52" s="116" t="str" cm="1">
        <f t="array" aca="1" ref="S52" ca="1">IFERROR(INDEX(MPOB!$G$3:$G$1000,
SMALL(
IF((MPOB!$Q$3:$Q$1000&lt;&gt;"")*(MPOB!$Q$3:$Q$1000&lt;&gt;"Not Due"),
ROW(MPOB!$Q$3:$Q$1000)-ROW(MPOB!$Q$3)+1),
ROWS(A$2:A52))),"")</f>
        <v/>
      </c>
      <c r="T52" s="88" t="str" cm="1">
        <f t="array" aca="1" ref="T52" ca="1">IFERROR(INDEX(MPOB!$Q$3:$Q$1000,
SMALL(
IF((MPOB!$Q$3:$Q$1000&lt;&gt;"")*(MPOB!$Q$3:$Q$1000&lt;&gt;"Not Due"),
ROW(MPOB!$Q$3:$Q$1000)-ROW(MPOB!$Q$3)+1),
ROWS(A$2:A52))
),"")</f>
        <v/>
      </c>
      <c r="V52" s="115">
        <v>51</v>
      </c>
      <c r="W52" s="121" t="str" cm="1">
        <f t="array" aca="1" ref="W52" ca="1">IFERROR(INDEX(LKTN!$E$3:$E$1000,
SMALL(
IF((LKTN!$Q$3:$Q$1000&lt;&gt;"")*(LKTN!$Q$3:$Q$1000&lt;&gt;"Not Due"),
ROW(LKTN!$Q$3:$Q$1000)-ROW(LKTN!$Q$3)+1),
ROWS(A$2:A52))),"")</f>
        <v/>
      </c>
      <c r="X52" s="115" t="str" cm="1">
        <f t="array" aca="1" ref="X52" ca="1">IFERROR(INDEX(LKTN!$B$3:$B$1000,
SMALL(
IF((LKTN!$Q$3:$Q$1000&lt;&gt;"")*(LKTN!$Q$3:$Q$1000&lt;&gt;"Not Due"),
ROW(LKTN!$Q$3:$Q$1000)-ROW(LKTN!$Q$3)+1),
ROWS(A$2:A52))),"")</f>
        <v/>
      </c>
      <c r="Y52" s="115" t="str" cm="1">
        <f t="array" aca="1" ref="Y52" ca="1">IFERROR(INDEX(LKTN!$D$3:$D$1000,
SMALL(
IF((LKTN!$Q$3:$Q$1000&lt;&gt;"")*(LKTN!$Q$3:$Q$1000&lt;&gt;"Not Due"),
ROW(LKTN!$Q$3:$Q$1000)-ROW(LKTN!$Q$3)+1),
ROWS(A$2:A52))),"")</f>
        <v/>
      </c>
      <c r="Z52" s="116" t="str" cm="1">
        <f t="array" aca="1" ref="Z52" ca="1">IFERROR(INDEX(LKTN!$G$3:$G$1000,
SMALL(
IF((LKTN!$Q$3:$Q$1000&lt;&gt;"")*(LKTN!$Q$3:$Q$1000&lt;&gt;"Not Due"),
ROW(LKTN!$Q$3:$Q$1000)-ROW(LKTN!$Q$3)+1),
ROWS(A$2:A52))),"")</f>
        <v/>
      </c>
      <c r="AA52" s="64" t="str" cm="1">
        <f t="array" aca="1" ref="AA52" ca="1">IFERROR(INDEX(LKTN!$Q$3:$Q$1000,
SMALL(
IF((LKTN!$Q$3:$Q$1000&lt;&gt;"")*(LKTN!$Q$3:$Q$1000&lt;&gt;"Not Due"),
ROW(LKTN!$Q$3:$Q$1000)-ROW(LKTN!$Q$3)+1),
ROWS(A$2:A52))
),"")</f>
        <v/>
      </c>
      <c r="AJ52" s="115">
        <v>51</v>
      </c>
      <c r="AK52" s="123" t="str" cm="1">
        <f t="array" aca="1" ref="AK52" ca="1">IFERROR(INDEX(ISN!$E$3:$E$1000,
SMALL(
IF((ISN!$Q$3:$Q$1000&lt;&gt;"")*(ISN!$Q$3:$Q$1000&lt;&gt;"Not Due"),
ROW(ISN!$Q$3:$Q$1000)-ROW(ISN!$Q$3)+1),
ROWS(A$2:A52))),"")</f>
        <v/>
      </c>
      <c r="AL52" s="115" t="str" cm="1">
        <f t="array" aca="1" ref="AL52" ca="1">IFERROR(INDEX(ISN!$B$3:$B$1000,
SMALL(
IF((ISN!$Q$3:$Q$1000&lt;&gt;"")*(ISN!$Q$3:$Q$1000&lt;&gt;"Not Due"),
ROW(ISN!$Q$3:$Q$1000)-ROW(ISN!$Q$3)+1),
ROWS(A$2:A52))),"")</f>
        <v/>
      </c>
      <c r="AM52" s="116" t="str" cm="1">
        <f t="array" aca="1" ref="AM52" ca="1">IFERROR(INDEX(ISN!$D$3:$D$1000,
SMALL(
IF((ISN!$Q$3:$Q$1000&lt;&gt;"")*(ISN!$Q$3:$Q$1000&lt;&gt;"Not Due"),
ROW(ISN!$Q$3:$Q$1000)-ROW(ISN!$Q$3)+1),
ROWS(A$2:A52))),"")</f>
        <v/>
      </c>
      <c r="AN52" s="116" t="str" cm="1">
        <f t="array" aca="1" ref="AN52" ca="1">IFERROR(INDEX(ISN!$G$3:$G$1000,
SMALL(
IF((ISN!$Q$3:$Q$1000&lt;&gt;"")*(ISN!$Q$3:$Q$1000&lt;&gt;"Not Due"),
ROW(ISN!$Q$3:$Q$1000)-ROW(ISN!$Q$3)+1),
ROWS(A$2:A52))),"")</f>
        <v/>
      </c>
      <c r="AO52" s="64" t="str" cm="1">
        <f t="array" aca="1" ref="AO52" ca="1">IFERROR(INDEX(ISN!$Q$3:$Q$1000,
SMALL(
IF((ISN!$Q$3:$Q$1000&lt;&gt;"")*(ISN!$Q$3:$Q$1000&lt;&gt;"Not Due"),
ROW(ISN!$Q$3:$Q$1000)-ROW(ISN!$Q$3)+1),
ROWS(A$2:A52))
),"")</f>
        <v/>
      </c>
    </row>
    <row r="53" spans="1:41" x14ac:dyDescent="0.3">
      <c r="A53" s="115">
        <v>52</v>
      </c>
      <c r="B53" s="118" t="str" cm="1">
        <f t="array" aca="1" ref="B53" ca="1">IFERROR(INDEX(FRIM!$E$3:$E$1000,
SMALL(IF(FRIM!$Q$3:$Q$1000&lt;&gt;"",
ROW(FRIM!$Q$3:$Q$1000)-ROW(FRIM!$Q$3)+1),
ROWS(A$2:A53))),"")</f>
        <v/>
      </c>
      <c r="C53" s="116" t="str" cm="1">
        <f t="array" aca="1" ref="C53" ca="1">IFERROR(INDEX(FRIM!$B$3:$B$1000,
SMALL(IF(FRIM!$Q$3:$Q$1000&lt;&gt;"",
ROW(FRIM!$Q$3:$Q$1000)-ROW(FRIM!$Q$3)+1),
ROWS(A$2:A53))),"")</f>
        <v/>
      </c>
      <c r="D53" s="116" t="str" cm="1">
        <f t="array" aca="1" ref="D53" ca="1">IFERROR(INDEX(FRIM!$D$3:$D$1000,
SMALL(IF(FRIM!$Q$3:$Q$1000&lt;&gt;"",
ROW(FRIM!$Q$3:$Q$1000)-ROW(FRIM!$Q$3)+1),
ROWS(A$2:A53))),"")</f>
        <v/>
      </c>
      <c r="E53" s="116" t="str" cm="1">
        <f t="array" aca="1" ref="E53" ca="1">IFERROR(INDEX(FRIM!$G$3:$G$1000,
SMALL(IF(FRIM!$Q$3:$Q$1000&lt;&gt;"",
ROW(FRIM!$Q$3:$Q$1000)-ROW(FRIM!$Q$3)+1),
ROWS(A$2:A53))),"")</f>
        <v/>
      </c>
      <c r="F53" s="88" t="str" cm="1">
        <f t="array" aca="1" ref="F53" ca="1">IFERROR(INDEX(FRIM!$Q$3:$Q$1000,
SMALL(IF(FRIM!$Q$3:$Q$1000&lt;&gt;"",
ROW(FRIM!$Q$3:$Q$1000)-ROW(FRIM!$Q$3)+1),
ROWS(A$2:A53))),"")</f>
        <v/>
      </c>
      <c r="H53" s="115">
        <v>52</v>
      </c>
      <c r="I53" s="119" t="str" cm="1">
        <f t="array" aca="1" ref="I53" ca="1">IFERROR(INDEX(MTIB!$E$3:$E$1000,
SMALL(
IF((MTIB!$Q$3:$Q$1000&lt;&gt;"")*(MTIB!$Q$3:$Q$1000&lt;&gt;"Not Due"),
ROW(MTIB!$Q$3:$Q$1000)-ROW(MTIB!$Q$3)+1),
ROWS(A$2:A53))),"")</f>
        <v/>
      </c>
      <c r="J53" s="115" t="str" cm="1">
        <f t="array" aca="1" ref="J53" ca="1">IFERROR(INDEX(MTIB!$B$3:$B$1000,
SMALL(
IF((MTIB!$Q$3:$Q$1000&lt;&gt;"")*(MTIB!$Q$3:$Q$1000&lt;&gt;"Not Due"),
ROW(MTIB!$Q$3:$Q$1000)-ROW(MTIB!$Q$3)+1),
ROWS(A$2:A53))),"")</f>
        <v/>
      </c>
      <c r="K53" s="115" t="str" cm="1">
        <f t="array" aca="1" ref="K53" ca="1">IFERROR(INDEX(MTIB!$D$3:$D$1000,
SMALL(
IF((MTIB!$Q$3:$Q$1000&lt;&gt;"")*(MTIB!$Q$3:$Q$1000&lt;&gt;"Not Due"),
ROW(MTIB!$Q$3:$Q$1000)-ROW(MTIB!$Q$3)+1),
ROWS(A$2:A53))),"")</f>
        <v/>
      </c>
      <c r="L53" s="116" t="str" cm="1">
        <f t="array" aca="1" ref="L53" ca="1">IFERROR(INDEX(MTIB!$G$3:$G$1000,
SMALL(
IF((MTIB!$Q$3:$Q$1000&lt;&gt;"")*(MTIB!$Q$3:$Q$1000&lt;&gt;"Not Due"),
ROW(MTIB!$Q$3:$Q$1000)-ROW(MTIB!$Q$3)+1),
ROWS(A$2:A53))),"")</f>
        <v/>
      </c>
      <c r="M53" s="88" t="str" cm="1">
        <f t="array" aca="1" ref="M53" ca="1">IFERROR(INDEX(MTIB!$Q$3:$Q$1000,
SMALL(
IF((MTIB!$Q$3:$Q$1000&lt;&gt;"")*(MTIB!$Q$3:$Q$1000&lt;&gt;"Not Due"),
ROW(MTIB!$Q$3:$Q$1000)-ROW(MTIB!$Q$3)+1),
ROWS(A$2:A53))
),"")</f>
        <v/>
      </c>
      <c r="O53" s="115">
        <v>52</v>
      </c>
      <c r="P53" s="120" t="str" cm="1">
        <f t="array" aca="1" ref="P53" ca="1">IFERROR(INDEX(MPOB!$E$3:$E$1000,
SMALL(
IF((MPOB!$Q$3:$Q$1000&lt;&gt;"")*(MPOB!$Q$3:$Q$1000&lt;&gt;"Not Due"),
ROW(MPOB!$Q$3:$Q$1000)-ROW(MPOB!$Q$3)+1),
ROWS(A$2:A53))),"")</f>
        <v/>
      </c>
      <c r="Q53" s="115" t="str" cm="1">
        <f t="array" aca="1" ref="Q53" ca="1">IFERROR(INDEX(MPOB!$B$3:$B$1000,
SMALL(
IF((MPOB!$Q$3:$Q$1000&lt;&gt;"")*(MPOB!$Q$3:$Q$1000&lt;&gt;"Not Due"),
ROW(MPOB!$Q$3:$Q$1000)-ROW(MPOB!$Q$3)+1),
ROWS(A$2:A53))),"")</f>
        <v/>
      </c>
      <c r="R53" s="115" t="str" cm="1">
        <f t="array" aca="1" ref="R53" ca="1">IFERROR(INDEX(MPOB!$D$3:$D$1000,
SMALL(
IF((MPOB!$Q$3:$Q$1000&lt;&gt;"")*(MPOB!$Q$3:$Q$1000&lt;&gt;"Not Due"),
ROW(MPOB!$Q$3:$Q$1000)-ROW(MPOB!$Q$3)+1),
ROWS(A$2:A53))),"")</f>
        <v/>
      </c>
      <c r="S53" s="116" t="str" cm="1">
        <f t="array" aca="1" ref="S53" ca="1">IFERROR(INDEX(MPOB!$G$3:$G$1000,
SMALL(
IF((MPOB!$Q$3:$Q$1000&lt;&gt;"")*(MPOB!$Q$3:$Q$1000&lt;&gt;"Not Due"),
ROW(MPOB!$Q$3:$Q$1000)-ROW(MPOB!$Q$3)+1),
ROWS(A$2:A53))),"")</f>
        <v/>
      </c>
      <c r="T53" s="88" t="str" cm="1">
        <f t="array" aca="1" ref="T53" ca="1">IFERROR(INDEX(MPOB!$Q$3:$Q$1000,
SMALL(
IF((MPOB!$Q$3:$Q$1000&lt;&gt;"")*(MPOB!$Q$3:$Q$1000&lt;&gt;"Not Due"),
ROW(MPOB!$Q$3:$Q$1000)-ROW(MPOB!$Q$3)+1),
ROWS(A$2:A53))
),"")</f>
        <v/>
      </c>
      <c r="V53" s="115">
        <v>52</v>
      </c>
      <c r="W53" s="121" t="str" cm="1">
        <f t="array" aca="1" ref="W53" ca="1">IFERROR(INDEX(LKTN!$E$3:$E$1000,
SMALL(
IF((LKTN!$Q$3:$Q$1000&lt;&gt;"")*(LKTN!$Q$3:$Q$1000&lt;&gt;"Not Due"),
ROW(LKTN!$Q$3:$Q$1000)-ROW(LKTN!$Q$3)+1),
ROWS(A$2:A53))),"")</f>
        <v/>
      </c>
      <c r="X53" s="115" t="str" cm="1">
        <f t="array" aca="1" ref="X53" ca="1">IFERROR(INDEX(LKTN!$B$3:$B$1000,
SMALL(
IF((LKTN!$Q$3:$Q$1000&lt;&gt;"")*(LKTN!$Q$3:$Q$1000&lt;&gt;"Not Due"),
ROW(LKTN!$Q$3:$Q$1000)-ROW(LKTN!$Q$3)+1),
ROWS(A$2:A53))),"")</f>
        <v/>
      </c>
      <c r="Y53" s="115" t="str" cm="1">
        <f t="array" aca="1" ref="Y53" ca="1">IFERROR(INDEX(LKTN!$D$3:$D$1000,
SMALL(
IF((LKTN!$Q$3:$Q$1000&lt;&gt;"")*(LKTN!$Q$3:$Q$1000&lt;&gt;"Not Due"),
ROW(LKTN!$Q$3:$Q$1000)-ROW(LKTN!$Q$3)+1),
ROWS(A$2:A53))),"")</f>
        <v/>
      </c>
      <c r="Z53" s="116" t="str" cm="1">
        <f t="array" aca="1" ref="Z53" ca="1">IFERROR(INDEX(LKTN!$G$3:$G$1000,
SMALL(
IF((LKTN!$Q$3:$Q$1000&lt;&gt;"")*(LKTN!$Q$3:$Q$1000&lt;&gt;"Not Due"),
ROW(LKTN!$Q$3:$Q$1000)-ROW(LKTN!$Q$3)+1),
ROWS(A$2:A53))),"")</f>
        <v/>
      </c>
      <c r="AA53" s="64" t="str" cm="1">
        <f t="array" aca="1" ref="AA53" ca="1">IFERROR(INDEX(LKTN!$Q$3:$Q$1000,
SMALL(
IF((LKTN!$Q$3:$Q$1000&lt;&gt;"")*(LKTN!$Q$3:$Q$1000&lt;&gt;"Not Due"),
ROW(LKTN!$Q$3:$Q$1000)-ROW(LKTN!$Q$3)+1),
ROWS(A$2:A53))
),"")</f>
        <v/>
      </c>
      <c r="AJ53" s="115">
        <v>52</v>
      </c>
      <c r="AK53" s="123" t="str" cm="1">
        <f t="array" aca="1" ref="AK53" ca="1">IFERROR(INDEX(ISN!$E$3:$E$1000,
SMALL(
IF((ISN!$Q$3:$Q$1000&lt;&gt;"")*(ISN!$Q$3:$Q$1000&lt;&gt;"Not Due"),
ROW(ISN!$Q$3:$Q$1000)-ROW(ISN!$Q$3)+1),
ROWS(A$2:A53))),"")</f>
        <v/>
      </c>
      <c r="AL53" s="115" t="str" cm="1">
        <f t="array" aca="1" ref="AL53" ca="1">IFERROR(INDEX(ISN!$B$3:$B$1000,
SMALL(
IF((ISN!$Q$3:$Q$1000&lt;&gt;"")*(ISN!$Q$3:$Q$1000&lt;&gt;"Not Due"),
ROW(ISN!$Q$3:$Q$1000)-ROW(ISN!$Q$3)+1),
ROWS(A$2:A53))),"")</f>
        <v/>
      </c>
      <c r="AM53" s="116" t="str" cm="1">
        <f t="array" aca="1" ref="AM53" ca="1">IFERROR(INDEX(ISN!$D$3:$D$1000,
SMALL(
IF((ISN!$Q$3:$Q$1000&lt;&gt;"")*(ISN!$Q$3:$Q$1000&lt;&gt;"Not Due"),
ROW(ISN!$Q$3:$Q$1000)-ROW(ISN!$Q$3)+1),
ROWS(A$2:A53))),"")</f>
        <v/>
      </c>
      <c r="AN53" s="116" t="str" cm="1">
        <f t="array" aca="1" ref="AN53" ca="1">IFERROR(INDEX(ISN!$G$3:$G$1000,
SMALL(
IF((ISN!$Q$3:$Q$1000&lt;&gt;"")*(ISN!$Q$3:$Q$1000&lt;&gt;"Not Due"),
ROW(ISN!$Q$3:$Q$1000)-ROW(ISN!$Q$3)+1),
ROWS(A$2:A53))),"")</f>
        <v/>
      </c>
      <c r="AO53" s="64" t="str" cm="1">
        <f t="array" aca="1" ref="AO53" ca="1">IFERROR(INDEX(ISN!$Q$3:$Q$1000,
SMALL(
IF((ISN!$Q$3:$Q$1000&lt;&gt;"")*(ISN!$Q$3:$Q$1000&lt;&gt;"Not Due"),
ROW(ISN!$Q$3:$Q$1000)-ROW(ISN!$Q$3)+1),
ROWS(A$2:A53))
),"")</f>
        <v/>
      </c>
    </row>
    <row r="54" spans="1:41" x14ac:dyDescent="0.3">
      <c r="A54" s="115">
        <v>53</v>
      </c>
      <c r="B54" s="118" t="str" cm="1">
        <f t="array" aca="1" ref="B54" ca="1">IFERROR(INDEX(FRIM!$E$3:$E$1000,
SMALL(IF(FRIM!$Q$3:$Q$1000&lt;&gt;"",
ROW(FRIM!$Q$3:$Q$1000)-ROW(FRIM!$Q$3)+1),
ROWS(A$2:A54))),"")</f>
        <v/>
      </c>
      <c r="C54" s="116" t="str" cm="1">
        <f t="array" aca="1" ref="C54" ca="1">IFERROR(INDEX(FRIM!$B$3:$B$1000,
SMALL(IF(FRIM!$Q$3:$Q$1000&lt;&gt;"",
ROW(FRIM!$Q$3:$Q$1000)-ROW(FRIM!$Q$3)+1),
ROWS(A$2:A54))),"")</f>
        <v/>
      </c>
      <c r="D54" s="116" t="str" cm="1">
        <f t="array" aca="1" ref="D54" ca="1">IFERROR(INDEX(FRIM!$D$3:$D$1000,
SMALL(IF(FRIM!$Q$3:$Q$1000&lt;&gt;"",
ROW(FRIM!$Q$3:$Q$1000)-ROW(FRIM!$Q$3)+1),
ROWS(A$2:A54))),"")</f>
        <v/>
      </c>
      <c r="E54" s="116" t="str" cm="1">
        <f t="array" aca="1" ref="E54" ca="1">IFERROR(INDEX(FRIM!$G$3:$G$1000,
SMALL(IF(FRIM!$Q$3:$Q$1000&lt;&gt;"",
ROW(FRIM!$Q$3:$Q$1000)-ROW(FRIM!$Q$3)+1),
ROWS(A$2:A54))),"")</f>
        <v/>
      </c>
      <c r="F54" s="88" t="str" cm="1">
        <f t="array" aca="1" ref="F54" ca="1">IFERROR(INDEX(FRIM!$Q$3:$Q$1000,
SMALL(IF(FRIM!$Q$3:$Q$1000&lt;&gt;"",
ROW(FRIM!$Q$3:$Q$1000)-ROW(FRIM!$Q$3)+1),
ROWS(A$2:A54))),"")</f>
        <v/>
      </c>
      <c r="H54" s="115">
        <v>53</v>
      </c>
      <c r="I54" s="119" t="str" cm="1">
        <f t="array" aca="1" ref="I54" ca="1">IFERROR(INDEX(MTIB!$E$3:$E$1000,
SMALL(
IF((MTIB!$Q$3:$Q$1000&lt;&gt;"")*(MTIB!$Q$3:$Q$1000&lt;&gt;"Not Due"),
ROW(MTIB!$Q$3:$Q$1000)-ROW(MTIB!$Q$3)+1),
ROWS(A$2:A54))),"")</f>
        <v/>
      </c>
      <c r="J54" s="115" t="str" cm="1">
        <f t="array" aca="1" ref="J54" ca="1">IFERROR(INDEX(MTIB!$B$3:$B$1000,
SMALL(
IF((MTIB!$Q$3:$Q$1000&lt;&gt;"")*(MTIB!$Q$3:$Q$1000&lt;&gt;"Not Due"),
ROW(MTIB!$Q$3:$Q$1000)-ROW(MTIB!$Q$3)+1),
ROWS(A$2:A54))),"")</f>
        <v/>
      </c>
      <c r="K54" s="115" t="str" cm="1">
        <f t="array" aca="1" ref="K54" ca="1">IFERROR(INDEX(MTIB!$D$3:$D$1000,
SMALL(
IF((MTIB!$Q$3:$Q$1000&lt;&gt;"")*(MTIB!$Q$3:$Q$1000&lt;&gt;"Not Due"),
ROW(MTIB!$Q$3:$Q$1000)-ROW(MTIB!$Q$3)+1),
ROWS(A$2:A54))),"")</f>
        <v/>
      </c>
      <c r="L54" s="116" t="str" cm="1">
        <f t="array" aca="1" ref="L54" ca="1">IFERROR(INDEX(MTIB!$G$3:$G$1000,
SMALL(
IF((MTIB!$Q$3:$Q$1000&lt;&gt;"")*(MTIB!$Q$3:$Q$1000&lt;&gt;"Not Due"),
ROW(MTIB!$Q$3:$Q$1000)-ROW(MTIB!$Q$3)+1),
ROWS(A$2:A54))),"")</f>
        <v/>
      </c>
      <c r="M54" s="88" t="str" cm="1">
        <f t="array" aca="1" ref="M54" ca="1">IFERROR(INDEX(MTIB!$Q$3:$Q$1000,
SMALL(
IF((MTIB!$Q$3:$Q$1000&lt;&gt;"")*(MTIB!$Q$3:$Q$1000&lt;&gt;"Not Due"),
ROW(MTIB!$Q$3:$Q$1000)-ROW(MTIB!$Q$3)+1),
ROWS(A$2:A54))
),"")</f>
        <v/>
      </c>
      <c r="O54" s="115">
        <v>53</v>
      </c>
      <c r="P54" s="120" t="str" cm="1">
        <f t="array" aca="1" ref="P54" ca="1">IFERROR(INDEX(MPOB!$E$3:$E$1000,
SMALL(
IF((MPOB!$Q$3:$Q$1000&lt;&gt;"")*(MPOB!$Q$3:$Q$1000&lt;&gt;"Not Due"),
ROW(MPOB!$Q$3:$Q$1000)-ROW(MPOB!$Q$3)+1),
ROWS(A$2:A54))),"")</f>
        <v/>
      </c>
      <c r="Q54" s="115" t="str" cm="1">
        <f t="array" aca="1" ref="Q54" ca="1">IFERROR(INDEX(MPOB!$B$3:$B$1000,
SMALL(
IF((MPOB!$Q$3:$Q$1000&lt;&gt;"")*(MPOB!$Q$3:$Q$1000&lt;&gt;"Not Due"),
ROW(MPOB!$Q$3:$Q$1000)-ROW(MPOB!$Q$3)+1),
ROWS(A$2:A54))),"")</f>
        <v/>
      </c>
      <c r="R54" s="115" t="str" cm="1">
        <f t="array" aca="1" ref="R54" ca="1">IFERROR(INDEX(MPOB!$D$3:$D$1000,
SMALL(
IF((MPOB!$Q$3:$Q$1000&lt;&gt;"")*(MPOB!$Q$3:$Q$1000&lt;&gt;"Not Due"),
ROW(MPOB!$Q$3:$Q$1000)-ROW(MPOB!$Q$3)+1),
ROWS(A$2:A54))),"")</f>
        <v/>
      </c>
      <c r="S54" s="116" t="str" cm="1">
        <f t="array" aca="1" ref="S54" ca="1">IFERROR(INDEX(MPOB!$G$3:$G$1000,
SMALL(
IF((MPOB!$Q$3:$Q$1000&lt;&gt;"")*(MPOB!$Q$3:$Q$1000&lt;&gt;"Not Due"),
ROW(MPOB!$Q$3:$Q$1000)-ROW(MPOB!$Q$3)+1),
ROWS(A$2:A54))),"")</f>
        <v/>
      </c>
      <c r="T54" s="88" t="str" cm="1">
        <f t="array" aca="1" ref="T54" ca="1">IFERROR(INDEX(MPOB!$Q$3:$Q$1000,
SMALL(
IF((MPOB!$Q$3:$Q$1000&lt;&gt;"")*(MPOB!$Q$3:$Q$1000&lt;&gt;"Not Due"),
ROW(MPOB!$Q$3:$Q$1000)-ROW(MPOB!$Q$3)+1),
ROWS(A$2:A54))
),"")</f>
        <v/>
      </c>
      <c r="V54" s="115">
        <v>53</v>
      </c>
      <c r="W54" s="121" t="str" cm="1">
        <f t="array" aca="1" ref="W54" ca="1">IFERROR(INDEX(LKTN!$E$3:$E$1000,
SMALL(
IF((LKTN!$Q$3:$Q$1000&lt;&gt;"")*(LKTN!$Q$3:$Q$1000&lt;&gt;"Not Due"),
ROW(LKTN!$Q$3:$Q$1000)-ROW(LKTN!$Q$3)+1),
ROWS(A$2:A54))),"")</f>
        <v/>
      </c>
      <c r="X54" s="115" t="str" cm="1">
        <f t="array" aca="1" ref="X54" ca="1">IFERROR(INDEX(LKTN!$B$3:$B$1000,
SMALL(
IF((LKTN!$Q$3:$Q$1000&lt;&gt;"")*(LKTN!$Q$3:$Q$1000&lt;&gt;"Not Due"),
ROW(LKTN!$Q$3:$Q$1000)-ROW(LKTN!$Q$3)+1),
ROWS(A$2:A54))),"")</f>
        <v/>
      </c>
      <c r="Y54" s="115" t="str" cm="1">
        <f t="array" aca="1" ref="Y54" ca="1">IFERROR(INDEX(LKTN!$D$3:$D$1000,
SMALL(
IF((LKTN!$Q$3:$Q$1000&lt;&gt;"")*(LKTN!$Q$3:$Q$1000&lt;&gt;"Not Due"),
ROW(LKTN!$Q$3:$Q$1000)-ROW(LKTN!$Q$3)+1),
ROWS(A$2:A54))),"")</f>
        <v/>
      </c>
      <c r="Z54" s="116" t="str" cm="1">
        <f t="array" aca="1" ref="Z54" ca="1">IFERROR(INDEX(LKTN!$G$3:$G$1000,
SMALL(
IF((LKTN!$Q$3:$Q$1000&lt;&gt;"")*(LKTN!$Q$3:$Q$1000&lt;&gt;"Not Due"),
ROW(LKTN!$Q$3:$Q$1000)-ROW(LKTN!$Q$3)+1),
ROWS(A$2:A54))),"")</f>
        <v/>
      </c>
      <c r="AA54" s="64" t="str" cm="1">
        <f t="array" aca="1" ref="AA54" ca="1">IFERROR(INDEX(LKTN!$Q$3:$Q$1000,
SMALL(
IF((LKTN!$Q$3:$Q$1000&lt;&gt;"")*(LKTN!$Q$3:$Q$1000&lt;&gt;"Not Due"),
ROW(LKTN!$Q$3:$Q$1000)-ROW(LKTN!$Q$3)+1),
ROWS(A$2:A54))
),"")</f>
        <v/>
      </c>
      <c r="AJ54" s="115">
        <v>53</v>
      </c>
      <c r="AK54" s="123" t="str" cm="1">
        <f t="array" aca="1" ref="AK54" ca="1">IFERROR(INDEX(ISN!$E$3:$E$1000,
SMALL(
IF((ISN!$Q$3:$Q$1000&lt;&gt;"")*(ISN!$Q$3:$Q$1000&lt;&gt;"Not Due"),
ROW(ISN!$Q$3:$Q$1000)-ROW(ISN!$Q$3)+1),
ROWS(A$2:A54))),"")</f>
        <v/>
      </c>
      <c r="AL54" s="115" t="str" cm="1">
        <f t="array" aca="1" ref="AL54" ca="1">IFERROR(INDEX(ISN!$B$3:$B$1000,
SMALL(
IF((ISN!$Q$3:$Q$1000&lt;&gt;"")*(ISN!$Q$3:$Q$1000&lt;&gt;"Not Due"),
ROW(ISN!$Q$3:$Q$1000)-ROW(ISN!$Q$3)+1),
ROWS(A$2:A54))),"")</f>
        <v/>
      </c>
      <c r="AM54" s="116" t="str" cm="1">
        <f t="array" aca="1" ref="AM54" ca="1">IFERROR(INDEX(ISN!$D$3:$D$1000,
SMALL(
IF((ISN!$Q$3:$Q$1000&lt;&gt;"")*(ISN!$Q$3:$Q$1000&lt;&gt;"Not Due"),
ROW(ISN!$Q$3:$Q$1000)-ROW(ISN!$Q$3)+1),
ROWS(A$2:A54))),"")</f>
        <v/>
      </c>
      <c r="AN54" s="116" t="str" cm="1">
        <f t="array" aca="1" ref="AN54" ca="1">IFERROR(INDEX(ISN!$G$3:$G$1000,
SMALL(
IF((ISN!$Q$3:$Q$1000&lt;&gt;"")*(ISN!$Q$3:$Q$1000&lt;&gt;"Not Due"),
ROW(ISN!$Q$3:$Q$1000)-ROW(ISN!$Q$3)+1),
ROWS(A$2:A54))),"")</f>
        <v/>
      </c>
      <c r="AO54" s="64" t="str" cm="1">
        <f t="array" aca="1" ref="AO54" ca="1">IFERROR(INDEX(ISN!$Q$3:$Q$1000,
SMALL(
IF((ISN!$Q$3:$Q$1000&lt;&gt;"")*(ISN!$Q$3:$Q$1000&lt;&gt;"Not Due"),
ROW(ISN!$Q$3:$Q$1000)-ROW(ISN!$Q$3)+1),
ROWS(A$2:A54))
),"")</f>
        <v/>
      </c>
    </row>
    <row r="55" spans="1:41" x14ac:dyDescent="0.3">
      <c r="A55" s="115">
        <v>54</v>
      </c>
      <c r="B55" s="118" t="str" cm="1">
        <f t="array" aca="1" ref="B55" ca="1">IFERROR(INDEX(FRIM!$E$3:$E$1000,
SMALL(IF(FRIM!$Q$3:$Q$1000&lt;&gt;"",
ROW(FRIM!$Q$3:$Q$1000)-ROW(FRIM!$Q$3)+1),
ROWS(A$2:A55))),"")</f>
        <v/>
      </c>
      <c r="C55" s="116" t="str" cm="1">
        <f t="array" aca="1" ref="C55" ca="1">IFERROR(INDEX(FRIM!$B$3:$B$1000,
SMALL(IF(FRIM!$Q$3:$Q$1000&lt;&gt;"",
ROW(FRIM!$Q$3:$Q$1000)-ROW(FRIM!$Q$3)+1),
ROWS(A$2:A55))),"")</f>
        <v/>
      </c>
      <c r="D55" s="116" t="str" cm="1">
        <f t="array" aca="1" ref="D55" ca="1">IFERROR(INDEX(FRIM!$D$3:$D$1000,
SMALL(IF(FRIM!$Q$3:$Q$1000&lt;&gt;"",
ROW(FRIM!$Q$3:$Q$1000)-ROW(FRIM!$Q$3)+1),
ROWS(A$2:A55))),"")</f>
        <v/>
      </c>
      <c r="E55" s="116" t="str" cm="1">
        <f t="array" aca="1" ref="E55" ca="1">IFERROR(INDEX(FRIM!$G$3:$G$1000,
SMALL(IF(FRIM!$Q$3:$Q$1000&lt;&gt;"",
ROW(FRIM!$Q$3:$Q$1000)-ROW(FRIM!$Q$3)+1),
ROWS(A$2:A55))),"")</f>
        <v/>
      </c>
      <c r="F55" s="88" t="str" cm="1">
        <f t="array" aca="1" ref="F55" ca="1">IFERROR(INDEX(FRIM!$Q$3:$Q$1000,
SMALL(IF(FRIM!$Q$3:$Q$1000&lt;&gt;"",
ROW(FRIM!$Q$3:$Q$1000)-ROW(FRIM!$Q$3)+1),
ROWS(A$2:A55))),"")</f>
        <v/>
      </c>
      <c r="H55" s="115">
        <v>54</v>
      </c>
      <c r="I55" s="119" t="str" cm="1">
        <f t="array" aca="1" ref="I55" ca="1">IFERROR(INDEX(MTIB!$E$3:$E$1000,
SMALL(
IF((MTIB!$Q$3:$Q$1000&lt;&gt;"")*(MTIB!$Q$3:$Q$1000&lt;&gt;"Not Due"),
ROW(MTIB!$Q$3:$Q$1000)-ROW(MTIB!$Q$3)+1),
ROWS(A$2:A55))),"")</f>
        <v/>
      </c>
      <c r="J55" s="115" t="str" cm="1">
        <f t="array" aca="1" ref="J55" ca="1">IFERROR(INDEX(MTIB!$B$3:$B$1000,
SMALL(
IF((MTIB!$Q$3:$Q$1000&lt;&gt;"")*(MTIB!$Q$3:$Q$1000&lt;&gt;"Not Due"),
ROW(MTIB!$Q$3:$Q$1000)-ROW(MTIB!$Q$3)+1),
ROWS(A$2:A55))),"")</f>
        <v/>
      </c>
      <c r="K55" s="115" t="str" cm="1">
        <f t="array" aca="1" ref="K55" ca="1">IFERROR(INDEX(MTIB!$D$3:$D$1000,
SMALL(
IF((MTIB!$Q$3:$Q$1000&lt;&gt;"")*(MTIB!$Q$3:$Q$1000&lt;&gt;"Not Due"),
ROW(MTIB!$Q$3:$Q$1000)-ROW(MTIB!$Q$3)+1),
ROWS(A$2:A55))),"")</f>
        <v/>
      </c>
      <c r="L55" s="116" t="str" cm="1">
        <f t="array" aca="1" ref="L55" ca="1">IFERROR(INDEX(MTIB!$G$3:$G$1000,
SMALL(
IF((MTIB!$Q$3:$Q$1000&lt;&gt;"")*(MTIB!$Q$3:$Q$1000&lt;&gt;"Not Due"),
ROW(MTIB!$Q$3:$Q$1000)-ROW(MTIB!$Q$3)+1),
ROWS(A$2:A55))),"")</f>
        <v/>
      </c>
      <c r="M55" s="88" t="str" cm="1">
        <f t="array" aca="1" ref="M55" ca="1">IFERROR(INDEX(MTIB!$Q$3:$Q$1000,
SMALL(
IF((MTIB!$Q$3:$Q$1000&lt;&gt;"")*(MTIB!$Q$3:$Q$1000&lt;&gt;"Not Due"),
ROW(MTIB!$Q$3:$Q$1000)-ROW(MTIB!$Q$3)+1),
ROWS(A$2:A55))
),"")</f>
        <v/>
      </c>
      <c r="O55" s="115">
        <v>54</v>
      </c>
      <c r="P55" s="120" t="str" cm="1">
        <f t="array" aca="1" ref="P55" ca="1">IFERROR(INDEX(MPOB!$E$3:$E$1000,
SMALL(
IF((MPOB!$Q$3:$Q$1000&lt;&gt;"")*(MPOB!$Q$3:$Q$1000&lt;&gt;"Not Due"),
ROW(MPOB!$Q$3:$Q$1000)-ROW(MPOB!$Q$3)+1),
ROWS(A$2:A55))),"")</f>
        <v/>
      </c>
      <c r="Q55" s="115" t="str" cm="1">
        <f t="array" aca="1" ref="Q55" ca="1">IFERROR(INDEX(MPOB!$B$3:$B$1000,
SMALL(
IF((MPOB!$Q$3:$Q$1000&lt;&gt;"")*(MPOB!$Q$3:$Q$1000&lt;&gt;"Not Due"),
ROW(MPOB!$Q$3:$Q$1000)-ROW(MPOB!$Q$3)+1),
ROWS(A$2:A55))),"")</f>
        <v/>
      </c>
      <c r="R55" s="115" t="str" cm="1">
        <f t="array" aca="1" ref="R55" ca="1">IFERROR(INDEX(MPOB!$D$3:$D$1000,
SMALL(
IF((MPOB!$Q$3:$Q$1000&lt;&gt;"")*(MPOB!$Q$3:$Q$1000&lt;&gt;"Not Due"),
ROW(MPOB!$Q$3:$Q$1000)-ROW(MPOB!$Q$3)+1),
ROWS(A$2:A55))),"")</f>
        <v/>
      </c>
      <c r="S55" s="116" t="str" cm="1">
        <f t="array" aca="1" ref="S55" ca="1">IFERROR(INDEX(MPOB!$G$3:$G$1000,
SMALL(
IF((MPOB!$Q$3:$Q$1000&lt;&gt;"")*(MPOB!$Q$3:$Q$1000&lt;&gt;"Not Due"),
ROW(MPOB!$Q$3:$Q$1000)-ROW(MPOB!$Q$3)+1),
ROWS(A$2:A55))),"")</f>
        <v/>
      </c>
      <c r="T55" s="88" t="str" cm="1">
        <f t="array" aca="1" ref="T55" ca="1">IFERROR(INDEX(MPOB!$Q$3:$Q$1000,
SMALL(
IF((MPOB!$Q$3:$Q$1000&lt;&gt;"")*(MPOB!$Q$3:$Q$1000&lt;&gt;"Not Due"),
ROW(MPOB!$Q$3:$Q$1000)-ROW(MPOB!$Q$3)+1),
ROWS(A$2:A55))
),"")</f>
        <v/>
      </c>
      <c r="V55" s="115">
        <v>54</v>
      </c>
      <c r="W55" s="121" t="str" cm="1">
        <f t="array" aca="1" ref="W55" ca="1">IFERROR(INDEX(LKTN!$E$3:$E$1000,
SMALL(
IF((LKTN!$Q$3:$Q$1000&lt;&gt;"")*(LKTN!$Q$3:$Q$1000&lt;&gt;"Not Due"),
ROW(LKTN!$Q$3:$Q$1000)-ROW(LKTN!$Q$3)+1),
ROWS(A$2:A55))),"")</f>
        <v/>
      </c>
      <c r="X55" s="115" t="str" cm="1">
        <f t="array" aca="1" ref="X55" ca="1">IFERROR(INDEX(LKTN!$B$3:$B$1000,
SMALL(
IF((LKTN!$Q$3:$Q$1000&lt;&gt;"")*(LKTN!$Q$3:$Q$1000&lt;&gt;"Not Due"),
ROW(LKTN!$Q$3:$Q$1000)-ROW(LKTN!$Q$3)+1),
ROWS(A$2:A55))),"")</f>
        <v/>
      </c>
      <c r="Y55" s="115" t="str" cm="1">
        <f t="array" aca="1" ref="Y55" ca="1">IFERROR(INDEX(LKTN!$D$3:$D$1000,
SMALL(
IF((LKTN!$Q$3:$Q$1000&lt;&gt;"")*(LKTN!$Q$3:$Q$1000&lt;&gt;"Not Due"),
ROW(LKTN!$Q$3:$Q$1000)-ROW(LKTN!$Q$3)+1),
ROWS(A$2:A55))),"")</f>
        <v/>
      </c>
      <c r="Z55" s="116" t="str" cm="1">
        <f t="array" aca="1" ref="Z55" ca="1">IFERROR(INDEX(LKTN!$G$3:$G$1000,
SMALL(
IF((LKTN!$Q$3:$Q$1000&lt;&gt;"")*(LKTN!$Q$3:$Q$1000&lt;&gt;"Not Due"),
ROW(LKTN!$Q$3:$Q$1000)-ROW(LKTN!$Q$3)+1),
ROWS(A$2:A55))),"")</f>
        <v/>
      </c>
      <c r="AA55" s="64" t="str" cm="1">
        <f t="array" aca="1" ref="AA55" ca="1">IFERROR(INDEX(LKTN!$Q$3:$Q$1000,
SMALL(
IF((LKTN!$Q$3:$Q$1000&lt;&gt;"")*(LKTN!$Q$3:$Q$1000&lt;&gt;"Not Due"),
ROW(LKTN!$Q$3:$Q$1000)-ROW(LKTN!$Q$3)+1),
ROWS(A$2:A55))
),"")</f>
        <v/>
      </c>
      <c r="AJ55" s="115">
        <v>54</v>
      </c>
      <c r="AK55" s="123" t="str" cm="1">
        <f t="array" aca="1" ref="AK55" ca="1">IFERROR(INDEX(ISN!$E$3:$E$1000,
SMALL(
IF((ISN!$Q$3:$Q$1000&lt;&gt;"")*(ISN!$Q$3:$Q$1000&lt;&gt;"Not Due"),
ROW(ISN!$Q$3:$Q$1000)-ROW(ISN!$Q$3)+1),
ROWS(A$2:A55))),"")</f>
        <v/>
      </c>
      <c r="AL55" s="115" t="str" cm="1">
        <f t="array" aca="1" ref="AL55" ca="1">IFERROR(INDEX(ISN!$B$3:$B$1000,
SMALL(
IF((ISN!$Q$3:$Q$1000&lt;&gt;"")*(ISN!$Q$3:$Q$1000&lt;&gt;"Not Due"),
ROW(ISN!$Q$3:$Q$1000)-ROW(ISN!$Q$3)+1),
ROWS(A$2:A55))),"")</f>
        <v/>
      </c>
      <c r="AM55" s="116" t="str" cm="1">
        <f t="array" aca="1" ref="AM55" ca="1">IFERROR(INDEX(ISN!$D$3:$D$1000,
SMALL(
IF((ISN!$Q$3:$Q$1000&lt;&gt;"")*(ISN!$Q$3:$Q$1000&lt;&gt;"Not Due"),
ROW(ISN!$Q$3:$Q$1000)-ROW(ISN!$Q$3)+1),
ROWS(A$2:A55))),"")</f>
        <v/>
      </c>
      <c r="AN55" s="116" t="str" cm="1">
        <f t="array" aca="1" ref="AN55" ca="1">IFERROR(INDEX(ISN!$G$3:$G$1000,
SMALL(
IF((ISN!$Q$3:$Q$1000&lt;&gt;"")*(ISN!$Q$3:$Q$1000&lt;&gt;"Not Due"),
ROW(ISN!$Q$3:$Q$1000)-ROW(ISN!$Q$3)+1),
ROWS(A$2:A55))),"")</f>
        <v/>
      </c>
      <c r="AO55" s="64" t="str" cm="1">
        <f t="array" aca="1" ref="AO55" ca="1">IFERROR(INDEX(ISN!$Q$3:$Q$1000,
SMALL(
IF((ISN!$Q$3:$Q$1000&lt;&gt;"")*(ISN!$Q$3:$Q$1000&lt;&gt;"Not Due"),
ROW(ISN!$Q$3:$Q$1000)-ROW(ISN!$Q$3)+1),
ROWS(A$2:A55))
),"")</f>
        <v/>
      </c>
    </row>
    <row r="56" spans="1:41" x14ac:dyDescent="0.3">
      <c r="A56" s="115">
        <v>55</v>
      </c>
      <c r="B56" s="118" t="str" cm="1">
        <f t="array" aca="1" ref="B56" ca="1">IFERROR(INDEX(FRIM!$E$3:$E$1000,
SMALL(IF(FRIM!$Q$3:$Q$1000&lt;&gt;"",
ROW(FRIM!$Q$3:$Q$1000)-ROW(FRIM!$Q$3)+1),
ROWS(A$2:A56))),"")</f>
        <v/>
      </c>
      <c r="C56" s="116" t="str" cm="1">
        <f t="array" aca="1" ref="C56" ca="1">IFERROR(INDEX(FRIM!$B$3:$B$1000,
SMALL(IF(FRIM!$Q$3:$Q$1000&lt;&gt;"",
ROW(FRIM!$Q$3:$Q$1000)-ROW(FRIM!$Q$3)+1),
ROWS(A$2:A56))),"")</f>
        <v/>
      </c>
      <c r="D56" s="116" t="str" cm="1">
        <f t="array" aca="1" ref="D56" ca="1">IFERROR(INDEX(FRIM!$D$3:$D$1000,
SMALL(IF(FRIM!$Q$3:$Q$1000&lt;&gt;"",
ROW(FRIM!$Q$3:$Q$1000)-ROW(FRIM!$Q$3)+1),
ROWS(A$2:A56))),"")</f>
        <v/>
      </c>
      <c r="E56" s="116" t="str" cm="1">
        <f t="array" aca="1" ref="E56" ca="1">IFERROR(INDEX(FRIM!$G$3:$G$1000,
SMALL(IF(FRIM!$Q$3:$Q$1000&lt;&gt;"",
ROW(FRIM!$Q$3:$Q$1000)-ROW(FRIM!$Q$3)+1),
ROWS(A$2:A56))),"")</f>
        <v/>
      </c>
      <c r="F56" s="88" t="str" cm="1">
        <f t="array" aca="1" ref="F56" ca="1">IFERROR(INDEX(FRIM!$Q$3:$Q$1000,
SMALL(IF(FRIM!$Q$3:$Q$1000&lt;&gt;"",
ROW(FRIM!$Q$3:$Q$1000)-ROW(FRIM!$Q$3)+1),
ROWS(A$2:A56))),"")</f>
        <v/>
      </c>
      <c r="H56" s="115">
        <v>55</v>
      </c>
      <c r="I56" s="119" t="str" cm="1">
        <f t="array" aca="1" ref="I56" ca="1">IFERROR(INDEX(MTIB!$E$3:$E$1000,
SMALL(
IF((MTIB!$Q$3:$Q$1000&lt;&gt;"")*(MTIB!$Q$3:$Q$1000&lt;&gt;"Not Due"),
ROW(MTIB!$Q$3:$Q$1000)-ROW(MTIB!$Q$3)+1),
ROWS(A$2:A56))),"")</f>
        <v/>
      </c>
      <c r="J56" s="115" t="str" cm="1">
        <f t="array" aca="1" ref="J56" ca="1">IFERROR(INDEX(MTIB!$B$3:$B$1000,
SMALL(
IF((MTIB!$Q$3:$Q$1000&lt;&gt;"")*(MTIB!$Q$3:$Q$1000&lt;&gt;"Not Due"),
ROW(MTIB!$Q$3:$Q$1000)-ROW(MTIB!$Q$3)+1),
ROWS(A$2:A56))),"")</f>
        <v/>
      </c>
      <c r="K56" s="115" t="str" cm="1">
        <f t="array" aca="1" ref="K56" ca="1">IFERROR(INDEX(MTIB!$D$3:$D$1000,
SMALL(
IF((MTIB!$Q$3:$Q$1000&lt;&gt;"")*(MTIB!$Q$3:$Q$1000&lt;&gt;"Not Due"),
ROW(MTIB!$Q$3:$Q$1000)-ROW(MTIB!$Q$3)+1),
ROWS(A$2:A56))),"")</f>
        <v/>
      </c>
      <c r="L56" s="116" t="str" cm="1">
        <f t="array" aca="1" ref="L56" ca="1">IFERROR(INDEX(MTIB!$G$3:$G$1000,
SMALL(
IF((MTIB!$Q$3:$Q$1000&lt;&gt;"")*(MTIB!$Q$3:$Q$1000&lt;&gt;"Not Due"),
ROW(MTIB!$Q$3:$Q$1000)-ROW(MTIB!$Q$3)+1),
ROWS(A$2:A56))),"")</f>
        <v/>
      </c>
      <c r="M56" s="88" t="str" cm="1">
        <f t="array" aca="1" ref="M56" ca="1">IFERROR(INDEX(MTIB!$Q$3:$Q$1000,
SMALL(
IF((MTIB!$Q$3:$Q$1000&lt;&gt;"")*(MTIB!$Q$3:$Q$1000&lt;&gt;"Not Due"),
ROW(MTIB!$Q$3:$Q$1000)-ROW(MTIB!$Q$3)+1),
ROWS(A$2:A56))
),"")</f>
        <v/>
      </c>
      <c r="O56" s="115">
        <v>55</v>
      </c>
      <c r="P56" s="120" t="str" cm="1">
        <f t="array" aca="1" ref="P56" ca="1">IFERROR(INDEX(MPOB!$E$3:$E$1000,
SMALL(
IF((MPOB!$Q$3:$Q$1000&lt;&gt;"")*(MPOB!$Q$3:$Q$1000&lt;&gt;"Not Due"),
ROW(MPOB!$Q$3:$Q$1000)-ROW(MPOB!$Q$3)+1),
ROWS(A$2:A56))),"")</f>
        <v/>
      </c>
      <c r="Q56" s="115" t="str" cm="1">
        <f t="array" aca="1" ref="Q56" ca="1">IFERROR(INDEX(MPOB!$B$3:$B$1000,
SMALL(
IF((MPOB!$Q$3:$Q$1000&lt;&gt;"")*(MPOB!$Q$3:$Q$1000&lt;&gt;"Not Due"),
ROW(MPOB!$Q$3:$Q$1000)-ROW(MPOB!$Q$3)+1),
ROWS(A$2:A56))),"")</f>
        <v/>
      </c>
      <c r="R56" s="115" t="str" cm="1">
        <f t="array" aca="1" ref="R56" ca="1">IFERROR(INDEX(MPOB!$D$3:$D$1000,
SMALL(
IF((MPOB!$Q$3:$Q$1000&lt;&gt;"")*(MPOB!$Q$3:$Q$1000&lt;&gt;"Not Due"),
ROW(MPOB!$Q$3:$Q$1000)-ROW(MPOB!$Q$3)+1),
ROWS(A$2:A56))),"")</f>
        <v/>
      </c>
      <c r="S56" s="116" t="str" cm="1">
        <f t="array" aca="1" ref="S56" ca="1">IFERROR(INDEX(MPOB!$G$3:$G$1000,
SMALL(
IF((MPOB!$Q$3:$Q$1000&lt;&gt;"")*(MPOB!$Q$3:$Q$1000&lt;&gt;"Not Due"),
ROW(MPOB!$Q$3:$Q$1000)-ROW(MPOB!$Q$3)+1),
ROWS(A$2:A56))),"")</f>
        <v/>
      </c>
      <c r="T56" s="88" t="str" cm="1">
        <f t="array" aca="1" ref="T56" ca="1">IFERROR(INDEX(MPOB!$Q$3:$Q$1000,
SMALL(
IF((MPOB!$Q$3:$Q$1000&lt;&gt;"")*(MPOB!$Q$3:$Q$1000&lt;&gt;"Not Due"),
ROW(MPOB!$Q$3:$Q$1000)-ROW(MPOB!$Q$3)+1),
ROWS(A$2:A56))
),"")</f>
        <v/>
      </c>
      <c r="V56" s="115">
        <v>55</v>
      </c>
      <c r="W56" s="121" t="str" cm="1">
        <f t="array" aca="1" ref="W56" ca="1">IFERROR(INDEX(LKTN!$E$3:$E$1000,
SMALL(
IF((LKTN!$Q$3:$Q$1000&lt;&gt;"")*(LKTN!$Q$3:$Q$1000&lt;&gt;"Not Due"),
ROW(LKTN!$Q$3:$Q$1000)-ROW(LKTN!$Q$3)+1),
ROWS(A$2:A56))),"")</f>
        <v/>
      </c>
      <c r="X56" s="115" t="str" cm="1">
        <f t="array" aca="1" ref="X56" ca="1">IFERROR(INDEX(LKTN!$B$3:$B$1000,
SMALL(
IF((LKTN!$Q$3:$Q$1000&lt;&gt;"")*(LKTN!$Q$3:$Q$1000&lt;&gt;"Not Due"),
ROW(LKTN!$Q$3:$Q$1000)-ROW(LKTN!$Q$3)+1),
ROWS(A$2:A56))),"")</f>
        <v/>
      </c>
      <c r="Y56" s="115" t="str" cm="1">
        <f t="array" aca="1" ref="Y56" ca="1">IFERROR(INDEX(LKTN!$D$3:$D$1000,
SMALL(
IF((LKTN!$Q$3:$Q$1000&lt;&gt;"")*(LKTN!$Q$3:$Q$1000&lt;&gt;"Not Due"),
ROW(LKTN!$Q$3:$Q$1000)-ROW(LKTN!$Q$3)+1),
ROWS(A$2:A56))),"")</f>
        <v/>
      </c>
      <c r="Z56" s="116" t="str" cm="1">
        <f t="array" aca="1" ref="Z56" ca="1">IFERROR(INDEX(LKTN!$G$3:$G$1000,
SMALL(
IF((LKTN!$Q$3:$Q$1000&lt;&gt;"")*(LKTN!$Q$3:$Q$1000&lt;&gt;"Not Due"),
ROW(LKTN!$Q$3:$Q$1000)-ROW(LKTN!$Q$3)+1),
ROWS(A$2:A56))),"")</f>
        <v/>
      </c>
      <c r="AA56" s="64" t="str" cm="1">
        <f t="array" aca="1" ref="AA56" ca="1">IFERROR(INDEX(LKTN!$Q$3:$Q$1000,
SMALL(
IF((LKTN!$Q$3:$Q$1000&lt;&gt;"")*(LKTN!$Q$3:$Q$1000&lt;&gt;"Not Due"),
ROW(LKTN!$Q$3:$Q$1000)-ROW(LKTN!$Q$3)+1),
ROWS(A$2:A56))
),"")</f>
        <v/>
      </c>
      <c r="AJ56" s="115">
        <v>55</v>
      </c>
      <c r="AK56" s="123" t="str" cm="1">
        <f t="array" aca="1" ref="AK56" ca="1">IFERROR(INDEX(ISN!$E$3:$E$1000,
SMALL(
IF((ISN!$Q$3:$Q$1000&lt;&gt;"")*(ISN!$Q$3:$Q$1000&lt;&gt;"Not Due"),
ROW(ISN!$Q$3:$Q$1000)-ROW(ISN!$Q$3)+1),
ROWS(A$2:A56))),"")</f>
        <v/>
      </c>
      <c r="AL56" s="115" t="str" cm="1">
        <f t="array" aca="1" ref="AL56" ca="1">IFERROR(INDEX(ISN!$B$3:$B$1000,
SMALL(
IF((ISN!$Q$3:$Q$1000&lt;&gt;"")*(ISN!$Q$3:$Q$1000&lt;&gt;"Not Due"),
ROW(ISN!$Q$3:$Q$1000)-ROW(ISN!$Q$3)+1),
ROWS(A$2:A56))),"")</f>
        <v/>
      </c>
      <c r="AM56" s="116" t="str" cm="1">
        <f t="array" aca="1" ref="AM56" ca="1">IFERROR(INDEX(ISN!$D$3:$D$1000,
SMALL(
IF((ISN!$Q$3:$Q$1000&lt;&gt;"")*(ISN!$Q$3:$Q$1000&lt;&gt;"Not Due"),
ROW(ISN!$Q$3:$Q$1000)-ROW(ISN!$Q$3)+1),
ROWS(A$2:A56))),"")</f>
        <v/>
      </c>
      <c r="AN56" s="116" t="str" cm="1">
        <f t="array" aca="1" ref="AN56" ca="1">IFERROR(INDEX(ISN!$G$3:$G$1000,
SMALL(
IF((ISN!$Q$3:$Q$1000&lt;&gt;"")*(ISN!$Q$3:$Q$1000&lt;&gt;"Not Due"),
ROW(ISN!$Q$3:$Q$1000)-ROW(ISN!$Q$3)+1),
ROWS(A$2:A56))),"")</f>
        <v/>
      </c>
      <c r="AO56" s="64" t="str" cm="1">
        <f t="array" aca="1" ref="AO56" ca="1">IFERROR(INDEX(ISN!$Q$3:$Q$1000,
SMALL(
IF((ISN!$Q$3:$Q$1000&lt;&gt;"")*(ISN!$Q$3:$Q$1000&lt;&gt;"Not Due"),
ROW(ISN!$Q$3:$Q$1000)-ROW(ISN!$Q$3)+1),
ROWS(A$2:A56))
),"")</f>
        <v/>
      </c>
    </row>
    <row r="57" spans="1:41" x14ac:dyDescent="0.3">
      <c r="H57" s="115">
        <v>56</v>
      </c>
      <c r="I57" s="119" t="str" cm="1">
        <f t="array" aca="1" ref="I57" ca="1">IFERROR(INDEX(MTIB!$E$3:$E$1000,
SMALL(
IF((MTIB!$Q$3:$Q$1000&lt;&gt;"")*(MTIB!$Q$3:$Q$1000&lt;&gt;"Not Due"),
ROW(MTIB!$Q$3:$Q$1000)-ROW(MTIB!$Q$3)+1),
ROWS(A$2:A57))),"")</f>
        <v/>
      </c>
      <c r="J57" s="115" t="str" cm="1">
        <f t="array" aca="1" ref="J57" ca="1">IFERROR(INDEX(MTIB!$B$3:$B$1000,
SMALL(
IF((MTIB!$Q$3:$Q$1000&lt;&gt;"")*(MTIB!$Q$3:$Q$1000&lt;&gt;"Not Due"),
ROW(MTIB!$Q$3:$Q$1000)-ROW(MTIB!$Q$3)+1),
ROWS(A$2:A57))),"")</f>
        <v/>
      </c>
      <c r="K57" s="115" t="str" cm="1">
        <f t="array" aca="1" ref="K57" ca="1">IFERROR(INDEX(MTIB!$D$3:$D$1000,
SMALL(
IF((MTIB!$Q$3:$Q$1000&lt;&gt;"")*(MTIB!$Q$3:$Q$1000&lt;&gt;"Not Due"),
ROW(MTIB!$Q$3:$Q$1000)-ROW(MTIB!$Q$3)+1),
ROWS(A$2:A57))),"")</f>
        <v/>
      </c>
      <c r="L57" s="116" t="str" cm="1">
        <f t="array" aca="1" ref="L57" ca="1">IFERROR(INDEX(MTIB!$G$3:$G$1000,
SMALL(
IF((MTIB!$Q$3:$Q$1000&lt;&gt;"")*(MTIB!$Q$3:$Q$1000&lt;&gt;"Not Due"),
ROW(MTIB!$Q$3:$Q$1000)-ROW(MTIB!$Q$3)+1),
ROWS(A$2:A57))),"")</f>
        <v/>
      </c>
      <c r="M57" s="88" t="str" cm="1">
        <f t="array" aca="1" ref="M57" ca="1">IFERROR(INDEX(MTIB!$Q$3:$Q$1000,
SMALL(
IF((MTIB!$Q$3:$Q$1000&lt;&gt;"")*(MTIB!$Q$3:$Q$1000&lt;&gt;"Not Due"),
ROW(MTIB!$Q$3:$Q$1000)-ROW(MTIB!$Q$3)+1),
ROWS(A$2:A57))
),"")</f>
        <v/>
      </c>
      <c r="O57" s="115">
        <v>56</v>
      </c>
      <c r="P57" s="120" t="str" cm="1">
        <f t="array" aca="1" ref="P57" ca="1">IFERROR(INDEX(MPOB!$E$3:$E$1000,
SMALL(
IF((MPOB!$Q$3:$Q$1000&lt;&gt;"")*(MPOB!$Q$3:$Q$1000&lt;&gt;"Not Due"),
ROW(MPOB!$Q$3:$Q$1000)-ROW(MPOB!$Q$3)+1),
ROWS(A$2:A57))),"")</f>
        <v/>
      </c>
      <c r="Q57" s="115" t="str" cm="1">
        <f t="array" aca="1" ref="Q57" ca="1">IFERROR(INDEX(MPOB!$B$3:$B$1000,
SMALL(
IF((MPOB!$Q$3:$Q$1000&lt;&gt;"")*(MPOB!$Q$3:$Q$1000&lt;&gt;"Not Due"),
ROW(MPOB!$Q$3:$Q$1000)-ROW(MPOB!$Q$3)+1),
ROWS(A$2:A57))),"")</f>
        <v/>
      </c>
      <c r="R57" s="115" t="str" cm="1">
        <f t="array" aca="1" ref="R57" ca="1">IFERROR(INDEX(MPOB!$D$3:$D$1000,
SMALL(
IF((MPOB!$Q$3:$Q$1000&lt;&gt;"")*(MPOB!$Q$3:$Q$1000&lt;&gt;"Not Due"),
ROW(MPOB!$Q$3:$Q$1000)-ROW(MPOB!$Q$3)+1),
ROWS(A$2:A57))),"")</f>
        <v/>
      </c>
      <c r="S57" s="116" t="str" cm="1">
        <f t="array" aca="1" ref="S57" ca="1">IFERROR(INDEX(MPOB!$G$3:$G$1000,
SMALL(
IF((MPOB!$Q$3:$Q$1000&lt;&gt;"")*(MPOB!$Q$3:$Q$1000&lt;&gt;"Not Due"),
ROW(MPOB!$Q$3:$Q$1000)-ROW(MPOB!$Q$3)+1),
ROWS(A$2:A57))),"")</f>
        <v/>
      </c>
      <c r="T57" s="88" t="str" cm="1">
        <f t="array" aca="1" ref="T57" ca="1">IFERROR(INDEX(MPOB!$Q$3:$Q$1000,
SMALL(
IF((MPOB!$Q$3:$Q$1000&lt;&gt;"")*(MPOB!$Q$3:$Q$1000&lt;&gt;"Not Due"),
ROW(MPOB!$Q$3:$Q$1000)-ROW(MPOB!$Q$3)+1),
ROWS(A$2:A57))
),"")</f>
        <v/>
      </c>
      <c r="V57" s="115">
        <v>56</v>
      </c>
      <c r="W57" s="121" t="str" cm="1">
        <f t="array" aca="1" ref="W57" ca="1">IFERROR(INDEX(LKTN!$E$3:$E$1000,
SMALL(
IF((LKTN!$Q$3:$Q$1000&lt;&gt;"")*(LKTN!$Q$3:$Q$1000&lt;&gt;"Not Due"),
ROW(LKTN!$Q$3:$Q$1000)-ROW(LKTN!$Q$3)+1),
ROWS(A$2:A57))),"")</f>
        <v/>
      </c>
      <c r="X57" s="115" t="str" cm="1">
        <f t="array" aca="1" ref="X57" ca="1">IFERROR(INDEX(LKTN!$B$3:$B$1000,
SMALL(
IF((LKTN!$Q$3:$Q$1000&lt;&gt;"")*(LKTN!$Q$3:$Q$1000&lt;&gt;"Not Due"),
ROW(LKTN!$Q$3:$Q$1000)-ROW(LKTN!$Q$3)+1),
ROWS(A$2:A57))),"")</f>
        <v/>
      </c>
      <c r="Y57" s="115" t="str" cm="1">
        <f t="array" aca="1" ref="Y57" ca="1">IFERROR(INDEX(LKTN!$D$3:$D$1000,
SMALL(
IF((LKTN!$Q$3:$Q$1000&lt;&gt;"")*(LKTN!$Q$3:$Q$1000&lt;&gt;"Not Due"),
ROW(LKTN!$Q$3:$Q$1000)-ROW(LKTN!$Q$3)+1),
ROWS(A$2:A57))),"")</f>
        <v/>
      </c>
      <c r="Z57" s="116" t="str" cm="1">
        <f t="array" aca="1" ref="Z57" ca="1">IFERROR(INDEX(LKTN!$G$3:$G$1000,
SMALL(
IF((LKTN!$Q$3:$Q$1000&lt;&gt;"")*(LKTN!$Q$3:$Q$1000&lt;&gt;"Not Due"),
ROW(LKTN!$Q$3:$Q$1000)-ROW(LKTN!$Q$3)+1),
ROWS(A$2:A57))),"")</f>
        <v/>
      </c>
      <c r="AA57" s="64" t="str" cm="1">
        <f t="array" aca="1" ref="AA57" ca="1">IFERROR(INDEX(LKTN!$Q$3:$Q$1000,
SMALL(
IF((LKTN!$Q$3:$Q$1000&lt;&gt;"")*(LKTN!$Q$3:$Q$1000&lt;&gt;"Not Due"),
ROW(LKTN!$Q$3:$Q$1000)-ROW(LKTN!$Q$3)+1),
ROWS(A$2:A57))
),"")</f>
        <v/>
      </c>
      <c r="AJ57" s="115">
        <v>56</v>
      </c>
      <c r="AK57" s="123" t="str" cm="1">
        <f t="array" aca="1" ref="AK57" ca="1">IFERROR(INDEX(ISN!$E$3:$E$1000,
SMALL(
IF((ISN!$Q$3:$Q$1000&lt;&gt;"")*(ISN!$Q$3:$Q$1000&lt;&gt;"Not Due"),
ROW(ISN!$Q$3:$Q$1000)-ROW(ISN!$Q$3)+1),
ROWS(A$2:A57))),"")</f>
        <v/>
      </c>
      <c r="AL57" s="115" t="str" cm="1">
        <f t="array" aca="1" ref="AL57" ca="1">IFERROR(INDEX(ISN!$B$3:$B$1000,
SMALL(
IF((ISN!$Q$3:$Q$1000&lt;&gt;"")*(ISN!$Q$3:$Q$1000&lt;&gt;"Not Due"),
ROW(ISN!$Q$3:$Q$1000)-ROW(ISN!$Q$3)+1),
ROWS(A$2:A57))),"")</f>
        <v/>
      </c>
      <c r="AM57" s="116" t="str" cm="1">
        <f t="array" aca="1" ref="AM57" ca="1">IFERROR(INDEX(ISN!$D$3:$D$1000,
SMALL(
IF((ISN!$Q$3:$Q$1000&lt;&gt;"")*(ISN!$Q$3:$Q$1000&lt;&gt;"Not Due"),
ROW(ISN!$Q$3:$Q$1000)-ROW(ISN!$Q$3)+1),
ROWS(A$2:A57))),"")</f>
        <v/>
      </c>
      <c r="AN57" s="116" t="str" cm="1">
        <f t="array" aca="1" ref="AN57" ca="1">IFERROR(INDEX(ISN!$G$3:$G$1000,
SMALL(
IF((ISN!$Q$3:$Q$1000&lt;&gt;"")*(ISN!$Q$3:$Q$1000&lt;&gt;"Not Due"),
ROW(ISN!$Q$3:$Q$1000)-ROW(ISN!$Q$3)+1),
ROWS(A$2:A57))),"")</f>
        <v/>
      </c>
      <c r="AO57" s="64" t="str" cm="1">
        <f t="array" aca="1" ref="AO57" ca="1">IFERROR(INDEX(ISN!$Q$3:$Q$1000,
SMALL(
IF((ISN!$Q$3:$Q$1000&lt;&gt;"")*(ISN!$Q$3:$Q$1000&lt;&gt;"Not Due"),
ROW(ISN!$Q$3:$Q$1000)-ROW(ISN!$Q$3)+1),
ROWS(A$2:A57))
),"")</f>
        <v/>
      </c>
    </row>
    <row r="58" spans="1:41" x14ac:dyDescent="0.3">
      <c r="O58" s="115">
        <v>57</v>
      </c>
      <c r="P58" s="120" t="str" cm="1">
        <f t="array" aca="1" ref="P58" ca="1">IFERROR(INDEX(MPOB!$E$3:$E$1000,
SMALL(
IF((MPOB!$Q$3:$Q$1000&lt;&gt;"")*(MPOB!$Q$3:$Q$1000&lt;&gt;"Not Due"),
ROW(MPOB!$Q$3:$Q$1000)-ROW(MPOB!$Q$3)+1),
ROWS(A$2:A58))),"")</f>
        <v/>
      </c>
      <c r="Q58" s="115" t="str" cm="1">
        <f t="array" aca="1" ref="Q58" ca="1">IFERROR(INDEX(MPOB!$B$3:$B$1000,
SMALL(
IF((MPOB!$Q$3:$Q$1000&lt;&gt;"")*(MPOB!$Q$3:$Q$1000&lt;&gt;"Not Due"),
ROW(MPOB!$Q$3:$Q$1000)-ROW(MPOB!$Q$3)+1),
ROWS(A$2:A58))),"")</f>
        <v/>
      </c>
      <c r="R58" s="115" t="str" cm="1">
        <f t="array" aca="1" ref="R58" ca="1">IFERROR(INDEX(MPOB!$D$3:$D$1000,
SMALL(
IF((MPOB!$Q$3:$Q$1000&lt;&gt;"")*(MPOB!$Q$3:$Q$1000&lt;&gt;"Not Due"),
ROW(MPOB!$Q$3:$Q$1000)-ROW(MPOB!$Q$3)+1),
ROWS(A$2:A58))),"")</f>
        <v/>
      </c>
      <c r="S58" s="116" t="str" cm="1">
        <f t="array" aca="1" ref="S58" ca="1">IFERROR(INDEX(MPOB!$G$3:$G$1000,
SMALL(
IF((MPOB!$Q$3:$Q$1000&lt;&gt;"")*(MPOB!$Q$3:$Q$1000&lt;&gt;"Not Due"),
ROW(MPOB!$Q$3:$Q$1000)-ROW(MPOB!$Q$3)+1),
ROWS(A$2:A58))),"")</f>
        <v/>
      </c>
      <c r="T58" s="88" t="str" cm="1">
        <f t="array" aca="1" ref="T58" ca="1">IFERROR(INDEX(MPOB!$Q$3:$Q$1000,
SMALL(
IF((MPOB!$Q$3:$Q$1000&lt;&gt;"")*(MPOB!$Q$3:$Q$1000&lt;&gt;"Not Due"),
ROW(MPOB!$Q$3:$Q$1000)-ROW(MPOB!$Q$3)+1),
ROWS(A$2:A58))
),"")</f>
        <v/>
      </c>
      <c r="V58" s="115">
        <v>57</v>
      </c>
      <c r="W58" s="121" t="str" cm="1">
        <f t="array" aca="1" ref="W58" ca="1">IFERROR(INDEX(LKTN!$E$3:$E$1000,
SMALL(
IF((LKTN!$Q$3:$Q$1000&lt;&gt;"")*(LKTN!$Q$3:$Q$1000&lt;&gt;"Not Due"),
ROW(LKTN!$Q$3:$Q$1000)-ROW(LKTN!$Q$3)+1),
ROWS(A$2:A58))),"")</f>
        <v/>
      </c>
      <c r="X58" s="115" t="str" cm="1">
        <f t="array" aca="1" ref="X58" ca="1">IFERROR(INDEX(LKTN!$B$3:$B$1000,
SMALL(
IF((LKTN!$Q$3:$Q$1000&lt;&gt;"")*(LKTN!$Q$3:$Q$1000&lt;&gt;"Not Due"),
ROW(LKTN!$Q$3:$Q$1000)-ROW(LKTN!$Q$3)+1),
ROWS(A$2:A58))),"")</f>
        <v/>
      </c>
      <c r="Y58" s="115" t="str" cm="1">
        <f t="array" aca="1" ref="Y58" ca="1">IFERROR(INDEX(LKTN!$D$3:$D$1000,
SMALL(
IF((LKTN!$Q$3:$Q$1000&lt;&gt;"")*(LKTN!$Q$3:$Q$1000&lt;&gt;"Not Due"),
ROW(LKTN!$Q$3:$Q$1000)-ROW(LKTN!$Q$3)+1),
ROWS(A$2:A58))),"")</f>
        <v/>
      </c>
      <c r="Z58" s="116" t="str" cm="1">
        <f t="array" aca="1" ref="Z58" ca="1">IFERROR(INDEX(LKTN!$G$3:$G$1000,
SMALL(
IF((LKTN!$Q$3:$Q$1000&lt;&gt;"")*(LKTN!$Q$3:$Q$1000&lt;&gt;"Not Due"),
ROW(LKTN!$Q$3:$Q$1000)-ROW(LKTN!$Q$3)+1),
ROWS(A$2:A58))),"")</f>
        <v/>
      </c>
      <c r="AA58" s="64" t="str" cm="1">
        <f t="array" aca="1" ref="AA58" ca="1">IFERROR(INDEX(LKTN!$Q$3:$Q$1000,
SMALL(
IF((LKTN!$Q$3:$Q$1000&lt;&gt;"")*(LKTN!$Q$3:$Q$1000&lt;&gt;"Not Due"),
ROW(LKTN!$Q$3:$Q$1000)-ROW(LKTN!$Q$3)+1),
ROWS(A$2:A58))
),"")</f>
        <v/>
      </c>
      <c r="AJ58" s="115">
        <v>57</v>
      </c>
      <c r="AK58" s="123" t="str" cm="1">
        <f t="array" aca="1" ref="AK58" ca="1">IFERROR(INDEX(ISN!$E$3:$E$1000,
SMALL(
IF((ISN!$Q$3:$Q$1000&lt;&gt;"")*(ISN!$Q$3:$Q$1000&lt;&gt;"Not Due"),
ROW(ISN!$Q$3:$Q$1000)-ROW(ISN!$Q$3)+1),
ROWS(A$2:A58))),"")</f>
        <v/>
      </c>
      <c r="AL58" s="115" t="str" cm="1">
        <f t="array" aca="1" ref="AL58" ca="1">IFERROR(INDEX(ISN!$B$3:$B$1000,
SMALL(
IF((ISN!$Q$3:$Q$1000&lt;&gt;"")*(ISN!$Q$3:$Q$1000&lt;&gt;"Not Due"),
ROW(ISN!$Q$3:$Q$1000)-ROW(ISN!$Q$3)+1),
ROWS(A$2:A58))),"")</f>
        <v/>
      </c>
      <c r="AM58" s="116" t="str" cm="1">
        <f t="array" aca="1" ref="AM58" ca="1">IFERROR(INDEX(ISN!$D$3:$D$1000,
SMALL(
IF((ISN!$Q$3:$Q$1000&lt;&gt;"")*(ISN!$Q$3:$Q$1000&lt;&gt;"Not Due"),
ROW(ISN!$Q$3:$Q$1000)-ROW(ISN!$Q$3)+1),
ROWS(A$2:A58))),"")</f>
        <v/>
      </c>
      <c r="AN58" s="116" t="str" cm="1">
        <f t="array" aca="1" ref="AN58" ca="1">IFERROR(INDEX(ISN!$G$3:$G$1000,
SMALL(
IF((ISN!$Q$3:$Q$1000&lt;&gt;"")*(ISN!$Q$3:$Q$1000&lt;&gt;"Not Due"),
ROW(ISN!$Q$3:$Q$1000)-ROW(ISN!$Q$3)+1),
ROWS(A$2:A58))),"")</f>
        <v/>
      </c>
      <c r="AO58" s="64" t="str" cm="1">
        <f t="array" aca="1" ref="AO58" ca="1">IFERROR(INDEX(ISN!$Q$3:$Q$1000,
SMALL(
IF((ISN!$Q$3:$Q$1000&lt;&gt;"")*(ISN!$Q$3:$Q$1000&lt;&gt;"Not Due"),
ROW(ISN!$Q$3:$Q$1000)-ROW(ISN!$Q$3)+1),
ROWS(A$2:A58))
),"")</f>
        <v/>
      </c>
    </row>
    <row r="59" spans="1:41" x14ac:dyDescent="0.3">
      <c r="O59" s="115">
        <v>58</v>
      </c>
      <c r="P59" s="120" t="str" cm="1">
        <f t="array" aca="1" ref="P59" ca="1">IFERROR(INDEX(MPOB!$E$3:$E$1000,
SMALL(
IF((MPOB!$Q$3:$Q$1000&lt;&gt;"")*(MPOB!$Q$3:$Q$1000&lt;&gt;"Not Due"),
ROW(MPOB!$Q$3:$Q$1000)-ROW(MPOB!$Q$3)+1),
ROWS(A$2:A59))),"")</f>
        <v/>
      </c>
      <c r="Q59" s="115" t="str" cm="1">
        <f t="array" aca="1" ref="Q59" ca="1">IFERROR(INDEX(MPOB!$B$3:$B$1000,
SMALL(
IF((MPOB!$Q$3:$Q$1000&lt;&gt;"")*(MPOB!$Q$3:$Q$1000&lt;&gt;"Not Due"),
ROW(MPOB!$Q$3:$Q$1000)-ROW(MPOB!$Q$3)+1),
ROWS(A$2:A59))),"")</f>
        <v/>
      </c>
      <c r="R59" s="115" t="str" cm="1">
        <f t="array" aca="1" ref="R59" ca="1">IFERROR(INDEX(MPOB!$D$3:$D$1000,
SMALL(
IF((MPOB!$Q$3:$Q$1000&lt;&gt;"")*(MPOB!$Q$3:$Q$1000&lt;&gt;"Not Due"),
ROW(MPOB!$Q$3:$Q$1000)-ROW(MPOB!$Q$3)+1),
ROWS(A$2:A59))),"")</f>
        <v/>
      </c>
      <c r="S59" s="116" t="str" cm="1">
        <f t="array" aca="1" ref="S59" ca="1">IFERROR(INDEX(MPOB!$G$3:$G$1000,
SMALL(
IF((MPOB!$Q$3:$Q$1000&lt;&gt;"")*(MPOB!$Q$3:$Q$1000&lt;&gt;"Not Due"),
ROW(MPOB!$Q$3:$Q$1000)-ROW(MPOB!$Q$3)+1),
ROWS(A$2:A59))),"")</f>
        <v/>
      </c>
      <c r="T59" s="88" t="str" cm="1">
        <f t="array" aca="1" ref="T59" ca="1">IFERROR(INDEX(MPOB!$Q$3:$Q$1000,
SMALL(
IF((MPOB!$Q$3:$Q$1000&lt;&gt;"")*(MPOB!$Q$3:$Q$1000&lt;&gt;"Not Due"),
ROW(MPOB!$Q$3:$Q$1000)-ROW(MPOB!$Q$3)+1),
ROWS(A$2:A59))
),"")</f>
        <v/>
      </c>
      <c r="V59" s="115">
        <v>58</v>
      </c>
      <c r="W59" s="121" t="str" cm="1">
        <f t="array" aca="1" ref="W59" ca="1">IFERROR(INDEX(LKTN!$E$3:$E$1000,
SMALL(
IF((LKTN!$Q$3:$Q$1000&lt;&gt;"")*(LKTN!$Q$3:$Q$1000&lt;&gt;"Not Due"),
ROW(LKTN!$Q$3:$Q$1000)-ROW(LKTN!$Q$3)+1),
ROWS(A$2:A59))),"")</f>
        <v/>
      </c>
      <c r="X59" s="115" t="str" cm="1">
        <f t="array" aca="1" ref="X59" ca="1">IFERROR(INDEX(LKTN!$B$3:$B$1000,
SMALL(
IF((LKTN!$Q$3:$Q$1000&lt;&gt;"")*(LKTN!$Q$3:$Q$1000&lt;&gt;"Not Due"),
ROW(LKTN!$Q$3:$Q$1000)-ROW(LKTN!$Q$3)+1),
ROWS(A$2:A59))),"")</f>
        <v/>
      </c>
      <c r="Y59" s="115" t="str" cm="1">
        <f t="array" aca="1" ref="Y59" ca="1">IFERROR(INDEX(LKTN!$D$3:$D$1000,
SMALL(
IF((LKTN!$Q$3:$Q$1000&lt;&gt;"")*(LKTN!$Q$3:$Q$1000&lt;&gt;"Not Due"),
ROW(LKTN!$Q$3:$Q$1000)-ROW(LKTN!$Q$3)+1),
ROWS(A$2:A59))),"")</f>
        <v/>
      </c>
      <c r="Z59" s="116" t="str" cm="1">
        <f t="array" aca="1" ref="Z59" ca="1">IFERROR(INDEX(LKTN!$G$3:$G$1000,
SMALL(
IF((LKTN!$Q$3:$Q$1000&lt;&gt;"")*(LKTN!$Q$3:$Q$1000&lt;&gt;"Not Due"),
ROW(LKTN!$Q$3:$Q$1000)-ROW(LKTN!$Q$3)+1),
ROWS(A$2:A59))),"")</f>
        <v/>
      </c>
      <c r="AA59" s="64" t="str" cm="1">
        <f t="array" aca="1" ref="AA59" ca="1">IFERROR(INDEX(LKTN!$Q$3:$Q$1000,
SMALL(
IF((LKTN!$Q$3:$Q$1000&lt;&gt;"")*(LKTN!$Q$3:$Q$1000&lt;&gt;"Not Due"),
ROW(LKTN!$Q$3:$Q$1000)-ROW(LKTN!$Q$3)+1),
ROWS(A$2:A59))
),"")</f>
        <v/>
      </c>
      <c r="AJ59" s="115">
        <v>58</v>
      </c>
      <c r="AK59" s="123" t="str" cm="1">
        <f t="array" aca="1" ref="AK59" ca="1">IFERROR(INDEX(ISN!$E$3:$E$1000,
SMALL(
IF((ISN!$Q$3:$Q$1000&lt;&gt;"")*(ISN!$Q$3:$Q$1000&lt;&gt;"Not Due"),
ROW(ISN!$Q$3:$Q$1000)-ROW(ISN!$Q$3)+1),
ROWS(A$2:A59))),"")</f>
        <v/>
      </c>
      <c r="AL59" s="115" t="str" cm="1">
        <f t="array" aca="1" ref="AL59" ca="1">IFERROR(INDEX(ISN!$B$3:$B$1000,
SMALL(
IF((ISN!$Q$3:$Q$1000&lt;&gt;"")*(ISN!$Q$3:$Q$1000&lt;&gt;"Not Due"),
ROW(ISN!$Q$3:$Q$1000)-ROW(ISN!$Q$3)+1),
ROWS(A$2:A59))),"")</f>
        <v/>
      </c>
      <c r="AM59" s="116" t="str" cm="1">
        <f t="array" aca="1" ref="AM59" ca="1">IFERROR(INDEX(ISN!$D$3:$D$1000,
SMALL(
IF((ISN!$Q$3:$Q$1000&lt;&gt;"")*(ISN!$Q$3:$Q$1000&lt;&gt;"Not Due"),
ROW(ISN!$Q$3:$Q$1000)-ROW(ISN!$Q$3)+1),
ROWS(A$2:A59))),"")</f>
        <v/>
      </c>
      <c r="AN59" s="116" t="str" cm="1">
        <f t="array" aca="1" ref="AN59" ca="1">IFERROR(INDEX(ISN!$G$3:$G$1000,
SMALL(
IF((ISN!$Q$3:$Q$1000&lt;&gt;"")*(ISN!$Q$3:$Q$1000&lt;&gt;"Not Due"),
ROW(ISN!$Q$3:$Q$1000)-ROW(ISN!$Q$3)+1),
ROWS(A$2:A59))),"")</f>
        <v/>
      </c>
      <c r="AO59" s="64" t="str" cm="1">
        <f t="array" aca="1" ref="AO59" ca="1">IFERROR(INDEX(ISN!$Q$3:$Q$1000,
SMALL(
IF((ISN!$Q$3:$Q$1000&lt;&gt;"")*(ISN!$Q$3:$Q$1000&lt;&gt;"Not Due"),
ROW(ISN!$Q$3:$Q$1000)-ROW(ISN!$Q$3)+1),
ROWS(A$2:A59))
),"")</f>
        <v/>
      </c>
    </row>
    <row r="60" spans="1:41" x14ac:dyDescent="0.3">
      <c r="O60" s="115">
        <v>59</v>
      </c>
      <c r="P60" s="120" t="str" cm="1">
        <f t="array" aca="1" ref="P60" ca="1">IFERROR(INDEX(MPOB!$E$3:$E$1000,
SMALL(
IF((MPOB!$Q$3:$Q$1000&lt;&gt;"")*(MPOB!$Q$3:$Q$1000&lt;&gt;"Not Due"),
ROW(MPOB!$Q$3:$Q$1000)-ROW(MPOB!$Q$3)+1),
ROWS(A$2:A60))),"")</f>
        <v/>
      </c>
      <c r="Q60" s="115" t="str" cm="1">
        <f t="array" aca="1" ref="Q60" ca="1">IFERROR(INDEX(MPOB!$B$3:$B$1000,
SMALL(
IF((MPOB!$Q$3:$Q$1000&lt;&gt;"")*(MPOB!$Q$3:$Q$1000&lt;&gt;"Not Due"),
ROW(MPOB!$Q$3:$Q$1000)-ROW(MPOB!$Q$3)+1),
ROWS(A$2:A60))),"")</f>
        <v/>
      </c>
      <c r="R60" s="115" t="str" cm="1">
        <f t="array" aca="1" ref="R60" ca="1">IFERROR(INDEX(MPOB!$D$3:$D$1000,
SMALL(
IF((MPOB!$Q$3:$Q$1000&lt;&gt;"")*(MPOB!$Q$3:$Q$1000&lt;&gt;"Not Due"),
ROW(MPOB!$Q$3:$Q$1000)-ROW(MPOB!$Q$3)+1),
ROWS(A$2:A60))),"")</f>
        <v/>
      </c>
      <c r="S60" s="116" t="str" cm="1">
        <f t="array" aca="1" ref="S60" ca="1">IFERROR(INDEX(MPOB!$G$3:$G$1000,
SMALL(
IF((MPOB!$Q$3:$Q$1000&lt;&gt;"")*(MPOB!$Q$3:$Q$1000&lt;&gt;"Not Due"),
ROW(MPOB!$Q$3:$Q$1000)-ROW(MPOB!$Q$3)+1),
ROWS(A$2:A60))),"")</f>
        <v/>
      </c>
      <c r="T60" s="88" t="str" cm="1">
        <f t="array" aca="1" ref="T60" ca="1">IFERROR(INDEX(MPOB!$Q$3:$Q$1000,
SMALL(
IF((MPOB!$Q$3:$Q$1000&lt;&gt;"")*(MPOB!$Q$3:$Q$1000&lt;&gt;"Not Due"),
ROW(MPOB!$Q$3:$Q$1000)-ROW(MPOB!$Q$3)+1),
ROWS(A$2:A60))
),"")</f>
        <v/>
      </c>
      <c r="V60" s="115">
        <v>59</v>
      </c>
      <c r="W60" s="121" t="str" cm="1">
        <f t="array" aca="1" ref="W60" ca="1">IFERROR(INDEX(LKTN!$E$3:$E$1000,
SMALL(
IF((LKTN!$Q$3:$Q$1000&lt;&gt;"")*(LKTN!$Q$3:$Q$1000&lt;&gt;"Not Due"),
ROW(LKTN!$Q$3:$Q$1000)-ROW(LKTN!$Q$3)+1),
ROWS(A$2:A60))),"")</f>
        <v/>
      </c>
      <c r="X60" s="115" t="str" cm="1">
        <f t="array" aca="1" ref="X60" ca="1">IFERROR(INDEX(LKTN!$B$3:$B$1000,
SMALL(
IF((LKTN!$Q$3:$Q$1000&lt;&gt;"")*(LKTN!$Q$3:$Q$1000&lt;&gt;"Not Due"),
ROW(LKTN!$Q$3:$Q$1000)-ROW(LKTN!$Q$3)+1),
ROWS(A$2:A60))),"")</f>
        <v/>
      </c>
      <c r="Y60" s="115" t="str" cm="1">
        <f t="array" aca="1" ref="Y60" ca="1">IFERROR(INDEX(LKTN!$D$3:$D$1000,
SMALL(
IF((LKTN!$Q$3:$Q$1000&lt;&gt;"")*(LKTN!$Q$3:$Q$1000&lt;&gt;"Not Due"),
ROW(LKTN!$Q$3:$Q$1000)-ROW(LKTN!$Q$3)+1),
ROWS(A$2:A60))),"")</f>
        <v/>
      </c>
      <c r="Z60" s="116" t="str" cm="1">
        <f t="array" aca="1" ref="Z60" ca="1">IFERROR(INDEX(LKTN!$G$3:$G$1000,
SMALL(
IF((LKTN!$Q$3:$Q$1000&lt;&gt;"")*(LKTN!$Q$3:$Q$1000&lt;&gt;"Not Due"),
ROW(LKTN!$Q$3:$Q$1000)-ROW(LKTN!$Q$3)+1),
ROWS(A$2:A60))),"")</f>
        <v/>
      </c>
      <c r="AA60" s="64" t="str" cm="1">
        <f t="array" aca="1" ref="AA60" ca="1">IFERROR(INDEX(LKTN!$Q$3:$Q$1000,
SMALL(
IF((LKTN!$Q$3:$Q$1000&lt;&gt;"")*(LKTN!$Q$3:$Q$1000&lt;&gt;"Not Due"),
ROW(LKTN!$Q$3:$Q$1000)-ROW(LKTN!$Q$3)+1),
ROWS(A$2:A60))
),"")</f>
        <v/>
      </c>
      <c r="AJ60" s="115">
        <v>59</v>
      </c>
      <c r="AK60" s="123" t="str" cm="1">
        <f t="array" aca="1" ref="AK60" ca="1">IFERROR(INDEX(ISN!$E$3:$E$1000,
SMALL(
IF((ISN!$Q$3:$Q$1000&lt;&gt;"")*(ISN!$Q$3:$Q$1000&lt;&gt;"Not Due"),
ROW(ISN!$Q$3:$Q$1000)-ROW(ISN!$Q$3)+1),
ROWS(A$2:A60))),"")</f>
        <v/>
      </c>
      <c r="AL60" s="115" t="str" cm="1">
        <f t="array" aca="1" ref="AL60" ca="1">IFERROR(INDEX(ISN!$B$3:$B$1000,
SMALL(
IF((ISN!$Q$3:$Q$1000&lt;&gt;"")*(ISN!$Q$3:$Q$1000&lt;&gt;"Not Due"),
ROW(ISN!$Q$3:$Q$1000)-ROW(ISN!$Q$3)+1),
ROWS(A$2:A60))),"")</f>
        <v/>
      </c>
      <c r="AM60" s="116" t="str" cm="1">
        <f t="array" aca="1" ref="AM60" ca="1">IFERROR(INDEX(ISN!$D$3:$D$1000,
SMALL(
IF((ISN!$Q$3:$Q$1000&lt;&gt;"")*(ISN!$Q$3:$Q$1000&lt;&gt;"Not Due"),
ROW(ISN!$Q$3:$Q$1000)-ROW(ISN!$Q$3)+1),
ROWS(A$2:A60))),"")</f>
        <v/>
      </c>
      <c r="AN60" s="116" t="str" cm="1">
        <f t="array" aca="1" ref="AN60" ca="1">IFERROR(INDEX(ISN!$G$3:$G$1000,
SMALL(
IF((ISN!$Q$3:$Q$1000&lt;&gt;"")*(ISN!$Q$3:$Q$1000&lt;&gt;"Not Due"),
ROW(ISN!$Q$3:$Q$1000)-ROW(ISN!$Q$3)+1),
ROWS(A$2:A60))),"")</f>
        <v/>
      </c>
      <c r="AO60" s="64" t="str" cm="1">
        <f t="array" aca="1" ref="AO60" ca="1">IFERROR(INDEX(ISN!$Q$3:$Q$1000,
SMALL(
IF((ISN!$Q$3:$Q$1000&lt;&gt;"")*(ISN!$Q$3:$Q$1000&lt;&gt;"Not Due"),
ROW(ISN!$Q$3:$Q$1000)-ROW(ISN!$Q$3)+1),
ROWS(A$2:A60))
),"")</f>
        <v/>
      </c>
    </row>
    <row r="61" spans="1:41" x14ac:dyDescent="0.3">
      <c r="O61" s="115">
        <v>60</v>
      </c>
      <c r="P61" s="120" t="str" cm="1">
        <f t="array" aca="1" ref="P61" ca="1">IFERROR(INDEX(MPOB!$E$3:$E$1000,
SMALL(
IF((MPOB!$Q$3:$Q$1000&lt;&gt;"")*(MPOB!$Q$3:$Q$1000&lt;&gt;"Not Due"),
ROW(MPOB!$Q$3:$Q$1000)-ROW(MPOB!$Q$3)+1),
ROWS(A$2:A61))),"")</f>
        <v/>
      </c>
      <c r="Q61" s="115" t="str" cm="1">
        <f t="array" aca="1" ref="Q61" ca="1">IFERROR(INDEX(MPOB!$B$3:$B$1000,
SMALL(
IF((MPOB!$Q$3:$Q$1000&lt;&gt;"")*(MPOB!$Q$3:$Q$1000&lt;&gt;"Not Due"),
ROW(MPOB!$Q$3:$Q$1000)-ROW(MPOB!$Q$3)+1),
ROWS(A$2:A61))),"")</f>
        <v/>
      </c>
      <c r="R61" s="115" t="str" cm="1">
        <f t="array" aca="1" ref="R61" ca="1">IFERROR(INDEX(MPOB!$D$3:$D$1000,
SMALL(
IF((MPOB!$Q$3:$Q$1000&lt;&gt;"")*(MPOB!$Q$3:$Q$1000&lt;&gt;"Not Due"),
ROW(MPOB!$Q$3:$Q$1000)-ROW(MPOB!$Q$3)+1),
ROWS(A$2:A61))),"")</f>
        <v/>
      </c>
      <c r="S61" s="116" t="str" cm="1">
        <f t="array" aca="1" ref="S61" ca="1">IFERROR(INDEX(MPOB!$G$3:$G$1000,
SMALL(
IF((MPOB!$Q$3:$Q$1000&lt;&gt;"")*(MPOB!$Q$3:$Q$1000&lt;&gt;"Not Due"),
ROW(MPOB!$Q$3:$Q$1000)-ROW(MPOB!$Q$3)+1),
ROWS(A$2:A61))),"")</f>
        <v/>
      </c>
      <c r="T61" s="88" t="str" cm="1">
        <f t="array" aca="1" ref="T61" ca="1">IFERROR(INDEX(MPOB!$Q$3:$Q$1000,
SMALL(
IF((MPOB!$Q$3:$Q$1000&lt;&gt;"")*(MPOB!$Q$3:$Q$1000&lt;&gt;"Not Due"),
ROW(MPOB!$Q$3:$Q$1000)-ROW(MPOB!$Q$3)+1),
ROWS(A$2:A61))
),"")</f>
        <v/>
      </c>
      <c r="V61" s="115">
        <v>60</v>
      </c>
      <c r="W61" s="121" t="str" cm="1">
        <f t="array" aca="1" ref="W61" ca="1">IFERROR(INDEX(LKTN!$E$3:$E$1000,
SMALL(
IF((LKTN!$Q$3:$Q$1000&lt;&gt;"")*(LKTN!$Q$3:$Q$1000&lt;&gt;"Not Due"),
ROW(LKTN!$Q$3:$Q$1000)-ROW(LKTN!$Q$3)+1),
ROWS(A$2:A61))),"")</f>
        <v/>
      </c>
      <c r="X61" s="115" t="str" cm="1">
        <f t="array" aca="1" ref="X61" ca="1">IFERROR(INDEX(LKTN!$B$3:$B$1000,
SMALL(
IF((LKTN!$Q$3:$Q$1000&lt;&gt;"")*(LKTN!$Q$3:$Q$1000&lt;&gt;"Not Due"),
ROW(LKTN!$Q$3:$Q$1000)-ROW(LKTN!$Q$3)+1),
ROWS(A$2:A61))),"")</f>
        <v/>
      </c>
      <c r="Y61" s="115" t="str" cm="1">
        <f t="array" aca="1" ref="Y61" ca="1">IFERROR(INDEX(LKTN!$D$3:$D$1000,
SMALL(
IF((LKTN!$Q$3:$Q$1000&lt;&gt;"")*(LKTN!$Q$3:$Q$1000&lt;&gt;"Not Due"),
ROW(LKTN!$Q$3:$Q$1000)-ROW(LKTN!$Q$3)+1),
ROWS(A$2:A61))),"")</f>
        <v/>
      </c>
      <c r="Z61" s="116" t="str" cm="1">
        <f t="array" aca="1" ref="Z61" ca="1">IFERROR(INDEX(LKTN!$G$3:$G$1000,
SMALL(
IF((LKTN!$Q$3:$Q$1000&lt;&gt;"")*(LKTN!$Q$3:$Q$1000&lt;&gt;"Not Due"),
ROW(LKTN!$Q$3:$Q$1000)-ROW(LKTN!$Q$3)+1),
ROWS(A$2:A61))),"")</f>
        <v/>
      </c>
      <c r="AA61" s="64" t="str" cm="1">
        <f t="array" aca="1" ref="AA61" ca="1">IFERROR(INDEX(LKTN!$Q$3:$Q$1000,
SMALL(
IF((LKTN!$Q$3:$Q$1000&lt;&gt;"")*(LKTN!$Q$3:$Q$1000&lt;&gt;"Not Due"),
ROW(LKTN!$Q$3:$Q$1000)-ROW(LKTN!$Q$3)+1),
ROWS(A$2:A61))
),"")</f>
        <v/>
      </c>
      <c r="AJ61" s="115">
        <v>60</v>
      </c>
      <c r="AK61" s="123" t="str" cm="1">
        <f t="array" aca="1" ref="AK61" ca="1">IFERROR(INDEX(ISN!$E$3:$E$1000,
SMALL(
IF((ISN!$Q$3:$Q$1000&lt;&gt;"")*(ISN!$Q$3:$Q$1000&lt;&gt;"Not Due"),
ROW(ISN!$Q$3:$Q$1000)-ROW(ISN!$Q$3)+1),
ROWS(A$2:A61))),"")</f>
        <v/>
      </c>
      <c r="AL61" s="115" t="str" cm="1">
        <f t="array" aca="1" ref="AL61" ca="1">IFERROR(INDEX(ISN!$B$3:$B$1000,
SMALL(
IF((ISN!$Q$3:$Q$1000&lt;&gt;"")*(ISN!$Q$3:$Q$1000&lt;&gt;"Not Due"),
ROW(ISN!$Q$3:$Q$1000)-ROW(ISN!$Q$3)+1),
ROWS(A$2:A61))),"")</f>
        <v/>
      </c>
      <c r="AM61" s="116" t="str" cm="1">
        <f t="array" aca="1" ref="AM61" ca="1">IFERROR(INDEX(ISN!$D$3:$D$1000,
SMALL(
IF((ISN!$Q$3:$Q$1000&lt;&gt;"")*(ISN!$Q$3:$Q$1000&lt;&gt;"Not Due"),
ROW(ISN!$Q$3:$Q$1000)-ROW(ISN!$Q$3)+1),
ROWS(A$2:A61))),"")</f>
        <v/>
      </c>
      <c r="AN61" s="116" t="str" cm="1">
        <f t="array" aca="1" ref="AN61" ca="1">IFERROR(INDEX(ISN!$G$3:$G$1000,
SMALL(
IF((ISN!$Q$3:$Q$1000&lt;&gt;"")*(ISN!$Q$3:$Q$1000&lt;&gt;"Not Due"),
ROW(ISN!$Q$3:$Q$1000)-ROW(ISN!$Q$3)+1),
ROWS(A$2:A61))),"")</f>
        <v/>
      </c>
      <c r="AO61" s="64" t="str" cm="1">
        <f t="array" aca="1" ref="AO61" ca="1">IFERROR(INDEX(ISN!$Q$3:$Q$1000,
SMALL(
IF((ISN!$Q$3:$Q$1000&lt;&gt;"")*(ISN!$Q$3:$Q$1000&lt;&gt;"Not Due"),
ROW(ISN!$Q$3:$Q$1000)-ROW(ISN!$Q$3)+1),
ROWS(A$2:A61))
),"")</f>
        <v/>
      </c>
    </row>
    <row r="62" spans="1:41" x14ac:dyDescent="0.3">
      <c r="O62" s="115">
        <v>61</v>
      </c>
      <c r="P62" s="120" t="str" cm="1">
        <f t="array" aca="1" ref="P62" ca="1">IFERROR(INDEX(MPOB!$E$3:$E$1000,
SMALL(
IF((MPOB!$Q$3:$Q$1000&lt;&gt;"")*(MPOB!$Q$3:$Q$1000&lt;&gt;"Not Due"),
ROW(MPOB!$Q$3:$Q$1000)-ROW(MPOB!$Q$3)+1),
ROWS(A$2:A62))),"")</f>
        <v/>
      </c>
      <c r="Q62" s="115" t="str" cm="1">
        <f t="array" aca="1" ref="Q62" ca="1">IFERROR(INDEX(MPOB!$B$3:$B$1000,
SMALL(
IF((MPOB!$Q$3:$Q$1000&lt;&gt;"")*(MPOB!$Q$3:$Q$1000&lt;&gt;"Not Due"),
ROW(MPOB!$Q$3:$Q$1000)-ROW(MPOB!$Q$3)+1),
ROWS(A$2:A62))),"")</f>
        <v/>
      </c>
      <c r="R62" s="115" t="str" cm="1">
        <f t="array" aca="1" ref="R62" ca="1">IFERROR(INDEX(MPOB!$D$3:$D$1000,
SMALL(
IF((MPOB!$Q$3:$Q$1000&lt;&gt;"")*(MPOB!$Q$3:$Q$1000&lt;&gt;"Not Due"),
ROW(MPOB!$Q$3:$Q$1000)-ROW(MPOB!$Q$3)+1),
ROWS(A$2:A62))),"")</f>
        <v/>
      </c>
      <c r="S62" s="116" t="str" cm="1">
        <f t="array" aca="1" ref="S62" ca="1">IFERROR(INDEX(MPOB!$G$3:$G$1000,
SMALL(
IF((MPOB!$Q$3:$Q$1000&lt;&gt;"")*(MPOB!$Q$3:$Q$1000&lt;&gt;"Not Due"),
ROW(MPOB!$Q$3:$Q$1000)-ROW(MPOB!$Q$3)+1),
ROWS(A$2:A62))),"")</f>
        <v/>
      </c>
      <c r="T62" s="88" t="str" cm="1">
        <f t="array" aca="1" ref="T62" ca="1">IFERROR(INDEX(MPOB!$Q$3:$Q$1000,
SMALL(
IF((MPOB!$Q$3:$Q$1000&lt;&gt;"")*(MPOB!$Q$3:$Q$1000&lt;&gt;"Not Due"),
ROW(MPOB!$Q$3:$Q$1000)-ROW(MPOB!$Q$3)+1),
ROWS(A$2:A62))
),"")</f>
        <v/>
      </c>
      <c r="V62" s="115">
        <v>61</v>
      </c>
      <c r="W62" s="121" t="str" cm="1">
        <f t="array" aca="1" ref="W62" ca="1">IFERROR(INDEX(LKTN!$E$3:$E$1000,
SMALL(
IF((LKTN!$Q$3:$Q$1000&lt;&gt;"")*(LKTN!$Q$3:$Q$1000&lt;&gt;"Not Due"),
ROW(LKTN!$Q$3:$Q$1000)-ROW(LKTN!$Q$3)+1),
ROWS(A$2:A62))),"")</f>
        <v/>
      </c>
      <c r="X62" s="115" t="str" cm="1">
        <f t="array" aca="1" ref="X62" ca="1">IFERROR(INDEX(LKTN!$B$3:$B$1000,
SMALL(
IF((LKTN!$Q$3:$Q$1000&lt;&gt;"")*(LKTN!$Q$3:$Q$1000&lt;&gt;"Not Due"),
ROW(LKTN!$Q$3:$Q$1000)-ROW(LKTN!$Q$3)+1),
ROWS(A$2:A62))),"")</f>
        <v/>
      </c>
      <c r="Y62" s="115" t="str" cm="1">
        <f t="array" aca="1" ref="Y62" ca="1">IFERROR(INDEX(LKTN!$D$3:$D$1000,
SMALL(
IF((LKTN!$Q$3:$Q$1000&lt;&gt;"")*(LKTN!$Q$3:$Q$1000&lt;&gt;"Not Due"),
ROW(LKTN!$Q$3:$Q$1000)-ROW(LKTN!$Q$3)+1),
ROWS(A$2:A62))),"")</f>
        <v/>
      </c>
      <c r="Z62" s="116" t="str" cm="1">
        <f t="array" aca="1" ref="Z62" ca="1">IFERROR(INDEX(LKTN!$G$3:$G$1000,
SMALL(
IF((LKTN!$Q$3:$Q$1000&lt;&gt;"")*(LKTN!$Q$3:$Q$1000&lt;&gt;"Not Due"),
ROW(LKTN!$Q$3:$Q$1000)-ROW(LKTN!$Q$3)+1),
ROWS(A$2:A62))),"")</f>
        <v/>
      </c>
      <c r="AA62" s="64" t="str" cm="1">
        <f t="array" aca="1" ref="AA62" ca="1">IFERROR(INDEX(LKTN!$Q$3:$Q$1000,
SMALL(
IF((LKTN!$Q$3:$Q$1000&lt;&gt;"")*(LKTN!$Q$3:$Q$1000&lt;&gt;"Not Due"),
ROW(LKTN!$Q$3:$Q$1000)-ROW(LKTN!$Q$3)+1),
ROWS(A$2:A62))
),"")</f>
        <v/>
      </c>
      <c r="AJ62" s="115">
        <v>61</v>
      </c>
      <c r="AK62" s="123" t="str" cm="1">
        <f t="array" aca="1" ref="AK62" ca="1">IFERROR(INDEX(ISN!$E$3:$E$1000,
SMALL(
IF((ISN!$Q$3:$Q$1000&lt;&gt;"")*(ISN!$Q$3:$Q$1000&lt;&gt;"Not Due"),
ROW(ISN!$Q$3:$Q$1000)-ROW(ISN!$Q$3)+1),
ROWS(A$2:A62))),"")</f>
        <v/>
      </c>
      <c r="AL62" s="115" t="str" cm="1">
        <f t="array" aca="1" ref="AL62" ca="1">IFERROR(INDEX(ISN!$B$3:$B$1000,
SMALL(
IF((ISN!$Q$3:$Q$1000&lt;&gt;"")*(ISN!$Q$3:$Q$1000&lt;&gt;"Not Due"),
ROW(ISN!$Q$3:$Q$1000)-ROW(ISN!$Q$3)+1),
ROWS(A$2:A62))),"")</f>
        <v/>
      </c>
      <c r="AM62" s="116" t="str" cm="1">
        <f t="array" aca="1" ref="AM62" ca="1">IFERROR(INDEX(ISN!$D$3:$D$1000,
SMALL(
IF((ISN!$Q$3:$Q$1000&lt;&gt;"")*(ISN!$Q$3:$Q$1000&lt;&gt;"Not Due"),
ROW(ISN!$Q$3:$Q$1000)-ROW(ISN!$Q$3)+1),
ROWS(A$2:A62))),"")</f>
        <v/>
      </c>
      <c r="AN62" s="116" t="str" cm="1">
        <f t="array" aca="1" ref="AN62" ca="1">IFERROR(INDEX(ISN!$G$3:$G$1000,
SMALL(
IF((ISN!$Q$3:$Q$1000&lt;&gt;"")*(ISN!$Q$3:$Q$1000&lt;&gt;"Not Due"),
ROW(ISN!$Q$3:$Q$1000)-ROW(ISN!$Q$3)+1),
ROWS(A$2:A62))),"")</f>
        <v/>
      </c>
      <c r="AO62" s="64" t="str" cm="1">
        <f t="array" aca="1" ref="AO62" ca="1">IFERROR(INDEX(ISN!$Q$3:$Q$1000,
SMALL(
IF((ISN!$Q$3:$Q$1000&lt;&gt;"")*(ISN!$Q$3:$Q$1000&lt;&gt;"Not Due"),
ROW(ISN!$Q$3:$Q$1000)-ROW(ISN!$Q$3)+1),
ROWS(A$2:A62))
),"")</f>
        <v/>
      </c>
    </row>
    <row r="63" spans="1:41" x14ac:dyDescent="0.3">
      <c r="O63" s="115">
        <v>62</v>
      </c>
      <c r="P63" s="120" t="str" cm="1">
        <f t="array" aca="1" ref="P63" ca="1">IFERROR(INDEX(MPOB!$E$3:$E$1000,
SMALL(
IF((MPOB!$Q$3:$Q$1000&lt;&gt;"")*(MPOB!$Q$3:$Q$1000&lt;&gt;"Not Due"),
ROW(MPOB!$Q$3:$Q$1000)-ROW(MPOB!$Q$3)+1),
ROWS(A$2:A63))),"")</f>
        <v/>
      </c>
      <c r="Q63" s="115" t="str" cm="1">
        <f t="array" aca="1" ref="Q63" ca="1">IFERROR(INDEX(MPOB!$B$3:$B$1000,
SMALL(
IF((MPOB!$Q$3:$Q$1000&lt;&gt;"")*(MPOB!$Q$3:$Q$1000&lt;&gt;"Not Due"),
ROW(MPOB!$Q$3:$Q$1000)-ROW(MPOB!$Q$3)+1),
ROWS(A$2:A63))),"")</f>
        <v/>
      </c>
      <c r="R63" s="115" t="str" cm="1">
        <f t="array" aca="1" ref="R63" ca="1">IFERROR(INDEX(MPOB!$D$3:$D$1000,
SMALL(
IF((MPOB!$Q$3:$Q$1000&lt;&gt;"")*(MPOB!$Q$3:$Q$1000&lt;&gt;"Not Due"),
ROW(MPOB!$Q$3:$Q$1000)-ROW(MPOB!$Q$3)+1),
ROWS(A$2:A63))),"")</f>
        <v/>
      </c>
      <c r="S63" s="116" t="str" cm="1">
        <f t="array" aca="1" ref="S63" ca="1">IFERROR(INDEX(MPOB!$G$3:$G$1000,
SMALL(
IF((MPOB!$Q$3:$Q$1000&lt;&gt;"")*(MPOB!$Q$3:$Q$1000&lt;&gt;"Not Due"),
ROW(MPOB!$Q$3:$Q$1000)-ROW(MPOB!$Q$3)+1),
ROWS(A$2:A63))),"")</f>
        <v/>
      </c>
      <c r="T63" s="88" t="str" cm="1">
        <f t="array" aca="1" ref="T63" ca="1">IFERROR(INDEX(MPOB!$Q$3:$Q$1000,
SMALL(
IF((MPOB!$Q$3:$Q$1000&lt;&gt;"")*(MPOB!$Q$3:$Q$1000&lt;&gt;"Not Due"),
ROW(MPOB!$Q$3:$Q$1000)-ROW(MPOB!$Q$3)+1),
ROWS(A$2:A63))
),"")</f>
        <v/>
      </c>
      <c r="V63" s="115">
        <v>62</v>
      </c>
      <c r="W63" s="121" t="str" cm="1">
        <f t="array" aca="1" ref="W63" ca="1">IFERROR(INDEX(LKTN!$E$3:$E$1000,
SMALL(
IF((LKTN!$Q$3:$Q$1000&lt;&gt;"")*(LKTN!$Q$3:$Q$1000&lt;&gt;"Not Due"),
ROW(LKTN!$Q$3:$Q$1000)-ROW(LKTN!$Q$3)+1),
ROWS(A$2:A63))),"")</f>
        <v/>
      </c>
      <c r="X63" s="115" t="str" cm="1">
        <f t="array" aca="1" ref="X63" ca="1">IFERROR(INDEX(LKTN!$B$3:$B$1000,
SMALL(
IF((LKTN!$Q$3:$Q$1000&lt;&gt;"")*(LKTN!$Q$3:$Q$1000&lt;&gt;"Not Due"),
ROW(LKTN!$Q$3:$Q$1000)-ROW(LKTN!$Q$3)+1),
ROWS(A$2:A63))),"")</f>
        <v/>
      </c>
      <c r="Y63" s="115" t="str" cm="1">
        <f t="array" aca="1" ref="Y63" ca="1">IFERROR(INDEX(LKTN!$D$3:$D$1000,
SMALL(
IF((LKTN!$Q$3:$Q$1000&lt;&gt;"")*(LKTN!$Q$3:$Q$1000&lt;&gt;"Not Due"),
ROW(LKTN!$Q$3:$Q$1000)-ROW(LKTN!$Q$3)+1),
ROWS(A$2:A63))),"")</f>
        <v/>
      </c>
      <c r="Z63" s="116" t="str" cm="1">
        <f t="array" aca="1" ref="Z63" ca="1">IFERROR(INDEX(LKTN!$G$3:$G$1000,
SMALL(
IF((LKTN!$Q$3:$Q$1000&lt;&gt;"")*(LKTN!$Q$3:$Q$1000&lt;&gt;"Not Due"),
ROW(LKTN!$Q$3:$Q$1000)-ROW(LKTN!$Q$3)+1),
ROWS(A$2:A63))),"")</f>
        <v/>
      </c>
      <c r="AA63" s="64" t="str" cm="1">
        <f t="array" aca="1" ref="AA63" ca="1">IFERROR(INDEX(LKTN!$Q$3:$Q$1000,
SMALL(
IF((LKTN!$Q$3:$Q$1000&lt;&gt;"")*(LKTN!$Q$3:$Q$1000&lt;&gt;"Not Due"),
ROW(LKTN!$Q$3:$Q$1000)-ROW(LKTN!$Q$3)+1),
ROWS(A$2:A63))
),"")</f>
        <v/>
      </c>
      <c r="AJ63" s="115">
        <v>62</v>
      </c>
      <c r="AK63" s="123" t="str" cm="1">
        <f t="array" aca="1" ref="AK63" ca="1">IFERROR(INDEX(ISN!$E$3:$E$1000,
SMALL(
IF((ISN!$Q$3:$Q$1000&lt;&gt;"")*(ISN!$Q$3:$Q$1000&lt;&gt;"Not Due"),
ROW(ISN!$Q$3:$Q$1000)-ROW(ISN!$Q$3)+1),
ROWS(A$2:A63))),"")</f>
        <v/>
      </c>
      <c r="AL63" s="115" t="str" cm="1">
        <f t="array" aca="1" ref="AL63" ca="1">IFERROR(INDEX(ISN!$B$3:$B$1000,
SMALL(
IF((ISN!$Q$3:$Q$1000&lt;&gt;"")*(ISN!$Q$3:$Q$1000&lt;&gt;"Not Due"),
ROW(ISN!$Q$3:$Q$1000)-ROW(ISN!$Q$3)+1),
ROWS(A$2:A63))),"")</f>
        <v/>
      </c>
      <c r="AM63" s="116" t="str" cm="1">
        <f t="array" aca="1" ref="AM63" ca="1">IFERROR(INDEX(ISN!$D$3:$D$1000,
SMALL(
IF((ISN!$Q$3:$Q$1000&lt;&gt;"")*(ISN!$Q$3:$Q$1000&lt;&gt;"Not Due"),
ROW(ISN!$Q$3:$Q$1000)-ROW(ISN!$Q$3)+1),
ROWS(A$2:A63))),"")</f>
        <v/>
      </c>
      <c r="AN63" s="116" t="str" cm="1">
        <f t="array" aca="1" ref="AN63" ca="1">IFERROR(INDEX(ISN!$G$3:$G$1000,
SMALL(
IF((ISN!$Q$3:$Q$1000&lt;&gt;"")*(ISN!$Q$3:$Q$1000&lt;&gt;"Not Due"),
ROW(ISN!$Q$3:$Q$1000)-ROW(ISN!$Q$3)+1),
ROWS(A$2:A63))),"")</f>
        <v/>
      </c>
      <c r="AO63" s="64" t="str" cm="1">
        <f t="array" aca="1" ref="AO63" ca="1">IFERROR(INDEX(ISN!$Q$3:$Q$1000,
SMALL(
IF((ISN!$Q$3:$Q$1000&lt;&gt;"")*(ISN!$Q$3:$Q$1000&lt;&gt;"Not Due"),
ROW(ISN!$Q$3:$Q$1000)-ROW(ISN!$Q$3)+1),
ROWS(A$2:A63))
),"")</f>
        <v/>
      </c>
    </row>
    <row r="64" spans="1:41" x14ac:dyDescent="0.3">
      <c r="O64" s="115">
        <v>63</v>
      </c>
      <c r="P64" s="120" t="str" cm="1">
        <f t="array" aca="1" ref="P64" ca="1">IFERROR(INDEX(MPOB!$E$3:$E$1000,
SMALL(
IF((MPOB!$Q$3:$Q$1000&lt;&gt;"")*(MPOB!$Q$3:$Q$1000&lt;&gt;"Not Due"),
ROW(MPOB!$Q$3:$Q$1000)-ROW(MPOB!$Q$3)+1),
ROWS(A$2:A64))),"")</f>
        <v/>
      </c>
      <c r="Q64" s="115" t="str" cm="1">
        <f t="array" aca="1" ref="Q64" ca="1">IFERROR(INDEX(MPOB!$B$3:$B$1000,
SMALL(
IF((MPOB!$Q$3:$Q$1000&lt;&gt;"")*(MPOB!$Q$3:$Q$1000&lt;&gt;"Not Due"),
ROW(MPOB!$Q$3:$Q$1000)-ROW(MPOB!$Q$3)+1),
ROWS(A$2:A64))),"")</f>
        <v/>
      </c>
      <c r="R64" s="115" t="str" cm="1">
        <f t="array" aca="1" ref="R64" ca="1">IFERROR(INDEX(MPOB!$D$3:$D$1000,
SMALL(
IF((MPOB!$Q$3:$Q$1000&lt;&gt;"")*(MPOB!$Q$3:$Q$1000&lt;&gt;"Not Due"),
ROW(MPOB!$Q$3:$Q$1000)-ROW(MPOB!$Q$3)+1),
ROWS(A$2:A64))),"")</f>
        <v/>
      </c>
      <c r="S64" s="116" t="str" cm="1">
        <f t="array" aca="1" ref="S64" ca="1">IFERROR(INDEX(MPOB!$G$3:$G$1000,
SMALL(
IF((MPOB!$Q$3:$Q$1000&lt;&gt;"")*(MPOB!$Q$3:$Q$1000&lt;&gt;"Not Due"),
ROW(MPOB!$Q$3:$Q$1000)-ROW(MPOB!$Q$3)+1),
ROWS(A$2:A64))),"")</f>
        <v/>
      </c>
      <c r="T64" s="88" t="str" cm="1">
        <f t="array" aca="1" ref="T64" ca="1">IFERROR(INDEX(MPOB!$Q$3:$Q$1000,
SMALL(
IF((MPOB!$Q$3:$Q$1000&lt;&gt;"")*(MPOB!$Q$3:$Q$1000&lt;&gt;"Not Due"),
ROW(MPOB!$Q$3:$Q$1000)-ROW(MPOB!$Q$3)+1),
ROWS(A$2:A64))
),"")</f>
        <v/>
      </c>
      <c r="V64" s="115">
        <v>63</v>
      </c>
      <c r="W64" s="121" t="str" cm="1">
        <f t="array" aca="1" ref="W64" ca="1">IFERROR(INDEX(LKTN!$E$3:$E$1000,
SMALL(
IF((LKTN!$Q$3:$Q$1000&lt;&gt;"")*(LKTN!$Q$3:$Q$1000&lt;&gt;"Not Due"),
ROW(LKTN!$Q$3:$Q$1000)-ROW(LKTN!$Q$3)+1),
ROWS(A$2:A64))),"")</f>
        <v/>
      </c>
      <c r="X64" s="115" t="str" cm="1">
        <f t="array" aca="1" ref="X64" ca="1">IFERROR(INDEX(LKTN!$B$3:$B$1000,
SMALL(
IF((LKTN!$Q$3:$Q$1000&lt;&gt;"")*(LKTN!$Q$3:$Q$1000&lt;&gt;"Not Due"),
ROW(LKTN!$Q$3:$Q$1000)-ROW(LKTN!$Q$3)+1),
ROWS(A$2:A64))),"")</f>
        <v/>
      </c>
      <c r="Y64" s="115" t="str" cm="1">
        <f t="array" aca="1" ref="Y64" ca="1">IFERROR(INDEX(LKTN!$D$3:$D$1000,
SMALL(
IF((LKTN!$Q$3:$Q$1000&lt;&gt;"")*(LKTN!$Q$3:$Q$1000&lt;&gt;"Not Due"),
ROW(LKTN!$Q$3:$Q$1000)-ROW(LKTN!$Q$3)+1),
ROWS(A$2:A64))),"")</f>
        <v/>
      </c>
      <c r="Z64" s="116" t="str" cm="1">
        <f t="array" aca="1" ref="Z64" ca="1">IFERROR(INDEX(LKTN!$G$3:$G$1000,
SMALL(
IF((LKTN!$Q$3:$Q$1000&lt;&gt;"")*(LKTN!$Q$3:$Q$1000&lt;&gt;"Not Due"),
ROW(LKTN!$Q$3:$Q$1000)-ROW(LKTN!$Q$3)+1),
ROWS(A$2:A64))),"")</f>
        <v/>
      </c>
      <c r="AA64" s="64" t="str" cm="1">
        <f t="array" aca="1" ref="AA64" ca="1">IFERROR(INDEX(LKTN!$Q$3:$Q$1000,
SMALL(
IF((LKTN!$Q$3:$Q$1000&lt;&gt;"")*(LKTN!$Q$3:$Q$1000&lt;&gt;"Not Due"),
ROW(LKTN!$Q$3:$Q$1000)-ROW(LKTN!$Q$3)+1),
ROWS(A$2:A64))
),"")</f>
        <v/>
      </c>
      <c r="AJ64" s="115">
        <v>63</v>
      </c>
      <c r="AK64" s="123" t="str" cm="1">
        <f t="array" aca="1" ref="AK64" ca="1">IFERROR(INDEX(ISN!$E$3:$E$1000,
SMALL(
IF((ISN!$Q$3:$Q$1000&lt;&gt;"")*(ISN!$Q$3:$Q$1000&lt;&gt;"Not Due"),
ROW(ISN!$Q$3:$Q$1000)-ROW(ISN!$Q$3)+1),
ROWS(A$2:A64))),"")</f>
        <v/>
      </c>
      <c r="AL64" s="115" t="str" cm="1">
        <f t="array" aca="1" ref="AL64" ca="1">IFERROR(INDEX(ISN!$B$3:$B$1000,
SMALL(
IF((ISN!$Q$3:$Q$1000&lt;&gt;"")*(ISN!$Q$3:$Q$1000&lt;&gt;"Not Due"),
ROW(ISN!$Q$3:$Q$1000)-ROW(ISN!$Q$3)+1),
ROWS(A$2:A64))),"")</f>
        <v/>
      </c>
      <c r="AM64" s="116" t="str" cm="1">
        <f t="array" aca="1" ref="AM64" ca="1">IFERROR(INDEX(ISN!$D$3:$D$1000,
SMALL(
IF((ISN!$Q$3:$Q$1000&lt;&gt;"")*(ISN!$Q$3:$Q$1000&lt;&gt;"Not Due"),
ROW(ISN!$Q$3:$Q$1000)-ROW(ISN!$Q$3)+1),
ROWS(A$2:A64))),"")</f>
        <v/>
      </c>
      <c r="AN64" s="116" t="str" cm="1">
        <f t="array" aca="1" ref="AN64" ca="1">IFERROR(INDEX(ISN!$G$3:$G$1000,
SMALL(
IF((ISN!$Q$3:$Q$1000&lt;&gt;"")*(ISN!$Q$3:$Q$1000&lt;&gt;"Not Due"),
ROW(ISN!$Q$3:$Q$1000)-ROW(ISN!$Q$3)+1),
ROWS(A$2:A64))),"")</f>
        <v/>
      </c>
      <c r="AO64" s="64" t="str" cm="1">
        <f t="array" aca="1" ref="AO64" ca="1">IFERROR(INDEX(ISN!$Q$3:$Q$1000,
SMALL(
IF((ISN!$Q$3:$Q$1000&lt;&gt;"")*(ISN!$Q$3:$Q$1000&lt;&gt;"Not Due"),
ROW(ISN!$Q$3:$Q$1000)-ROW(ISN!$Q$3)+1),
ROWS(A$2:A64))
),"")</f>
        <v/>
      </c>
    </row>
    <row r="65" spans="15:41" x14ac:dyDescent="0.3">
      <c r="O65" s="115">
        <v>64</v>
      </c>
      <c r="P65" s="120" t="str" cm="1">
        <f t="array" aca="1" ref="P65" ca="1">IFERROR(INDEX(MPOB!$E$3:$E$1000,
SMALL(
IF((MPOB!$Q$3:$Q$1000&lt;&gt;"")*(MPOB!$Q$3:$Q$1000&lt;&gt;"Not Due"),
ROW(MPOB!$Q$3:$Q$1000)-ROW(MPOB!$Q$3)+1),
ROWS(A$2:A65))),"")</f>
        <v/>
      </c>
      <c r="Q65" s="115" t="str" cm="1">
        <f t="array" aca="1" ref="Q65" ca="1">IFERROR(INDEX(MPOB!$B$3:$B$1000,
SMALL(
IF((MPOB!$Q$3:$Q$1000&lt;&gt;"")*(MPOB!$Q$3:$Q$1000&lt;&gt;"Not Due"),
ROW(MPOB!$Q$3:$Q$1000)-ROW(MPOB!$Q$3)+1),
ROWS(A$2:A65))),"")</f>
        <v/>
      </c>
      <c r="R65" s="115" t="str" cm="1">
        <f t="array" aca="1" ref="R65" ca="1">IFERROR(INDEX(MPOB!$D$3:$D$1000,
SMALL(
IF((MPOB!$Q$3:$Q$1000&lt;&gt;"")*(MPOB!$Q$3:$Q$1000&lt;&gt;"Not Due"),
ROW(MPOB!$Q$3:$Q$1000)-ROW(MPOB!$Q$3)+1),
ROWS(A$2:A65))),"")</f>
        <v/>
      </c>
      <c r="S65" s="116" t="str" cm="1">
        <f t="array" aca="1" ref="S65" ca="1">IFERROR(INDEX(MPOB!$G$3:$G$1000,
SMALL(
IF((MPOB!$Q$3:$Q$1000&lt;&gt;"")*(MPOB!$Q$3:$Q$1000&lt;&gt;"Not Due"),
ROW(MPOB!$Q$3:$Q$1000)-ROW(MPOB!$Q$3)+1),
ROWS(A$2:A65))),"")</f>
        <v/>
      </c>
      <c r="T65" s="88" t="str" cm="1">
        <f t="array" aca="1" ref="T65" ca="1">IFERROR(INDEX(MPOB!$Q$3:$Q$1000,
SMALL(
IF((MPOB!$Q$3:$Q$1000&lt;&gt;"")*(MPOB!$Q$3:$Q$1000&lt;&gt;"Not Due"),
ROW(MPOB!$Q$3:$Q$1000)-ROW(MPOB!$Q$3)+1),
ROWS(A$2:A65))
),"")</f>
        <v/>
      </c>
      <c r="V65" s="115">
        <v>64</v>
      </c>
      <c r="W65" s="121" t="str" cm="1">
        <f t="array" aca="1" ref="W65" ca="1">IFERROR(INDEX(LKTN!$E$3:$E$1000,
SMALL(
IF((LKTN!$Q$3:$Q$1000&lt;&gt;"")*(LKTN!$Q$3:$Q$1000&lt;&gt;"Not Due"),
ROW(LKTN!$Q$3:$Q$1000)-ROW(LKTN!$Q$3)+1),
ROWS(A$2:A65))),"")</f>
        <v/>
      </c>
      <c r="X65" s="115" t="str" cm="1">
        <f t="array" aca="1" ref="X65" ca="1">IFERROR(INDEX(LKTN!$B$3:$B$1000,
SMALL(
IF((LKTN!$Q$3:$Q$1000&lt;&gt;"")*(LKTN!$Q$3:$Q$1000&lt;&gt;"Not Due"),
ROW(LKTN!$Q$3:$Q$1000)-ROW(LKTN!$Q$3)+1),
ROWS(A$2:A65))),"")</f>
        <v/>
      </c>
      <c r="Y65" s="115" t="str" cm="1">
        <f t="array" aca="1" ref="Y65" ca="1">IFERROR(INDEX(LKTN!$D$3:$D$1000,
SMALL(
IF((LKTN!$Q$3:$Q$1000&lt;&gt;"")*(LKTN!$Q$3:$Q$1000&lt;&gt;"Not Due"),
ROW(LKTN!$Q$3:$Q$1000)-ROW(LKTN!$Q$3)+1),
ROWS(A$2:A65))),"")</f>
        <v/>
      </c>
      <c r="Z65" s="116" t="str" cm="1">
        <f t="array" aca="1" ref="Z65" ca="1">IFERROR(INDEX(LKTN!$G$3:$G$1000,
SMALL(
IF((LKTN!$Q$3:$Q$1000&lt;&gt;"")*(LKTN!$Q$3:$Q$1000&lt;&gt;"Not Due"),
ROW(LKTN!$Q$3:$Q$1000)-ROW(LKTN!$Q$3)+1),
ROWS(A$2:A65))),"")</f>
        <v/>
      </c>
      <c r="AA65" s="64" t="str" cm="1">
        <f t="array" aca="1" ref="AA65" ca="1">IFERROR(INDEX(LKTN!$Q$3:$Q$1000,
SMALL(
IF((LKTN!$Q$3:$Q$1000&lt;&gt;"")*(LKTN!$Q$3:$Q$1000&lt;&gt;"Not Due"),
ROW(LKTN!$Q$3:$Q$1000)-ROW(LKTN!$Q$3)+1),
ROWS(A$2:A65))
),"")</f>
        <v/>
      </c>
      <c r="AJ65" s="115">
        <v>64</v>
      </c>
      <c r="AK65" s="123" t="str" cm="1">
        <f t="array" aca="1" ref="AK65" ca="1">IFERROR(INDEX(ISN!$E$3:$E$1000,
SMALL(
IF((ISN!$Q$3:$Q$1000&lt;&gt;"")*(ISN!$Q$3:$Q$1000&lt;&gt;"Not Due"),
ROW(ISN!$Q$3:$Q$1000)-ROW(ISN!$Q$3)+1),
ROWS(A$2:A65))),"")</f>
        <v/>
      </c>
      <c r="AL65" s="115" t="str" cm="1">
        <f t="array" aca="1" ref="AL65" ca="1">IFERROR(INDEX(ISN!$B$3:$B$1000,
SMALL(
IF((ISN!$Q$3:$Q$1000&lt;&gt;"")*(ISN!$Q$3:$Q$1000&lt;&gt;"Not Due"),
ROW(ISN!$Q$3:$Q$1000)-ROW(ISN!$Q$3)+1),
ROWS(A$2:A65))),"")</f>
        <v/>
      </c>
      <c r="AM65" s="116" t="str" cm="1">
        <f t="array" aca="1" ref="AM65" ca="1">IFERROR(INDEX(ISN!$D$3:$D$1000,
SMALL(
IF((ISN!$Q$3:$Q$1000&lt;&gt;"")*(ISN!$Q$3:$Q$1000&lt;&gt;"Not Due"),
ROW(ISN!$Q$3:$Q$1000)-ROW(ISN!$Q$3)+1),
ROWS(A$2:A65))),"")</f>
        <v/>
      </c>
      <c r="AN65" s="116" t="str" cm="1">
        <f t="array" aca="1" ref="AN65" ca="1">IFERROR(INDEX(ISN!$G$3:$G$1000,
SMALL(
IF((ISN!$Q$3:$Q$1000&lt;&gt;"")*(ISN!$Q$3:$Q$1000&lt;&gt;"Not Due"),
ROW(ISN!$Q$3:$Q$1000)-ROW(ISN!$Q$3)+1),
ROWS(A$2:A65))),"")</f>
        <v/>
      </c>
      <c r="AO65" s="64" t="str" cm="1">
        <f t="array" aca="1" ref="AO65" ca="1">IFERROR(INDEX(ISN!$Q$3:$Q$1000,
SMALL(
IF((ISN!$Q$3:$Q$1000&lt;&gt;"")*(ISN!$Q$3:$Q$1000&lt;&gt;"Not Due"),
ROW(ISN!$Q$3:$Q$1000)-ROW(ISN!$Q$3)+1),
ROWS(A$2:A65))
),"")</f>
        <v/>
      </c>
    </row>
    <row r="66" spans="15:41" x14ac:dyDescent="0.3">
      <c r="O66" s="115">
        <v>65</v>
      </c>
      <c r="P66" s="120" t="str" cm="1">
        <f t="array" aca="1" ref="P66" ca="1">IFERROR(INDEX(MPOB!$E$3:$E$1000,
SMALL(
IF((MPOB!$Q$3:$Q$1000&lt;&gt;"")*(MPOB!$Q$3:$Q$1000&lt;&gt;"Not Due"),
ROW(MPOB!$Q$3:$Q$1000)-ROW(MPOB!$Q$3)+1),
ROWS(A$2:A66))),"")</f>
        <v/>
      </c>
      <c r="Q66" s="115" t="str" cm="1">
        <f t="array" aca="1" ref="Q66" ca="1">IFERROR(INDEX(MPOB!$B$3:$B$1000,
SMALL(
IF((MPOB!$Q$3:$Q$1000&lt;&gt;"")*(MPOB!$Q$3:$Q$1000&lt;&gt;"Not Due"),
ROW(MPOB!$Q$3:$Q$1000)-ROW(MPOB!$Q$3)+1),
ROWS(A$2:A66))),"")</f>
        <v/>
      </c>
      <c r="R66" s="115" t="str" cm="1">
        <f t="array" aca="1" ref="R66" ca="1">IFERROR(INDEX(MPOB!$D$3:$D$1000,
SMALL(
IF((MPOB!$Q$3:$Q$1000&lt;&gt;"")*(MPOB!$Q$3:$Q$1000&lt;&gt;"Not Due"),
ROW(MPOB!$Q$3:$Q$1000)-ROW(MPOB!$Q$3)+1),
ROWS(A$2:A66))),"")</f>
        <v/>
      </c>
      <c r="S66" s="116" t="str" cm="1">
        <f t="array" aca="1" ref="S66" ca="1">IFERROR(INDEX(MPOB!$G$3:$G$1000,
SMALL(
IF((MPOB!$Q$3:$Q$1000&lt;&gt;"")*(MPOB!$Q$3:$Q$1000&lt;&gt;"Not Due"),
ROW(MPOB!$Q$3:$Q$1000)-ROW(MPOB!$Q$3)+1),
ROWS(A$2:A66))),"")</f>
        <v/>
      </c>
      <c r="T66" s="88" t="str" cm="1">
        <f t="array" aca="1" ref="T66" ca="1">IFERROR(INDEX(MPOB!$Q$3:$Q$1000,
SMALL(
IF((MPOB!$Q$3:$Q$1000&lt;&gt;"")*(MPOB!$Q$3:$Q$1000&lt;&gt;"Not Due"),
ROW(MPOB!$Q$3:$Q$1000)-ROW(MPOB!$Q$3)+1),
ROWS(A$2:A66))
),"")</f>
        <v/>
      </c>
      <c r="V66" s="115">
        <v>65</v>
      </c>
      <c r="W66" s="121" t="str" cm="1">
        <f t="array" aca="1" ref="W66" ca="1">IFERROR(INDEX(LKTN!$E$3:$E$1000,
SMALL(
IF((LKTN!$Q$3:$Q$1000&lt;&gt;"")*(LKTN!$Q$3:$Q$1000&lt;&gt;"Not Due"),
ROW(LKTN!$Q$3:$Q$1000)-ROW(LKTN!$Q$3)+1),
ROWS(A$2:A66))),"")</f>
        <v/>
      </c>
      <c r="X66" s="115" t="str" cm="1">
        <f t="array" aca="1" ref="X66" ca="1">IFERROR(INDEX(LKTN!$B$3:$B$1000,
SMALL(
IF((LKTN!$Q$3:$Q$1000&lt;&gt;"")*(LKTN!$Q$3:$Q$1000&lt;&gt;"Not Due"),
ROW(LKTN!$Q$3:$Q$1000)-ROW(LKTN!$Q$3)+1),
ROWS(A$2:A66))),"")</f>
        <v/>
      </c>
      <c r="Y66" s="115" t="str" cm="1">
        <f t="array" aca="1" ref="Y66" ca="1">IFERROR(INDEX(LKTN!$D$3:$D$1000,
SMALL(
IF((LKTN!$Q$3:$Q$1000&lt;&gt;"")*(LKTN!$Q$3:$Q$1000&lt;&gt;"Not Due"),
ROW(LKTN!$Q$3:$Q$1000)-ROW(LKTN!$Q$3)+1),
ROWS(A$2:A66))),"")</f>
        <v/>
      </c>
      <c r="Z66" s="116" t="str" cm="1">
        <f t="array" aca="1" ref="Z66" ca="1">IFERROR(INDEX(LKTN!$G$3:$G$1000,
SMALL(
IF((LKTN!$Q$3:$Q$1000&lt;&gt;"")*(LKTN!$Q$3:$Q$1000&lt;&gt;"Not Due"),
ROW(LKTN!$Q$3:$Q$1000)-ROW(LKTN!$Q$3)+1),
ROWS(A$2:A66))),"")</f>
        <v/>
      </c>
      <c r="AA66" s="64" t="str" cm="1">
        <f t="array" aca="1" ref="AA66" ca="1">IFERROR(INDEX(LKTN!$Q$3:$Q$1000,
SMALL(
IF((LKTN!$Q$3:$Q$1000&lt;&gt;"")*(LKTN!$Q$3:$Q$1000&lt;&gt;"Not Due"),
ROW(LKTN!$Q$3:$Q$1000)-ROW(LKTN!$Q$3)+1),
ROWS(A$2:A66))
),"")</f>
        <v/>
      </c>
      <c r="AJ66" s="115">
        <v>65</v>
      </c>
      <c r="AK66" s="123" t="str" cm="1">
        <f t="array" aca="1" ref="AK66" ca="1">IFERROR(INDEX(ISN!$E$3:$E$1000,
SMALL(
IF((ISN!$Q$3:$Q$1000&lt;&gt;"")*(ISN!$Q$3:$Q$1000&lt;&gt;"Not Due"),
ROW(ISN!$Q$3:$Q$1000)-ROW(ISN!$Q$3)+1),
ROWS(A$2:A66))),"")</f>
        <v/>
      </c>
      <c r="AL66" s="115" t="str" cm="1">
        <f t="array" aca="1" ref="AL66" ca="1">IFERROR(INDEX(ISN!$B$3:$B$1000,
SMALL(
IF((ISN!$Q$3:$Q$1000&lt;&gt;"")*(ISN!$Q$3:$Q$1000&lt;&gt;"Not Due"),
ROW(ISN!$Q$3:$Q$1000)-ROW(ISN!$Q$3)+1),
ROWS(A$2:A66))),"")</f>
        <v/>
      </c>
      <c r="AM66" s="116" t="str" cm="1">
        <f t="array" aca="1" ref="AM66" ca="1">IFERROR(INDEX(ISN!$D$3:$D$1000,
SMALL(
IF((ISN!$Q$3:$Q$1000&lt;&gt;"")*(ISN!$Q$3:$Q$1000&lt;&gt;"Not Due"),
ROW(ISN!$Q$3:$Q$1000)-ROW(ISN!$Q$3)+1),
ROWS(A$2:A66))),"")</f>
        <v/>
      </c>
      <c r="AN66" s="116" t="str" cm="1">
        <f t="array" aca="1" ref="AN66" ca="1">IFERROR(INDEX(ISN!$G$3:$G$1000,
SMALL(
IF((ISN!$Q$3:$Q$1000&lt;&gt;"")*(ISN!$Q$3:$Q$1000&lt;&gt;"Not Due"),
ROW(ISN!$Q$3:$Q$1000)-ROW(ISN!$Q$3)+1),
ROWS(A$2:A66))),"")</f>
        <v/>
      </c>
      <c r="AO66" s="64" t="str" cm="1">
        <f t="array" aca="1" ref="AO66" ca="1">IFERROR(INDEX(ISN!$Q$3:$Q$1000,
SMALL(
IF((ISN!$Q$3:$Q$1000&lt;&gt;"")*(ISN!$Q$3:$Q$1000&lt;&gt;"Not Due"),
ROW(ISN!$Q$3:$Q$1000)-ROW(ISN!$Q$3)+1),
ROWS(A$2:A66))
),"")</f>
        <v/>
      </c>
    </row>
    <row r="67" spans="15:41" x14ac:dyDescent="0.3">
      <c r="O67" s="115">
        <v>66</v>
      </c>
      <c r="P67" s="120" t="str" cm="1">
        <f t="array" aca="1" ref="P67" ca="1">IFERROR(INDEX(MPOB!$E$3:$E$1000,
SMALL(
IF((MPOB!$Q$3:$Q$1000&lt;&gt;"")*(MPOB!$Q$3:$Q$1000&lt;&gt;"Not Due"),
ROW(MPOB!$Q$3:$Q$1000)-ROW(MPOB!$Q$3)+1),
ROWS(A$2:A67))),"")</f>
        <v/>
      </c>
      <c r="Q67" s="115" t="str" cm="1">
        <f t="array" aca="1" ref="Q67" ca="1">IFERROR(INDEX(MPOB!$B$3:$B$1000,
SMALL(
IF((MPOB!$Q$3:$Q$1000&lt;&gt;"")*(MPOB!$Q$3:$Q$1000&lt;&gt;"Not Due"),
ROW(MPOB!$Q$3:$Q$1000)-ROW(MPOB!$Q$3)+1),
ROWS(A$2:A67))),"")</f>
        <v/>
      </c>
      <c r="R67" s="115" t="str" cm="1">
        <f t="array" aca="1" ref="R67" ca="1">IFERROR(INDEX(MPOB!$D$3:$D$1000,
SMALL(
IF((MPOB!$Q$3:$Q$1000&lt;&gt;"")*(MPOB!$Q$3:$Q$1000&lt;&gt;"Not Due"),
ROW(MPOB!$Q$3:$Q$1000)-ROW(MPOB!$Q$3)+1),
ROWS(A$2:A67))),"")</f>
        <v/>
      </c>
      <c r="S67" s="116" t="str" cm="1">
        <f t="array" aca="1" ref="S67" ca="1">IFERROR(INDEX(MPOB!$G$3:$G$1000,
SMALL(
IF((MPOB!$Q$3:$Q$1000&lt;&gt;"")*(MPOB!$Q$3:$Q$1000&lt;&gt;"Not Due"),
ROW(MPOB!$Q$3:$Q$1000)-ROW(MPOB!$Q$3)+1),
ROWS(A$2:A67))),"")</f>
        <v/>
      </c>
      <c r="T67" s="88" t="str" cm="1">
        <f t="array" aca="1" ref="T67" ca="1">IFERROR(INDEX(MPOB!$Q$3:$Q$1000,
SMALL(
IF((MPOB!$Q$3:$Q$1000&lt;&gt;"")*(MPOB!$Q$3:$Q$1000&lt;&gt;"Not Due"),
ROW(MPOB!$Q$3:$Q$1000)-ROW(MPOB!$Q$3)+1),
ROWS(A$2:A67))
),"")</f>
        <v/>
      </c>
      <c r="V67" s="115">
        <v>66</v>
      </c>
      <c r="W67" s="121" t="str" cm="1">
        <f t="array" aca="1" ref="W67" ca="1">IFERROR(INDEX(LKTN!$E$3:$E$1000,
SMALL(
IF((LKTN!$Q$3:$Q$1000&lt;&gt;"")*(LKTN!$Q$3:$Q$1000&lt;&gt;"Not Due"),
ROW(LKTN!$Q$3:$Q$1000)-ROW(LKTN!$Q$3)+1),
ROWS(A$2:A67))),"")</f>
        <v/>
      </c>
      <c r="X67" s="115" t="str" cm="1">
        <f t="array" aca="1" ref="X67" ca="1">IFERROR(INDEX(LKTN!$B$3:$B$1000,
SMALL(
IF((LKTN!$Q$3:$Q$1000&lt;&gt;"")*(LKTN!$Q$3:$Q$1000&lt;&gt;"Not Due"),
ROW(LKTN!$Q$3:$Q$1000)-ROW(LKTN!$Q$3)+1),
ROWS(A$2:A67))),"")</f>
        <v/>
      </c>
      <c r="Y67" s="115" t="str" cm="1">
        <f t="array" aca="1" ref="Y67" ca="1">IFERROR(INDEX(LKTN!$D$3:$D$1000,
SMALL(
IF((LKTN!$Q$3:$Q$1000&lt;&gt;"")*(LKTN!$Q$3:$Q$1000&lt;&gt;"Not Due"),
ROW(LKTN!$Q$3:$Q$1000)-ROW(LKTN!$Q$3)+1),
ROWS(A$2:A67))),"")</f>
        <v/>
      </c>
      <c r="Z67" s="116" t="str" cm="1">
        <f t="array" aca="1" ref="Z67" ca="1">IFERROR(INDEX(LKTN!$G$3:$G$1000,
SMALL(
IF((LKTN!$Q$3:$Q$1000&lt;&gt;"")*(LKTN!$Q$3:$Q$1000&lt;&gt;"Not Due"),
ROW(LKTN!$Q$3:$Q$1000)-ROW(LKTN!$Q$3)+1),
ROWS(A$2:A67))),"")</f>
        <v/>
      </c>
      <c r="AA67" s="64" t="str" cm="1">
        <f t="array" aca="1" ref="AA67" ca="1">IFERROR(INDEX(LKTN!$Q$3:$Q$1000,
SMALL(
IF((LKTN!$Q$3:$Q$1000&lt;&gt;"")*(LKTN!$Q$3:$Q$1000&lt;&gt;"Not Due"),
ROW(LKTN!$Q$3:$Q$1000)-ROW(LKTN!$Q$3)+1),
ROWS(A$2:A67))
),"")</f>
        <v/>
      </c>
      <c r="AJ67" s="115">
        <v>66</v>
      </c>
      <c r="AK67" s="123" t="str" cm="1">
        <f t="array" aca="1" ref="AK67" ca="1">IFERROR(INDEX(ISN!$E$3:$E$1000,
SMALL(
IF((ISN!$Q$3:$Q$1000&lt;&gt;"")*(ISN!$Q$3:$Q$1000&lt;&gt;"Not Due"),
ROW(ISN!$Q$3:$Q$1000)-ROW(ISN!$Q$3)+1),
ROWS(A$2:A67))),"")</f>
        <v/>
      </c>
      <c r="AL67" s="115" t="str" cm="1">
        <f t="array" aca="1" ref="AL67" ca="1">IFERROR(INDEX(ISN!$B$3:$B$1000,
SMALL(
IF((ISN!$Q$3:$Q$1000&lt;&gt;"")*(ISN!$Q$3:$Q$1000&lt;&gt;"Not Due"),
ROW(ISN!$Q$3:$Q$1000)-ROW(ISN!$Q$3)+1),
ROWS(A$2:A67))),"")</f>
        <v/>
      </c>
      <c r="AM67" s="116" t="str" cm="1">
        <f t="array" aca="1" ref="AM67" ca="1">IFERROR(INDEX(ISN!$D$3:$D$1000,
SMALL(
IF((ISN!$Q$3:$Q$1000&lt;&gt;"")*(ISN!$Q$3:$Q$1000&lt;&gt;"Not Due"),
ROW(ISN!$Q$3:$Q$1000)-ROW(ISN!$Q$3)+1),
ROWS(A$2:A67))),"")</f>
        <v/>
      </c>
      <c r="AN67" s="116" t="str" cm="1">
        <f t="array" aca="1" ref="AN67" ca="1">IFERROR(INDEX(ISN!$G$3:$G$1000,
SMALL(
IF((ISN!$Q$3:$Q$1000&lt;&gt;"")*(ISN!$Q$3:$Q$1000&lt;&gt;"Not Due"),
ROW(ISN!$Q$3:$Q$1000)-ROW(ISN!$Q$3)+1),
ROWS(A$2:A67))),"")</f>
        <v/>
      </c>
      <c r="AO67" s="64" t="str" cm="1">
        <f t="array" aca="1" ref="AO67" ca="1">IFERROR(INDEX(ISN!$Q$3:$Q$1000,
SMALL(
IF((ISN!$Q$3:$Q$1000&lt;&gt;"")*(ISN!$Q$3:$Q$1000&lt;&gt;"Not Due"),
ROW(ISN!$Q$3:$Q$1000)-ROW(ISN!$Q$3)+1),
ROWS(A$2:A67))
),"")</f>
        <v/>
      </c>
    </row>
    <row r="68" spans="15:41" x14ac:dyDescent="0.3">
      <c r="O68" s="115">
        <v>67</v>
      </c>
      <c r="P68" s="120" t="str" cm="1">
        <f t="array" aca="1" ref="P68" ca="1">IFERROR(INDEX(MPOB!$E$3:$E$1000,
SMALL(
IF((MPOB!$Q$3:$Q$1000&lt;&gt;"")*(MPOB!$Q$3:$Q$1000&lt;&gt;"Not Due"),
ROW(MPOB!$Q$3:$Q$1000)-ROW(MPOB!$Q$3)+1),
ROWS(A$2:A68))),"")</f>
        <v/>
      </c>
      <c r="Q68" s="115" t="str" cm="1">
        <f t="array" aca="1" ref="Q68" ca="1">IFERROR(INDEX(MPOB!$B$3:$B$1000,
SMALL(
IF((MPOB!$Q$3:$Q$1000&lt;&gt;"")*(MPOB!$Q$3:$Q$1000&lt;&gt;"Not Due"),
ROW(MPOB!$Q$3:$Q$1000)-ROW(MPOB!$Q$3)+1),
ROWS(A$2:A68))),"")</f>
        <v/>
      </c>
      <c r="R68" s="115" t="str" cm="1">
        <f t="array" aca="1" ref="R68" ca="1">IFERROR(INDEX(MPOB!$D$3:$D$1000,
SMALL(
IF((MPOB!$Q$3:$Q$1000&lt;&gt;"")*(MPOB!$Q$3:$Q$1000&lt;&gt;"Not Due"),
ROW(MPOB!$Q$3:$Q$1000)-ROW(MPOB!$Q$3)+1),
ROWS(A$2:A68))),"")</f>
        <v/>
      </c>
      <c r="S68" s="116" t="str" cm="1">
        <f t="array" aca="1" ref="S68" ca="1">IFERROR(INDEX(MPOB!$G$3:$G$1000,
SMALL(
IF((MPOB!$Q$3:$Q$1000&lt;&gt;"")*(MPOB!$Q$3:$Q$1000&lt;&gt;"Not Due"),
ROW(MPOB!$Q$3:$Q$1000)-ROW(MPOB!$Q$3)+1),
ROWS(A$2:A68))),"")</f>
        <v/>
      </c>
      <c r="T68" s="88" t="str" cm="1">
        <f t="array" aca="1" ref="T68" ca="1">IFERROR(INDEX(MPOB!$Q$3:$Q$1000,
SMALL(
IF((MPOB!$Q$3:$Q$1000&lt;&gt;"")*(MPOB!$Q$3:$Q$1000&lt;&gt;"Not Due"),
ROW(MPOB!$Q$3:$Q$1000)-ROW(MPOB!$Q$3)+1),
ROWS(A$2:A68))
),"")</f>
        <v/>
      </c>
      <c r="V68" s="115">
        <v>67</v>
      </c>
      <c r="W68" s="121" t="str" cm="1">
        <f t="array" aca="1" ref="W68" ca="1">IFERROR(INDEX(LKTN!$E$3:$E$1000,
SMALL(
IF((LKTN!$Q$3:$Q$1000&lt;&gt;"")*(LKTN!$Q$3:$Q$1000&lt;&gt;"Not Due"),
ROW(LKTN!$Q$3:$Q$1000)-ROW(LKTN!$Q$3)+1),
ROWS(A$2:A68))),"")</f>
        <v/>
      </c>
      <c r="X68" s="115" t="str" cm="1">
        <f t="array" aca="1" ref="X68" ca="1">IFERROR(INDEX(LKTN!$B$3:$B$1000,
SMALL(
IF((LKTN!$Q$3:$Q$1000&lt;&gt;"")*(LKTN!$Q$3:$Q$1000&lt;&gt;"Not Due"),
ROW(LKTN!$Q$3:$Q$1000)-ROW(LKTN!$Q$3)+1),
ROWS(A$2:A68))),"")</f>
        <v/>
      </c>
      <c r="Y68" s="115" t="str" cm="1">
        <f t="array" aca="1" ref="Y68" ca="1">IFERROR(INDEX(LKTN!$D$3:$D$1000,
SMALL(
IF((LKTN!$Q$3:$Q$1000&lt;&gt;"")*(LKTN!$Q$3:$Q$1000&lt;&gt;"Not Due"),
ROW(LKTN!$Q$3:$Q$1000)-ROW(LKTN!$Q$3)+1),
ROWS(A$2:A68))),"")</f>
        <v/>
      </c>
      <c r="Z68" s="116" t="str" cm="1">
        <f t="array" aca="1" ref="Z68" ca="1">IFERROR(INDEX(LKTN!$G$3:$G$1000,
SMALL(
IF((LKTN!$Q$3:$Q$1000&lt;&gt;"")*(LKTN!$Q$3:$Q$1000&lt;&gt;"Not Due"),
ROW(LKTN!$Q$3:$Q$1000)-ROW(LKTN!$Q$3)+1),
ROWS(A$2:A68))),"")</f>
        <v/>
      </c>
      <c r="AA68" s="64" t="str" cm="1">
        <f t="array" aca="1" ref="AA68" ca="1">IFERROR(INDEX(LKTN!$Q$3:$Q$1000,
SMALL(
IF((LKTN!$Q$3:$Q$1000&lt;&gt;"")*(LKTN!$Q$3:$Q$1000&lt;&gt;"Not Due"),
ROW(LKTN!$Q$3:$Q$1000)-ROW(LKTN!$Q$3)+1),
ROWS(A$2:A68))
),"")</f>
        <v/>
      </c>
      <c r="AJ68" s="115">
        <v>67</v>
      </c>
      <c r="AK68" s="123" t="str" cm="1">
        <f t="array" aca="1" ref="AK68" ca="1">IFERROR(INDEX(ISN!$E$3:$E$1000,
SMALL(
IF((ISN!$Q$3:$Q$1000&lt;&gt;"")*(ISN!$Q$3:$Q$1000&lt;&gt;"Not Due"),
ROW(ISN!$Q$3:$Q$1000)-ROW(ISN!$Q$3)+1),
ROWS(A$2:A68))),"")</f>
        <v/>
      </c>
      <c r="AL68" s="115" t="str" cm="1">
        <f t="array" aca="1" ref="AL68" ca="1">IFERROR(INDEX(ISN!$B$3:$B$1000,
SMALL(
IF((ISN!$Q$3:$Q$1000&lt;&gt;"")*(ISN!$Q$3:$Q$1000&lt;&gt;"Not Due"),
ROW(ISN!$Q$3:$Q$1000)-ROW(ISN!$Q$3)+1),
ROWS(A$2:A68))),"")</f>
        <v/>
      </c>
      <c r="AM68" s="116" t="str" cm="1">
        <f t="array" aca="1" ref="AM68" ca="1">IFERROR(INDEX(ISN!$D$3:$D$1000,
SMALL(
IF((ISN!$Q$3:$Q$1000&lt;&gt;"")*(ISN!$Q$3:$Q$1000&lt;&gt;"Not Due"),
ROW(ISN!$Q$3:$Q$1000)-ROW(ISN!$Q$3)+1),
ROWS(A$2:A68))),"")</f>
        <v/>
      </c>
      <c r="AN68" s="116" t="str" cm="1">
        <f t="array" aca="1" ref="AN68" ca="1">IFERROR(INDEX(ISN!$G$3:$G$1000,
SMALL(
IF((ISN!$Q$3:$Q$1000&lt;&gt;"")*(ISN!$Q$3:$Q$1000&lt;&gt;"Not Due"),
ROW(ISN!$Q$3:$Q$1000)-ROW(ISN!$Q$3)+1),
ROWS(A$2:A68))),"")</f>
        <v/>
      </c>
      <c r="AO68" s="64" t="str" cm="1">
        <f t="array" aca="1" ref="AO68" ca="1">IFERROR(INDEX(ISN!$Q$3:$Q$1000,
SMALL(
IF((ISN!$Q$3:$Q$1000&lt;&gt;"")*(ISN!$Q$3:$Q$1000&lt;&gt;"Not Due"),
ROW(ISN!$Q$3:$Q$1000)-ROW(ISN!$Q$3)+1),
ROWS(A$2:A68))
),"")</f>
        <v/>
      </c>
    </row>
    <row r="69" spans="15:41" x14ac:dyDescent="0.3">
      <c r="O69" s="115">
        <v>68</v>
      </c>
      <c r="P69" s="120" t="str" cm="1">
        <f t="array" aca="1" ref="P69" ca="1">IFERROR(INDEX(MPOB!$E$3:$E$1000,
SMALL(
IF((MPOB!$Q$3:$Q$1000&lt;&gt;"")*(MPOB!$Q$3:$Q$1000&lt;&gt;"Not Due"),
ROW(MPOB!$Q$3:$Q$1000)-ROW(MPOB!$Q$3)+1),
ROWS(A$2:A69))),"")</f>
        <v/>
      </c>
      <c r="Q69" s="115" t="str" cm="1">
        <f t="array" aca="1" ref="Q69" ca="1">IFERROR(INDEX(MPOB!$B$3:$B$1000,
SMALL(
IF((MPOB!$Q$3:$Q$1000&lt;&gt;"")*(MPOB!$Q$3:$Q$1000&lt;&gt;"Not Due"),
ROW(MPOB!$Q$3:$Q$1000)-ROW(MPOB!$Q$3)+1),
ROWS(A$2:A69))),"")</f>
        <v/>
      </c>
      <c r="R69" s="115" t="str" cm="1">
        <f t="array" aca="1" ref="R69" ca="1">IFERROR(INDEX(MPOB!$D$3:$D$1000,
SMALL(
IF((MPOB!$Q$3:$Q$1000&lt;&gt;"")*(MPOB!$Q$3:$Q$1000&lt;&gt;"Not Due"),
ROW(MPOB!$Q$3:$Q$1000)-ROW(MPOB!$Q$3)+1),
ROWS(A$2:A69))),"")</f>
        <v/>
      </c>
      <c r="S69" s="116" t="str" cm="1">
        <f t="array" aca="1" ref="S69" ca="1">IFERROR(INDEX(MPOB!$G$3:$G$1000,
SMALL(
IF((MPOB!$Q$3:$Q$1000&lt;&gt;"")*(MPOB!$Q$3:$Q$1000&lt;&gt;"Not Due"),
ROW(MPOB!$Q$3:$Q$1000)-ROW(MPOB!$Q$3)+1),
ROWS(A$2:A69))),"")</f>
        <v/>
      </c>
      <c r="T69" s="88" t="str" cm="1">
        <f t="array" aca="1" ref="T69" ca="1">IFERROR(INDEX(MPOB!$Q$3:$Q$1000,
SMALL(
IF((MPOB!$Q$3:$Q$1000&lt;&gt;"")*(MPOB!$Q$3:$Q$1000&lt;&gt;"Not Due"),
ROW(MPOB!$Q$3:$Q$1000)-ROW(MPOB!$Q$3)+1),
ROWS(A$2:A69))
),"")</f>
        <v/>
      </c>
      <c r="V69" s="115">
        <v>68</v>
      </c>
      <c r="W69" s="121" t="str" cm="1">
        <f t="array" aca="1" ref="W69" ca="1">IFERROR(INDEX(LKTN!$E$3:$E$1000,
SMALL(
IF((LKTN!$Q$3:$Q$1000&lt;&gt;"")*(LKTN!$Q$3:$Q$1000&lt;&gt;"Not Due"),
ROW(LKTN!$Q$3:$Q$1000)-ROW(LKTN!$Q$3)+1),
ROWS(A$2:A69))),"")</f>
        <v/>
      </c>
      <c r="X69" s="115" t="str" cm="1">
        <f t="array" aca="1" ref="X69" ca="1">IFERROR(INDEX(LKTN!$B$3:$B$1000,
SMALL(
IF((LKTN!$Q$3:$Q$1000&lt;&gt;"")*(LKTN!$Q$3:$Q$1000&lt;&gt;"Not Due"),
ROW(LKTN!$Q$3:$Q$1000)-ROW(LKTN!$Q$3)+1),
ROWS(A$2:A69))),"")</f>
        <v/>
      </c>
      <c r="Y69" s="115" t="str" cm="1">
        <f t="array" aca="1" ref="Y69" ca="1">IFERROR(INDEX(LKTN!$D$3:$D$1000,
SMALL(
IF((LKTN!$Q$3:$Q$1000&lt;&gt;"")*(LKTN!$Q$3:$Q$1000&lt;&gt;"Not Due"),
ROW(LKTN!$Q$3:$Q$1000)-ROW(LKTN!$Q$3)+1),
ROWS(A$2:A69))),"")</f>
        <v/>
      </c>
      <c r="Z69" s="116" t="str" cm="1">
        <f t="array" aca="1" ref="Z69" ca="1">IFERROR(INDEX(LKTN!$G$3:$G$1000,
SMALL(
IF((LKTN!$Q$3:$Q$1000&lt;&gt;"")*(LKTN!$Q$3:$Q$1000&lt;&gt;"Not Due"),
ROW(LKTN!$Q$3:$Q$1000)-ROW(LKTN!$Q$3)+1),
ROWS(A$2:A69))),"")</f>
        <v/>
      </c>
      <c r="AA69" s="64" t="str" cm="1">
        <f t="array" aca="1" ref="AA69" ca="1">IFERROR(INDEX(LKTN!$Q$3:$Q$1000,
SMALL(
IF((LKTN!$Q$3:$Q$1000&lt;&gt;"")*(LKTN!$Q$3:$Q$1000&lt;&gt;"Not Due"),
ROW(LKTN!$Q$3:$Q$1000)-ROW(LKTN!$Q$3)+1),
ROWS(A$2:A69))
),"")</f>
        <v/>
      </c>
      <c r="AJ69" s="115">
        <v>68</v>
      </c>
      <c r="AK69" s="123" t="str" cm="1">
        <f t="array" aca="1" ref="AK69" ca="1">IFERROR(INDEX(ISN!$E$3:$E$1000,
SMALL(
IF((ISN!$Q$3:$Q$1000&lt;&gt;"")*(ISN!$Q$3:$Q$1000&lt;&gt;"Not Due"),
ROW(ISN!$Q$3:$Q$1000)-ROW(ISN!$Q$3)+1),
ROWS(A$2:A69))),"")</f>
        <v/>
      </c>
      <c r="AL69" s="115" t="str" cm="1">
        <f t="array" aca="1" ref="AL69" ca="1">IFERROR(INDEX(ISN!$B$3:$B$1000,
SMALL(
IF((ISN!$Q$3:$Q$1000&lt;&gt;"")*(ISN!$Q$3:$Q$1000&lt;&gt;"Not Due"),
ROW(ISN!$Q$3:$Q$1000)-ROW(ISN!$Q$3)+1),
ROWS(A$2:A69))),"")</f>
        <v/>
      </c>
      <c r="AM69" s="116" t="str" cm="1">
        <f t="array" aca="1" ref="AM69" ca="1">IFERROR(INDEX(ISN!$D$3:$D$1000,
SMALL(
IF((ISN!$Q$3:$Q$1000&lt;&gt;"")*(ISN!$Q$3:$Q$1000&lt;&gt;"Not Due"),
ROW(ISN!$Q$3:$Q$1000)-ROW(ISN!$Q$3)+1),
ROWS(A$2:A69))),"")</f>
        <v/>
      </c>
      <c r="AN69" s="116" t="str" cm="1">
        <f t="array" aca="1" ref="AN69" ca="1">IFERROR(INDEX(ISN!$G$3:$G$1000,
SMALL(
IF((ISN!$Q$3:$Q$1000&lt;&gt;"")*(ISN!$Q$3:$Q$1000&lt;&gt;"Not Due"),
ROW(ISN!$Q$3:$Q$1000)-ROW(ISN!$Q$3)+1),
ROWS(A$2:A69))),"")</f>
        <v/>
      </c>
      <c r="AO69" s="64" t="str" cm="1">
        <f t="array" aca="1" ref="AO69" ca="1">IFERROR(INDEX(ISN!$Q$3:$Q$1000,
SMALL(
IF((ISN!$Q$3:$Q$1000&lt;&gt;"")*(ISN!$Q$3:$Q$1000&lt;&gt;"Not Due"),
ROW(ISN!$Q$3:$Q$1000)-ROW(ISN!$Q$3)+1),
ROWS(A$2:A69))
),"")</f>
        <v/>
      </c>
    </row>
    <row r="70" spans="15:41" x14ac:dyDescent="0.3">
      <c r="O70" s="115">
        <v>69</v>
      </c>
      <c r="P70" s="120" t="str" cm="1">
        <f t="array" aca="1" ref="P70" ca="1">IFERROR(INDEX(MPOB!$E$3:$E$1000,
SMALL(
IF((MPOB!$Q$3:$Q$1000&lt;&gt;"")*(MPOB!$Q$3:$Q$1000&lt;&gt;"Not Due"),
ROW(MPOB!$Q$3:$Q$1000)-ROW(MPOB!$Q$3)+1),
ROWS(A$2:A70))),"")</f>
        <v/>
      </c>
      <c r="Q70" s="115" t="str" cm="1">
        <f t="array" aca="1" ref="Q70" ca="1">IFERROR(INDEX(MPOB!$B$3:$B$1000,
SMALL(
IF((MPOB!$Q$3:$Q$1000&lt;&gt;"")*(MPOB!$Q$3:$Q$1000&lt;&gt;"Not Due"),
ROW(MPOB!$Q$3:$Q$1000)-ROW(MPOB!$Q$3)+1),
ROWS(A$2:A70))),"")</f>
        <v/>
      </c>
      <c r="R70" s="115" t="str" cm="1">
        <f t="array" aca="1" ref="R70" ca="1">IFERROR(INDEX(MPOB!$D$3:$D$1000,
SMALL(
IF((MPOB!$Q$3:$Q$1000&lt;&gt;"")*(MPOB!$Q$3:$Q$1000&lt;&gt;"Not Due"),
ROW(MPOB!$Q$3:$Q$1000)-ROW(MPOB!$Q$3)+1),
ROWS(A$2:A70))),"")</f>
        <v/>
      </c>
      <c r="S70" s="116" t="str" cm="1">
        <f t="array" aca="1" ref="S70" ca="1">IFERROR(INDEX(MPOB!$G$3:$G$1000,
SMALL(
IF((MPOB!$Q$3:$Q$1000&lt;&gt;"")*(MPOB!$Q$3:$Q$1000&lt;&gt;"Not Due"),
ROW(MPOB!$Q$3:$Q$1000)-ROW(MPOB!$Q$3)+1),
ROWS(A$2:A70))),"")</f>
        <v/>
      </c>
      <c r="T70" s="88" t="str" cm="1">
        <f t="array" aca="1" ref="T70" ca="1">IFERROR(INDEX(MPOB!$Q$3:$Q$1000,
SMALL(
IF((MPOB!$Q$3:$Q$1000&lt;&gt;"")*(MPOB!$Q$3:$Q$1000&lt;&gt;"Not Due"),
ROW(MPOB!$Q$3:$Q$1000)-ROW(MPOB!$Q$3)+1),
ROWS(A$2:A70))
),"")</f>
        <v/>
      </c>
      <c r="V70" s="115">
        <v>69</v>
      </c>
      <c r="W70" s="121" t="str" cm="1">
        <f t="array" aca="1" ref="W70" ca="1">IFERROR(INDEX(LKTN!$E$3:$E$1000,
SMALL(
IF((LKTN!$Q$3:$Q$1000&lt;&gt;"")*(LKTN!$Q$3:$Q$1000&lt;&gt;"Not Due"),
ROW(LKTN!$Q$3:$Q$1000)-ROW(LKTN!$Q$3)+1),
ROWS(A$2:A70))),"")</f>
        <v/>
      </c>
      <c r="X70" s="115" t="str" cm="1">
        <f t="array" aca="1" ref="X70" ca="1">IFERROR(INDEX(LKTN!$B$3:$B$1000,
SMALL(
IF((LKTN!$Q$3:$Q$1000&lt;&gt;"")*(LKTN!$Q$3:$Q$1000&lt;&gt;"Not Due"),
ROW(LKTN!$Q$3:$Q$1000)-ROW(LKTN!$Q$3)+1),
ROWS(A$2:A70))),"")</f>
        <v/>
      </c>
      <c r="Y70" s="115" t="str" cm="1">
        <f t="array" aca="1" ref="Y70" ca="1">IFERROR(INDEX(LKTN!$D$3:$D$1000,
SMALL(
IF((LKTN!$Q$3:$Q$1000&lt;&gt;"")*(LKTN!$Q$3:$Q$1000&lt;&gt;"Not Due"),
ROW(LKTN!$Q$3:$Q$1000)-ROW(LKTN!$Q$3)+1),
ROWS(A$2:A70))),"")</f>
        <v/>
      </c>
      <c r="Z70" s="116" t="str" cm="1">
        <f t="array" aca="1" ref="Z70" ca="1">IFERROR(INDEX(LKTN!$G$3:$G$1000,
SMALL(
IF((LKTN!$Q$3:$Q$1000&lt;&gt;"")*(LKTN!$Q$3:$Q$1000&lt;&gt;"Not Due"),
ROW(LKTN!$Q$3:$Q$1000)-ROW(LKTN!$Q$3)+1),
ROWS(A$2:A70))),"")</f>
        <v/>
      </c>
      <c r="AA70" s="64" t="str" cm="1">
        <f t="array" aca="1" ref="AA70" ca="1">IFERROR(INDEX(LKTN!$Q$3:$Q$1000,
SMALL(
IF((LKTN!$Q$3:$Q$1000&lt;&gt;"")*(LKTN!$Q$3:$Q$1000&lt;&gt;"Not Due"),
ROW(LKTN!$Q$3:$Q$1000)-ROW(LKTN!$Q$3)+1),
ROWS(A$2:A70))
),"")</f>
        <v/>
      </c>
      <c r="AJ70" s="115">
        <v>69</v>
      </c>
      <c r="AK70" s="123" t="str" cm="1">
        <f t="array" aca="1" ref="AK70" ca="1">IFERROR(INDEX(ISN!$E$3:$E$1000,
SMALL(
IF((ISN!$Q$3:$Q$1000&lt;&gt;"")*(ISN!$Q$3:$Q$1000&lt;&gt;"Not Due"),
ROW(ISN!$Q$3:$Q$1000)-ROW(ISN!$Q$3)+1),
ROWS(A$2:A70))),"")</f>
        <v/>
      </c>
      <c r="AL70" s="115" t="str" cm="1">
        <f t="array" aca="1" ref="AL70" ca="1">IFERROR(INDEX(ISN!$B$3:$B$1000,
SMALL(
IF((ISN!$Q$3:$Q$1000&lt;&gt;"")*(ISN!$Q$3:$Q$1000&lt;&gt;"Not Due"),
ROW(ISN!$Q$3:$Q$1000)-ROW(ISN!$Q$3)+1),
ROWS(A$2:A70))),"")</f>
        <v/>
      </c>
      <c r="AM70" s="116" t="str" cm="1">
        <f t="array" aca="1" ref="AM70" ca="1">IFERROR(INDEX(ISN!$D$3:$D$1000,
SMALL(
IF((ISN!$Q$3:$Q$1000&lt;&gt;"")*(ISN!$Q$3:$Q$1000&lt;&gt;"Not Due"),
ROW(ISN!$Q$3:$Q$1000)-ROW(ISN!$Q$3)+1),
ROWS(A$2:A70))),"")</f>
        <v/>
      </c>
      <c r="AN70" s="116" t="str" cm="1">
        <f t="array" aca="1" ref="AN70" ca="1">IFERROR(INDEX(ISN!$G$3:$G$1000,
SMALL(
IF((ISN!$Q$3:$Q$1000&lt;&gt;"")*(ISN!$Q$3:$Q$1000&lt;&gt;"Not Due"),
ROW(ISN!$Q$3:$Q$1000)-ROW(ISN!$Q$3)+1),
ROWS(A$2:A70))),"")</f>
        <v/>
      </c>
      <c r="AO70" s="64" t="str" cm="1">
        <f t="array" aca="1" ref="AO70" ca="1">IFERROR(INDEX(ISN!$Q$3:$Q$1000,
SMALL(
IF((ISN!$Q$3:$Q$1000&lt;&gt;"")*(ISN!$Q$3:$Q$1000&lt;&gt;"Not Due"),
ROW(ISN!$Q$3:$Q$1000)-ROW(ISN!$Q$3)+1),
ROWS(A$2:A70))
),"")</f>
        <v/>
      </c>
    </row>
    <row r="71" spans="15:41" x14ac:dyDescent="0.3">
      <c r="O71" s="115">
        <v>70</v>
      </c>
      <c r="P71" s="120" t="str" cm="1">
        <f t="array" aca="1" ref="P71" ca="1">IFERROR(INDEX(MPOB!$E$3:$E$1000,
SMALL(
IF((MPOB!$Q$3:$Q$1000&lt;&gt;"")*(MPOB!$Q$3:$Q$1000&lt;&gt;"Not Due"),
ROW(MPOB!$Q$3:$Q$1000)-ROW(MPOB!$Q$3)+1),
ROWS(A$2:A71))),"")</f>
        <v/>
      </c>
      <c r="Q71" s="115" t="str" cm="1">
        <f t="array" aca="1" ref="Q71" ca="1">IFERROR(INDEX(MPOB!$B$3:$B$1000,
SMALL(
IF((MPOB!$Q$3:$Q$1000&lt;&gt;"")*(MPOB!$Q$3:$Q$1000&lt;&gt;"Not Due"),
ROW(MPOB!$Q$3:$Q$1000)-ROW(MPOB!$Q$3)+1),
ROWS(A$2:A71))),"")</f>
        <v/>
      </c>
      <c r="R71" s="115" t="str" cm="1">
        <f t="array" aca="1" ref="R71" ca="1">IFERROR(INDEX(MPOB!$D$3:$D$1000,
SMALL(
IF((MPOB!$Q$3:$Q$1000&lt;&gt;"")*(MPOB!$Q$3:$Q$1000&lt;&gt;"Not Due"),
ROW(MPOB!$Q$3:$Q$1000)-ROW(MPOB!$Q$3)+1),
ROWS(A$2:A71))),"")</f>
        <v/>
      </c>
      <c r="S71" s="116" t="str" cm="1">
        <f t="array" aca="1" ref="S71" ca="1">IFERROR(INDEX(MPOB!$G$3:$G$1000,
SMALL(
IF((MPOB!$Q$3:$Q$1000&lt;&gt;"")*(MPOB!$Q$3:$Q$1000&lt;&gt;"Not Due"),
ROW(MPOB!$Q$3:$Q$1000)-ROW(MPOB!$Q$3)+1),
ROWS(A$2:A71))),"")</f>
        <v/>
      </c>
      <c r="T71" s="88" t="str" cm="1">
        <f t="array" aca="1" ref="T71" ca="1">IFERROR(INDEX(MPOB!$Q$3:$Q$1000,
SMALL(
IF((MPOB!$Q$3:$Q$1000&lt;&gt;"")*(MPOB!$Q$3:$Q$1000&lt;&gt;"Not Due"),
ROW(MPOB!$Q$3:$Q$1000)-ROW(MPOB!$Q$3)+1),
ROWS(A$2:A71))
),"")</f>
        <v/>
      </c>
      <c r="V71" s="115">
        <v>70</v>
      </c>
      <c r="W71" s="121" t="str" cm="1">
        <f t="array" aca="1" ref="W71" ca="1">IFERROR(INDEX(LKTN!$E$3:$E$1000,
SMALL(
IF((LKTN!$Q$3:$Q$1000&lt;&gt;"")*(LKTN!$Q$3:$Q$1000&lt;&gt;"Not Due"),
ROW(LKTN!$Q$3:$Q$1000)-ROW(LKTN!$Q$3)+1),
ROWS(A$2:A71))),"")</f>
        <v/>
      </c>
      <c r="X71" s="115" t="str" cm="1">
        <f t="array" aca="1" ref="X71" ca="1">IFERROR(INDEX(LKTN!$B$3:$B$1000,
SMALL(
IF((LKTN!$Q$3:$Q$1000&lt;&gt;"")*(LKTN!$Q$3:$Q$1000&lt;&gt;"Not Due"),
ROW(LKTN!$Q$3:$Q$1000)-ROW(LKTN!$Q$3)+1),
ROWS(A$2:A71))),"")</f>
        <v/>
      </c>
      <c r="Y71" s="115" t="str" cm="1">
        <f t="array" aca="1" ref="Y71" ca="1">IFERROR(INDEX(LKTN!$D$3:$D$1000,
SMALL(
IF((LKTN!$Q$3:$Q$1000&lt;&gt;"")*(LKTN!$Q$3:$Q$1000&lt;&gt;"Not Due"),
ROW(LKTN!$Q$3:$Q$1000)-ROW(LKTN!$Q$3)+1),
ROWS(A$2:A71))),"")</f>
        <v/>
      </c>
      <c r="Z71" s="116" t="str" cm="1">
        <f t="array" aca="1" ref="Z71" ca="1">IFERROR(INDEX(LKTN!$G$3:$G$1000,
SMALL(
IF((LKTN!$Q$3:$Q$1000&lt;&gt;"")*(LKTN!$Q$3:$Q$1000&lt;&gt;"Not Due"),
ROW(LKTN!$Q$3:$Q$1000)-ROW(LKTN!$Q$3)+1),
ROWS(A$2:A71))),"")</f>
        <v/>
      </c>
      <c r="AA71" s="64" t="str" cm="1">
        <f t="array" aca="1" ref="AA71" ca="1">IFERROR(INDEX(LKTN!$Q$3:$Q$1000,
SMALL(
IF((LKTN!$Q$3:$Q$1000&lt;&gt;"")*(LKTN!$Q$3:$Q$1000&lt;&gt;"Not Due"),
ROW(LKTN!$Q$3:$Q$1000)-ROW(LKTN!$Q$3)+1),
ROWS(A$2:A71))
),"")</f>
        <v/>
      </c>
      <c r="AJ71" s="115">
        <v>70</v>
      </c>
      <c r="AK71" s="123" t="str" cm="1">
        <f t="array" aca="1" ref="AK71" ca="1">IFERROR(INDEX(ISN!$E$3:$E$1000,
SMALL(
IF((ISN!$Q$3:$Q$1000&lt;&gt;"")*(ISN!$Q$3:$Q$1000&lt;&gt;"Not Due"),
ROW(ISN!$Q$3:$Q$1000)-ROW(ISN!$Q$3)+1),
ROWS(A$2:A71))),"")</f>
        <v/>
      </c>
      <c r="AL71" s="115" t="str" cm="1">
        <f t="array" aca="1" ref="AL71" ca="1">IFERROR(INDEX(ISN!$B$3:$B$1000,
SMALL(
IF((ISN!$Q$3:$Q$1000&lt;&gt;"")*(ISN!$Q$3:$Q$1000&lt;&gt;"Not Due"),
ROW(ISN!$Q$3:$Q$1000)-ROW(ISN!$Q$3)+1),
ROWS(A$2:A71))),"")</f>
        <v/>
      </c>
      <c r="AM71" s="116" t="str" cm="1">
        <f t="array" aca="1" ref="AM71" ca="1">IFERROR(INDEX(ISN!$D$3:$D$1000,
SMALL(
IF((ISN!$Q$3:$Q$1000&lt;&gt;"")*(ISN!$Q$3:$Q$1000&lt;&gt;"Not Due"),
ROW(ISN!$Q$3:$Q$1000)-ROW(ISN!$Q$3)+1),
ROWS(A$2:A71))),"")</f>
        <v/>
      </c>
      <c r="AN71" s="116" t="str" cm="1">
        <f t="array" aca="1" ref="AN71" ca="1">IFERROR(INDEX(ISN!$G$3:$G$1000,
SMALL(
IF((ISN!$Q$3:$Q$1000&lt;&gt;"")*(ISN!$Q$3:$Q$1000&lt;&gt;"Not Due"),
ROW(ISN!$Q$3:$Q$1000)-ROW(ISN!$Q$3)+1),
ROWS(A$2:A71))),"")</f>
        <v/>
      </c>
      <c r="AO71" s="64" t="str" cm="1">
        <f t="array" aca="1" ref="AO71" ca="1">IFERROR(INDEX(ISN!$Q$3:$Q$1000,
SMALL(
IF((ISN!$Q$3:$Q$1000&lt;&gt;"")*(ISN!$Q$3:$Q$1000&lt;&gt;"Not Due"),
ROW(ISN!$Q$3:$Q$1000)-ROW(ISN!$Q$3)+1),
ROWS(A$2:A71))
),"")</f>
        <v/>
      </c>
    </row>
    <row r="72" spans="15:41" x14ac:dyDescent="0.3">
      <c r="O72" s="115">
        <v>71</v>
      </c>
      <c r="P72" s="120" t="str" cm="1">
        <f t="array" aca="1" ref="P72" ca="1">IFERROR(INDEX(MPOB!$E$3:$E$1000,
SMALL(
IF((MPOB!$Q$3:$Q$1000&lt;&gt;"")*(MPOB!$Q$3:$Q$1000&lt;&gt;"Not Due"),
ROW(MPOB!$Q$3:$Q$1000)-ROW(MPOB!$Q$3)+1),
ROWS(A$2:A72))),"")</f>
        <v/>
      </c>
      <c r="Q72" s="115" t="str" cm="1">
        <f t="array" aca="1" ref="Q72" ca="1">IFERROR(INDEX(MPOB!$B$3:$B$1000,
SMALL(
IF((MPOB!$Q$3:$Q$1000&lt;&gt;"")*(MPOB!$Q$3:$Q$1000&lt;&gt;"Not Due"),
ROW(MPOB!$Q$3:$Q$1000)-ROW(MPOB!$Q$3)+1),
ROWS(A$2:A72))),"")</f>
        <v/>
      </c>
      <c r="R72" s="115" t="str" cm="1">
        <f t="array" aca="1" ref="R72" ca="1">IFERROR(INDEX(MPOB!$D$3:$D$1000,
SMALL(
IF((MPOB!$Q$3:$Q$1000&lt;&gt;"")*(MPOB!$Q$3:$Q$1000&lt;&gt;"Not Due"),
ROW(MPOB!$Q$3:$Q$1000)-ROW(MPOB!$Q$3)+1),
ROWS(A$2:A72))),"")</f>
        <v/>
      </c>
      <c r="S72" s="116" t="str" cm="1">
        <f t="array" aca="1" ref="S72" ca="1">IFERROR(INDEX(MPOB!$G$3:$G$1000,
SMALL(
IF((MPOB!$Q$3:$Q$1000&lt;&gt;"")*(MPOB!$Q$3:$Q$1000&lt;&gt;"Not Due"),
ROW(MPOB!$Q$3:$Q$1000)-ROW(MPOB!$Q$3)+1),
ROWS(A$2:A72))),"")</f>
        <v/>
      </c>
      <c r="T72" s="88" t="str" cm="1">
        <f t="array" aca="1" ref="T72" ca="1">IFERROR(INDEX(MPOB!$Q$3:$Q$1000,
SMALL(
IF((MPOB!$Q$3:$Q$1000&lt;&gt;"")*(MPOB!$Q$3:$Q$1000&lt;&gt;"Not Due"),
ROW(MPOB!$Q$3:$Q$1000)-ROW(MPOB!$Q$3)+1),
ROWS(A$2:A72))
),"")</f>
        <v/>
      </c>
      <c r="V72" s="115">
        <v>71</v>
      </c>
      <c r="W72" s="121" t="str" cm="1">
        <f t="array" aca="1" ref="W72" ca="1">IFERROR(INDEX(LKTN!$E$3:$E$1000,
SMALL(
IF((LKTN!$Q$3:$Q$1000&lt;&gt;"")*(LKTN!$Q$3:$Q$1000&lt;&gt;"Not Due"),
ROW(LKTN!$Q$3:$Q$1000)-ROW(LKTN!$Q$3)+1),
ROWS(A$2:A72))),"")</f>
        <v/>
      </c>
      <c r="X72" s="115" t="str" cm="1">
        <f t="array" aca="1" ref="X72" ca="1">IFERROR(INDEX(LKTN!$B$3:$B$1000,
SMALL(
IF((LKTN!$Q$3:$Q$1000&lt;&gt;"")*(LKTN!$Q$3:$Q$1000&lt;&gt;"Not Due"),
ROW(LKTN!$Q$3:$Q$1000)-ROW(LKTN!$Q$3)+1),
ROWS(A$2:A72))),"")</f>
        <v/>
      </c>
      <c r="Y72" s="115" t="str" cm="1">
        <f t="array" aca="1" ref="Y72" ca="1">IFERROR(INDEX(LKTN!$D$3:$D$1000,
SMALL(
IF((LKTN!$Q$3:$Q$1000&lt;&gt;"")*(LKTN!$Q$3:$Q$1000&lt;&gt;"Not Due"),
ROW(LKTN!$Q$3:$Q$1000)-ROW(LKTN!$Q$3)+1),
ROWS(A$2:A72))),"")</f>
        <v/>
      </c>
      <c r="Z72" s="116" t="str" cm="1">
        <f t="array" aca="1" ref="Z72" ca="1">IFERROR(INDEX(LKTN!$G$3:$G$1000,
SMALL(
IF((LKTN!$Q$3:$Q$1000&lt;&gt;"")*(LKTN!$Q$3:$Q$1000&lt;&gt;"Not Due"),
ROW(LKTN!$Q$3:$Q$1000)-ROW(LKTN!$Q$3)+1),
ROWS(A$2:A72))),"")</f>
        <v/>
      </c>
      <c r="AA72" s="64" t="str" cm="1">
        <f t="array" aca="1" ref="AA72" ca="1">IFERROR(INDEX(LKTN!$Q$3:$Q$1000,
SMALL(
IF((LKTN!$Q$3:$Q$1000&lt;&gt;"")*(LKTN!$Q$3:$Q$1000&lt;&gt;"Not Due"),
ROW(LKTN!$Q$3:$Q$1000)-ROW(LKTN!$Q$3)+1),
ROWS(A$2:A72))
),"")</f>
        <v/>
      </c>
      <c r="AJ72" s="115">
        <v>71</v>
      </c>
      <c r="AK72" s="123" t="str" cm="1">
        <f t="array" aca="1" ref="AK72" ca="1">IFERROR(INDEX(ISN!$E$3:$E$1000,
SMALL(
IF((ISN!$Q$3:$Q$1000&lt;&gt;"")*(ISN!$Q$3:$Q$1000&lt;&gt;"Not Due"),
ROW(ISN!$Q$3:$Q$1000)-ROW(ISN!$Q$3)+1),
ROWS(A$2:A72))),"")</f>
        <v/>
      </c>
      <c r="AL72" s="115" t="str" cm="1">
        <f t="array" aca="1" ref="AL72" ca="1">IFERROR(INDEX(ISN!$B$3:$B$1000,
SMALL(
IF((ISN!$Q$3:$Q$1000&lt;&gt;"")*(ISN!$Q$3:$Q$1000&lt;&gt;"Not Due"),
ROW(ISN!$Q$3:$Q$1000)-ROW(ISN!$Q$3)+1),
ROWS(A$2:A72))),"")</f>
        <v/>
      </c>
      <c r="AM72" s="116" t="str" cm="1">
        <f t="array" aca="1" ref="AM72" ca="1">IFERROR(INDEX(ISN!$D$3:$D$1000,
SMALL(
IF((ISN!$Q$3:$Q$1000&lt;&gt;"")*(ISN!$Q$3:$Q$1000&lt;&gt;"Not Due"),
ROW(ISN!$Q$3:$Q$1000)-ROW(ISN!$Q$3)+1),
ROWS(A$2:A72))),"")</f>
        <v/>
      </c>
      <c r="AN72" s="116" t="str" cm="1">
        <f t="array" aca="1" ref="AN72" ca="1">IFERROR(INDEX(ISN!$G$3:$G$1000,
SMALL(
IF((ISN!$Q$3:$Q$1000&lt;&gt;"")*(ISN!$Q$3:$Q$1000&lt;&gt;"Not Due"),
ROW(ISN!$Q$3:$Q$1000)-ROW(ISN!$Q$3)+1),
ROWS(A$2:A72))),"")</f>
        <v/>
      </c>
      <c r="AO72" s="64" t="str" cm="1">
        <f t="array" aca="1" ref="AO72" ca="1">IFERROR(INDEX(ISN!$Q$3:$Q$1000,
SMALL(
IF((ISN!$Q$3:$Q$1000&lt;&gt;"")*(ISN!$Q$3:$Q$1000&lt;&gt;"Not Due"),
ROW(ISN!$Q$3:$Q$1000)-ROW(ISN!$Q$3)+1),
ROWS(A$2:A72))
),"")</f>
        <v/>
      </c>
    </row>
    <row r="73" spans="15:41" x14ac:dyDescent="0.3">
      <c r="O73" s="115">
        <v>72</v>
      </c>
      <c r="P73" s="120" t="str" cm="1">
        <f t="array" aca="1" ref="P73" ca="1">IFERROR(INDEX(MPOB!$E$3:$E$1000,
SMALL(
IF((MPOB!$Q$3:$Q$1000&lt;&gt;"")*(MPOB!$Q$3:$Q$1000&lt;&gt;"Not Due"),
ROW(MPOB!$Q$3:$Q$1000)-ROW(MPOB!$Q$3)+1),
ROWS(A$2:A73))),"")</f>
        <v/>
      </c>
      <c r="Q73" s="115" t="str" cm="1">
        <f t="array" aca="1" ref="Q73" ca="1">IFERROR(INDEX(MPOB!$B$3:$B$1000,
SMALL(
IF((MPOB!$Q$3:$Q$1000&lt;&gt;"")*(MPOB!$Q$3:$Q$1000&lt;&gt;"Not Due"),
ROW(MPOB!$Q$3:$Q$1000)-ROW(MPOB!$Q$3)+1),
ROWS(A$2:A73))),"")</f>
        <v/>
      </c>
      <c r="R73" s="115" t="str" cm="1">
        <f t="array" aca="1" ref="R73" ca="1">IFERROR(INDEX(MPOB!$D$3:$D$1000,
SMALL(
IF((MPOB!$Q$3:$Q$1000&lt;&gt;"")*(MPOB!$Q$3:$Q$1000&lt;&gt;"Not Due"),
ROW(MPOB!$Q$3:$Q$1000)-ROW(MPOB!$Q$3)+1),
ROWS(A$2:A73))),"")</f>
        <v/>
      </c>
      <c r="S73" s="116" t="str" cm="1">
        <f t="array" aca="1" ref="S73" ca="1">IFERROR(INDEX(MPOB!$G$3:$G$1000,
SMALL(
IF((MPOB!$Q$3:$Q$1000&lt;&gt;"")*(MPOB!$Q$3:$Q$1000&lt;&gt;"Not Due"),
ROW(MPOB!$Q$3:$Q$1000)-ROW(MPOB!$Q$3)+1),
ROWS(A$2:A73))),"")</f>
        <v/>
      </c>
      <c r="T73" s="88" t="str" cm="1">
        <f t="array" aca="1" ref="T73" ca="1">IFERROR(INDEX(MPOB!$Q$3:$Q$1000,
SMALL(
IF((MPOB!$Q$3:$Q$1000&lt;&gt;"")*(MPOB!$Q$3:$Q$1000&lt;&gt;"Not Due"),
ROW(MPOB!$Q$3:$Q$1000)-ROW(MPOB!$Q$3)+1),
ROWS(A$2:A73))
),"")</f>
        <v/>
      </c>
      <c r="V73" s="115">
        <v>72</v>
      </c>
      <c r="W73" s="121" t="str" cm="1">
        <f t="array" aca="1" ref="W73" ca="1">IFERROR(INDEX(LKTN!$E$3:$E$1000,
SMALL(
IF((LKTN!$Q$3:$Q$1000&lt;&gt;"")*(LKTN!$Q$3:$Q$1000&lt;&gt;"Not Due"),
ROW(LKTN!$Q$3:$Q$1000)-ROW(LKTN!$Q$3)+1),
ROWS(A$2:A73))),"")</f>
        <v/>
      </c>
      <c r="X73" s="115" t="str" cm="1">
        <f t="array" aca="1" ref="X73" ca="1">IFERROR(INDEX(LKTN!$B$3:$B$1000,
SMALL(
IF((LKTN!$Q$3:$Q$1000&lt;&gt;"")*(LKTN!$Q$3:$Q$1000&lt;&gt;"Not Due"),
ROW(LKTN!$Q$3:$Q$1000)-ROW(LKTN!$Q$3)+1),
ROWS(A$2:A73))),"")</f>
        <v/>
      </c>
      <c r="Y73" s="115" t="str" cm="1">
        <f t="array" aca="1" ref="Y73" ca="1">IFERROR(INDEX(LKTN!$D$3:$D$1000,
SMALL(
IF((LKTN!$Q$3:$Q$1000&lt;&gt;"")*(LKTN!$Q$3:$Q$1000&lt;&gt;"Not Due"),
ROW(LKTN!$Q$3:$Q$1000)-ROW(LKTN!$Q$3)+1),
ROWS(A$2:A73))),"")</f>
        <v/>
      </c>
      <c r="Z73" s="116" t="str" cm="1">
        <f t="array" aca="1" ref="Z73" ca="1">IFERROR(INDEX(LKTN!$G$3:$G$1000,
SMALL(
IF((LKTN!$Q$3:$Q$1000&lt;&gt;"")*(LKTN!$Q$3:$Q$1000&lt;&gt;"Not Due"),
ROW(LKTN!$Q$3:$Q$1000)-ROW(LKTN!$Q$3)+1),
ROWS(A$2:A73))),"")</f>
        <v/>
      </c>
      <c r="AA73" s="64" t="str" cm="1">
        <f t="array" aca="1" ref="AA73" ca="1">IFERROR(INDEX(LKTN!$Q$3:$Q$1000,
SMALL(
IF((LKTN!$Q$3:$Q$1000&lt;&gt;"")*(LKTN!$Q$3:$Q$1000&lt;&gt;"Not Due"),
ROW(LKTN!$Q$3:$Q$1000)-ROW(LKTN!$Q$3)+1),
ROWS(A$2:A73))
),"")</f>
        <v/>
      </c>
      <c r="AJ73" s="115">
        <v>72</v>
      </c>
      <c r="AK73" s="123" t="str" cm="1">
        <f t="array" aca="1" ref="AK73" ca="1">IFERROR(INDEX(ISN!$E$3:$E$1000,
SMALL(
IF((ISN!$Q$3:$Q$1000&lt;&gt;"")*(ISN!$Q$3:$Q$1000&lt;&gt;"Not Due"),
ROW(ISN!$Q$3:$Q$1000)-ROW(ISN!$Q$3)+1),
ROWS(A$2:A73))),"")</f>
        <v/>
      </c>
      <c r="AL73" s="115" t="str" cm="1">
        <f t="array" aca="1" ref="AL73" ca="1">IFERROR(INDEX(ISN!$B$3:$B$1000,
SMALL(
IF((ISN!$Q$3:$Q$1000&lt;&gt;"")*(ISN!$Q$3:$Q$1000&lt;&gt;"Not Due"),
ROW(ISN!$Q$3:$Q$1000)-ROW(ISN!$Q$3)+1),
ROWS(A$2:A73))),"")</f>
        <v/>
      </c>
      <c r="AM73" s="116" t="str" cm="1">
        <f t="array" aca="1" ref="AM73" ca="1">IFERROR(INDEX(ISN!$D$3:$D$1000,
SMALL(
IF((ISN!$Q$3:$Q$1000&lt;&gt;"")*(ISN!$Q$3:$Q$1000&lt;&gt;"Not Due"),
ROW(ISN!$Q$3:$Q$1000)-ROW(ISN!$Q$3)+1),
ROWS(A$2:A73))),"")</f>
        <v/>
      </c>
      <c r="AN73" s="116" t="str" cm="1">
        <f t="array" aca="1" ref="AN73" ca="1">IFERROR(INDEX(ISN!$G$3:$G$1000,
SMALL(
IF((ISN!$Q$3:$Q$1000&lt;&gt;"")*(ISN!$Q$3:$Q$1000&lt;&gt;"Not Due"),
ROW(ISN!$Q$3:$Q$1000)-ROW(ISN!$Q$3)+1),
ROWS(A$2:A73))),"")</f>
        <v/>
      </c>
      <c r="AO73" s="64" t="str" cm="1">
        <f t="array" aca="1" ref="AO73" ca="1">IFERROR(INDEX(ISN!$Q$3:$Q$1000,
SMALL(
IF((ISN!$Q$3:$Q$1000&lt;&gt;"")*(ISN!$Q$3:$Q$1000&lt;&gt;"Not Due"),
ROW(ISN!$Q$3:$Q$1000)-ROW(ISN!$Q$3)+1),
ROWS(A$2:A73))
),"")</f>
        <v/>
      </c>
    </row>
    <row r="74" spans="15:41" x14ac:dyDescent="0.3">
      <c r="O74" s="115">
        <v>73</v>
      </c>
      <c r="P74" s="120" t="str" cm="1">
        <f t="array" aca="1" ref="P74" ca="1">IFERROR(INDEX(MPOB!$E$3:$E$1000,
SMALL(
IF((MPOB!$Q$3:$Q$1000&lt;&gt;"")*(MPOB!$Q$3:$Q$1000&lt;&gt;"Not Due"),
ROW(MPOB!$Q$3:$Q$1000)-ROW(MPOB!$Q$3)+1),
ROWS(A$2:A74))),"")</f>
        <v/>
      </c>
      <c r="Q74" s="115" t="str" cm="1">
        <f t="array" aca="1" ref="Q74" ca="1">IFERROR(INDEX(MPOB!$B$3:$B$1000,
SMALL(
IF((MPOB!$Q$3:$Q$1000&lt;&gt;"")*(MPOB!$Q$3:$Q$1000&lt;&gt;"Not Due"),
ROW(MPOB!$Q$3:$Q$1000)-ROW(MPOB!$Q$3)+1),
ROWS(A$2:A74))),"")</f>
        <v/>
      </c>
      <c r="R74" s="115" t="str" cm="1">
        <f t="array" aca="1" ref="R74" ca="1">IFERROR(INDEX(MPOB!$D$3:$D$1000,
SMALL(
IF((MPOB!$Q$3:$Q$1000&lt;&gt;"")*(MPOB!$Q$3:$Q$1000&lt;&gt;"Not Due"),
ROW(MPOB!$Q$3:$Q$1000)-ROW(MPOB!$Q$3)+1),
ROWS(A$2:A74))),"")</f>
        <v/>
      </c>
      <c r="S74" s="116" t="str" cm="1">
        <f t="array" aca="1" ref="S74" ca="1">IFERROR(INDEX(MPOB!$G$3:$G$1000,
SMALL(
IF((MPOB!$Q$3:$Q$1000&lt;&gt;"")*(MPOB!$Q$3:$Q$1000&lt;&gt;"Not Due"),
ROW(MPOB!$Q$3:$Q$1000)-ROW(MPOB!$Q$3)+1),
ROWS(A$2:A74))),"")</f>
        <v/>
      </c>
      <c r="T74" s="88" t="str" cm="1">
        <f t="array" aca="1" ref="T74" ca="1">IFERROR(INDEX(MPOB!$Q$3:$Q$1000,
SMALL(
IF((MPOB!$Q$3:$Q$1000&lt;&gt;"")*(MPOB!$Q$3:$Q$1000&lt;&gt;"Not Due"),
ROW(MPOB!$Q$3:$Q$1000)-ROW(MPOB!$Q$3)+1),
ROWS(A$2:A74))
),"")</f>
        <v/>
      </c>
      <c r="V74" s="115">
        <v>73</v>
      </c>
      <c r="W74" s="121" t="str" cm="1">
        <f t="array" aca="1" ref="W74" ca="1">IFERROR(INDEX(LKTN!$E$3:$E$1000,
SMALL(
IF((LKTN!$Q$3:$Q$1000&lt;&gt;"")*(LKTN!$Q$3:$Q$1000&lt;&gt;"Not Due"),
ROW(LKTN!$Q$3:$Q$1000)-ROW(LKTN!$Q$3)+1),
ROWS(A$2:A74))),"")</f>
        <v/>
      </c>
      <c r="X74" s="115" t="str" cm="1">
        <f t="array" aca="1" ref="X74" ca="1">IFERROR(INDEX(LKTN!$B$3:$B$1000,
SMALL(
IF((LKTN!$Q$3:$Q$1000&lt;&gt;"")*(LKTN!$Q$3:$Q$1000&lt;&gt;"Not Due"),
ROW(LKTN!$Q$3:$Q$1000)-ROW(LKTN!$Q$3)+1),
ROWS(A$2:A74))),"")</f>
        <v/>
      </c>
      <c r="Y74" s="115" t="str" cm="1">
        <f t="array" aca="1" ref="Y74" ca="1">IFERROR(INDEX(LKTN!$D$3:$D$1000,
SMALL(
IF((LKTN!$Q$3:$Q$1000&lt;&gt;"")*(LKTN!$Q$3:$Q$1000&lt;&gt;"Not Due"),
ROW(LKTN!$Q$3:$Q$1000)-ROW(LKTN!$Q$3)+1),
ROWS(A$2:A74))),"")</f>
        <v/>
      </c>
      <c r="Z74" s="116" t="str" cm="1">
        <f t="array" aca="1" ref="Z74" ca="1">IFERROR(INDEX(LKTN!$G$3:$G$1000,
SMALL(
IF((LKTN!$Q$3:$Q$1000&lt;&gt;"")*(LKTN!$Q$3:$Q$1000&lt;&gt;"Not Due"),
ROW(LKTN!$Q$3:$Q$1000)-ROW(LKTN!$Q$3)+1),
ROWS(A$2:A74))),"")</f>
        <v/>
      </c>
      <c r="AA74" s="64" t="str" cm="1">
        <f t="array" aca="1" ref="AA74" ca="1">IFERROR(INDEX(LKTN!$Q$3:$Q$1000,
SMALL(
IF((LKTN!$Q$3:$Q$1000&lt;&gt;"")*(LKTN!$Q$3:$Q$1000&lt;&gt;"Not Due"),
ROW(LKTN!$Q$3:$Q$1000)-ROW(LKTN!$Q$3)+1),
ROWS(A$2:A74))
),"")</f>
        <v/>
      </c>
    </row>
    <row r="75" spans="15:41" x14ac:dyDescent="0.3">
      <c r="O75" s="115">
        <v>74</v>
      </c>
      <c r="P75" s="120" t="str" cm="1">
        <f t="array" aca="1" ref="P75" ca="1">IFERROR(INDEX(MPOB!$E$3:$E$1000,
SMALL(
IF((MPOB!$Q$3:$Q$1000&lt;&gt;"")*(MPOB!$Q$3:$Q$1000&lt;&gt;"Not Due"),
ROW(MPOB!$Q$3:$Q$1000)-ROW(MPOB!$Q$3)+1),
ROWS(A$2:A75))),"")</f>
        <v/>
      </c>
      <c r="Q75" s="115" t="str" cm="1">
        <f t="array" aca="1" ref="Q75" ca="1">IFERROR(INDEX(MPOB!$B$3:$B$1000,
SMALL(
IF((MPOB!$Q$3:$Q$1000&lt;&gt;"")*(MPOB!$Q$3:$Q$1000&lt;&gt;"Not Due"),
ROW(MPOB!$Q$3:$Q$1000)-ROW(MPOB!$Q$3)+1),
ROWS(A$2:A75))),"")</f>
        <v/>
      </c>
      <c r="R75" s="115" t="str" cm="1">
        <f t="array" aca="1" ref="R75" ca="1">IFERROR(INDEX(MPOB!$D$3:$D$1000,
SMALL(
IF((MPOB!$Q$3:$Q$1000&lt;&gt;"")*(MPOB!$Q$3:$Q$1000&lt;&gt;"Not Due"),
ROW(MPOB!$Q$3:$Q$1000)-ROW(MPOB!$Q$3)+1),
ROWS(A$2:A75))),"")</f>
        <v/>
      </c>
      <c r="S75" s="116" t="str" cm="1">
        <f t="array" aca="1" ref="S75" ca="1">IFERROR(INDEX(MPOB!$G$3:$G$1000,
SMALL(
IF((MPOB!$Q$3:$Q$1000&lt;&gt;"")*(MPOB!$Q$3:$Q$1000&lt;&gt;"Not Due"),
ROW(MPOB!$Q$3:$Q$1000)-ROW(MPOB!$Q$3)+1),
ROWS(A$2:A75))),"")</f>
        <v/>
      </c>
      <c r="T75" s="88" t="str" cm="1">
        <f t="array" aca="1" ref="T75" ca="1">IFERROR(INDEX(MPOB!$Q$3:$Q$1000,
SMALL(
IF((MPOB!$Q$3:$Q$1000&lt;&gt;"")*(MPOB!$Q$3:$Q$1000&lt;&gt;"Not Due"),
ROW(MPOB!$Q$3:$Q$1000)-ROW(MPOB!$Q$3)+1),
ROWS(A$2:A75))
),"")</f>
        <v/>
      </c>
      <c r="V75" s="115">
        <v>74</v>
      </c>
      <c r="W75" s="121" t="str" cm="1">
        <f t="array" aca="1" ref="W75" ca="1">IFERROR(INDEX(LKTN!$E$3:$E$1000,
SMALL(
IF((LKTN!$Q$3:$Q$1000&lt;&gt;"")*(LKTN!$Q$3:$Q$1000&lt;&gt;"Not Due"),
ROW(LKTN!$Q$3:$Q$1000)-ROW(LKTN!$Q$3)+1),
ROWS(A$2:A75))),"")</f>
        <v/>
      </c>
      <c r="X75" s="115" t="str" cm="1">
        <f t="array" aca="1" ref="X75" ca="1">IFERROR(INDEX(LKTN!$B$3:$B$1000,
SMALL(
IF((LKTN!$Q$3:$Q$1000&lt;&gt;"")*(LKTN!$Q$3:$Q$1000&lt;&gt;"Not Due"),
ROW(LKTN!$Q$3:$Q$1000)-ROW(LKTN!$Q$3)+1),
ROWS(A$2:A75))),"")</f>
        <v/>
      </c>
      <c r="Y75" s="115" t="str" cm="1">
        <f t="array" aca="1" ref="Y75" ca="1">IFERROR(INDEX(LKTN!$D$3:$D$1000,
SMALL(
IF((LKTN!$Q$3:$Q$1000&lt;&gt;"")*(LKTN!$Q$3:$Q$1000&lt;&gt;"Not Due"),
ROW(LKTN!$Q$3:$Q$1000)-ROW(LKTN!$Q$3)+1),
ROWS(A$2:A75))),"")</f>
        <v/>
      </c>
      <c r="Z75" s="116" t="str" cm="1">
        <f t="array" aca="1" ref="Z75" ca="1">IFERROR(INDEX(LKTN!$G$3:$G$1000,
SMALL(
IF((LKTN!$Q$3:$Q$1000&lt;&gt;"")*(LKTN!$Q$3:$Q$1000&lt;&gt;"Not Due"),
ROW(LKTN!$Q$3:$Q$1000)-ROW(LKTN!$Q$3)+1),
ROWS(A$2:A75))),"")</f>
        <v/>
      </c>
      <c r="AA75" s="64" t="str" cm="1">
        <f t="array" aca="1" ref="AA75" ca="1">IFERROR(INDEX(LKTN!$Q$3:$Q$1000,
SMALL(
IF((LKTN!$Q$3:$Q$1000&lt;&gt;"")*(LKTN!$Q$3:$Q$1000&lt;&gt;"Not Due"),
ROW(LKTN!$Q$3:$Q$1000)-ROW(LKTN!$Q$3)+1),
ROWS(A$2:A75))
),"")</f>
        <v/>
      </c>
    </row>
    <row r="76" spans="15:41" x14ac:dyDescent="0.3">
      <c r="O76" s="115">
        <v>75</v>
      </c>
      <c r="P76" s="120" t="str" cm="1">
        <f t="array" aca="1" ref="P76" ca="1">IFERROR(INDEX(MPOB!$E$3:$E$1000,
SMALL(
IF((MPOB!$Q$3:$Q$1000&lt;&gt;"")*(MPOB!$Q$3:$Q$1000&lt;&gt;"Not Due"),
ROW(MPOB!$Q$3:$Q$1000)-ROW(MPOB!$Q$3)+1),
ROWS(A$2:A76))),"")</f>
        <v/>
      </c>
      <c r="Q76" s="115" t="str" cm="1">
        <f t="array" aca="1" ref="Q76" ca="1">IFERROR(INDEX(MPOB!$B$3:$B$1000,
SMALL(
IF((MPOB!$Q$3:$Q$1000&lt;&gt;"")*(MPOB!$Q$3:$Q$1000&lt;&gt;"Not Due"),
ROW(MPOB!$Q$3:$Q$1000)-ROW(MPOB!$Q$3)+1),
ROWS(A$2:A76))),"")</f>
        <v/>
      </c>
      <c r="R76" s="115" t="str" cm="1">
        <f t="array" aca="1" ref="R76" ca="1">IFERROR(INDEX(MPOB!$D$3:$D$1000,
SMALL(
IF((MPOB!$Q$3:$Q$1000&lt;&gt;"")*(MPOB!$Q$3:$Q$1000&lt;&gt;"Not Due"),
ROW(MPOB!$Q$3:$Q$1000)-ROW(MPOB!$Q$3)+1),
ROWS(A$2:A76))),"")</f>
        <v/>
      </c>
      <c r="S76" s="116" t="str" cm="1">
        <f t="array" aca="1" ref="S76" ca="1">IFERROR(INDEX(MPOB!$G$3:$G$1000,
SMALL(
IF((MPOB!$Q$3:$Q$1000&lt;&gt;"")*(MPOB!$Q$3:$Q$1000&lt;&gt;"Not Due"),
ROW(MPOB!$Q$3:$Q$1000)-ROW(MPOB!$Q$3)+1),
ROWS(A$2:A76))),"")</f>
        <v/>
      </c>
      <c r="T76" s="88" t="str" cm="1">
        <f t="array" aca="1" ref="T76" ca="1">IFERROR(INDEX(MPOB!$Q$3:$Q$1000,
SMALL(
IF((MPOB!$Q$3:$Q$1000&lt;&gt;"")*(MPOB!$Q$3:$Q$1000&lt;&gt;"Not Due"),
ROW(MPOB!$Q$3:$Q$1000)-ROW(MPOB!$Q$3)+1),
ROWS(A$2:A76))
),"")</f>
        <v/>
      </c>
      <c r="V76" s="115">
        <v>75</v>
      </c>
      <c r="W76" s="121" t="str" cm="1">
        <f t="array" aca="1" ref="W76" ca="1">IFERROR(INDEX(LKTN!$E$3:$E$1000,
SMALL(
IF((LKTN!$Q$3:$Q$1000&lt;&gt;"")*(LKTN!$Q$3:$Q$1000&lt;&gt;"Not Due"),
ROW(LKTN!$Q$3:$Q$1000)-ROW(LKTN!$Q$3)+1),
ROWS(A$2:A76))),"")</f>
        <v/>
      </c>
      <c r="X76" s="115" t="str" cm="1">
        <f t="array" aca="1" ref="X76" ca="1">IFERROR(INDEX(LKTN!$B$3:$B$1000,
SMALL(
IF((LKTN!$Q$3:$Q$1000&lt;&gt;"")*(LKTN!$Q$3:$Q$1000&lt;&gt;"Not Due"),
ROW(LKTN!$Q$3:$Q$1000)-ROW(LKTN!$Q$3)+1),
ROWS(A$2:A76))),"")</f>
        <v/>
      </c>
      <c r="Y76" s="115" t="str" cm="1">
        <f t="array" aca="1" ref="Y76" ca="1">IFERROR(INDEX(LKTN!$D$3:$D$1000,
SMALL(
IF((LKTN!$Q$3:$Q$1000&lt;&gt;"")*(LKTN!$Q$3:$Q$1000&lt;&gt;"Not Due"),
ROW(LKTN!$Q$3:$Q$1000)-ROW(LKTN!$Q$3)+1),
ROWS(A$2:A76))),"")</f>
        <v/>
      </c>
      <c r="Z76" s="116" t="str" cm="1">
        <f t="array" aca="1" ref="Z76" ca="1">IFERROR(INDEX(LKTN!$G$3:$G$1000,
SMALL(
IF((LKTN!$Q$3:$Q$1000&lt;&gt;"")*(LKTN!$Q$3:$Q$1000&lt;&gt;"Not Due"),
ROW(LKTN!$Q$3:$Q$1000)-ROW(LKTN!$Q$3)+1),
ROWS(A$2:A76))),"")</f>
        <v/>
      </c>
      <c r="AA76" s="64" t="str" cm="1">
        <f t="array" aca="1" ref="AA76" ca="1">IFERROR(INDEX(LKTN!$Q$3:$Q$1000,
SMALL(
IF((LKTN!$Q$3:$Q$1000&lt;&gt;"")*(LKTN!$Q$3:$Q$1000&lt;&gt;"Not Due"),
ROW(LKTN!$Q$3:$Q$1000)-ROW(LKTN!$Q$3)+1),
ROWS(A$2:A76))
),"")</f>
        <v/>
      </c>
    </row>
    <row r="77" spans="15:41" x14ac:dyDescent="0.3">
      <c r="O77" s="115">
        <v>76</v>
      </c>
      <c r="P77" s="120" t="str" cm="1">
        <f t="array" aca="1" ref="P77" ca="1">IFERROR(INDEX(MPOB!$E$3:$E$1000,
SMALL(
IF((MPOB!$Q$3:$Q$1000&lt;&gt;"")*(MPOB!$Q$3:$Q$1000&lt;&gt;"Not Due"),
ROW(MPOB!$Q$3:$Q$1000)-ROW(MPOB!$Q$3)+1),
ROWS(A$2:A77))),"")</f>
        <v/>
      </c>
      <c r="Q77" s="115" t="str" cm="1">
        <f t="array" aca="1" ref="Q77" ca="1">IFERROR(INDEX(MPOB!$B$3:$B$1000,
SMALL(
IF((MPOB!$Q$3:$Q$1000&lt;&gt;"")*(MPOB!$Q$3:$Q$1000&lt;&gt;"Not Due"),
ROW(MPOB!$Q$3:$Q$1000)-ROW(MPOB!$Q$3)+1),
ROWS(A$2:A77))),"")</f>
        <v/>
      </c>
      <c r="R77" s="115" t="str" cm="1">
        <f t="array" aca="1" ref="R77" ca="1">IFERROR(INDEX(MPOB!$D$3:$D$1000,
SMALL(
IF((MPOB!$Q$3:$Q$1000&lt;&gt;"")*(MPOB!$Q$3:$Q$1000&lt;&gt;"Not Due"),
ROW(MPOB!$Q$3:$Q$1000)-ROW(MPOB!$Q$3)+1),
ROWS(A$2:A77))),"")</f>
        <v/>
      </c>
      <c r="S77" s="116" t="str" cm="1">
        <f t="array" aca="1" ref="S77" ca="1">IFERROR(INDEX(MPOB!$G$3:$G$1000,
SMALL(
IF((MPOB!$Q$3:$Q$1000&lt;&gt;"")*(MPOB!$Q$3:$Q$1000&lt;&gt;"Not Due"),
ROW(MPOB!$Q$3:$Q$1000)-ROW(MPOB!$Q$3)+1),
ROWS(A$2:A77))),"")</f>
        <v/>
      </c>
      <c r="T77" s="88" t="str" cm="1">
        <f t="array" aca="1" ref="T77" ca="1">IFERROR(INDEX(MPOB!$Q$3:$Q$1000,
SMALL(
IF((MPOB!$Q$3:$Q$1000&lt;&gt;"")*(MPOB!$Q$3:$Q$1000&lt;&gt;"Not Due"),
ROW(MPOB!$Q$3:$Q$1000)-ROW(MPOB!$Q$3)+1),
ROWS(A$2:A77))
),"")</f>
        <v/>
      </c>
      <c r="V77" s="115">
        <v>76</v>
      </c>
      <c r="W77" s="121" t="str" cm="1">
        <f t="array" aca="1" ref="W77" ca="1">IFERROR(INDEX(LKTN!$E$3:$E$1000,
SMALL(
IF((LKTN!$Q$3:$Q$1000&lt;&gt;"")*(LKTN!$Q$3:$Q$1000&lt;&gt;"Not Due"),
ROW(LKTN!$Q$3:$Q$1000)-ROW(LKTN!$Q$3)+1),
ROWS(A$2:A77))),"")</f>
        <v/>
      </c>
      <c r="X77" s="115" t="str" cm="1">
        <f t="array" aca="1" ref="X77" ca="1">IFERROR(INDEX(LKTN!$B$3:$B$1000,
SMALL(
IF((LKTN!$Q$3:$Q$1000&lt;&gt;"")*(LKTN!$Q$3:$Q$1000&lt;&gt;"Not Due"),
ROW(LKTN!$Q$3:$Q$1000)-ROW(LKTN!$Q$3)+1),
ROWS(A$2:A77))),"")</f>
        <v/>
      </c>
      <c r="Y77" s="115" t="str" cm="1">
        <f t="array" aca="1" ref="Y77" ca="1">IFERROR(INDEX(LKTN!$D$3:$D$1000,
SMALL(
IF((LKTN!$Q$3:$Q$1000&lt;&gt;"")*(LKTN!$Q$3:$Q$1000&lt;&gt;"Not Due"),
ROW(LKTN!$Q$3:$Q$1000)-ROW(LKTN!$Q$3)+1),
ROWS(A$2:A77))),"")</f>
        <v/>
      </c>
      <c r="Z77" s="116" t="str" cm="1">
        <f t="array" aca="1" ref="Z77" ca="1">IFERROR(INDEX(LKTN!$G$3:$G$1000,
SMALL(
IF((LKTN!$Q$3:$Q$1000&lt;&gt;"")*(LKTN!$Q$3:$Q$1000&lt;&gt;"Not Due"),
ROW(LKTN!$Q$3:$Q$1000)-ROW(LKTN!$Q$3)+1),
ROWS(A$2:A77))),"")</f>
        <v/>
      </c>
      <c r="AA77" s="64" t="str" cm="1">
        <f t="array" aca="1" ref="AA77" ca="1">IFERROR(INDEX(LKTN!$Q$3:$Q$1000,
SMALL(
IF((LKTN!$Q$3:$Q$1000&lt;&gt;"")*(LKTN!$Q$3:$Q$1000&lt;&gt;"Not Due"),
ROW(LKTN!$Q$3:$Q$1000)-ROW(LKTN!$Q$3)+1),
ROWS(A$2:A77))
),"")</f>
        <v/>
      </c>
    </row>
    <row r="78" spans="15:41" x14ac:dyDescent="0.3">
      <c r="O78" s="115">
        <v>77</v>
      </c>
      <c r="P78" s="120" t="str" cm="1">
        <f t="array" aca="1" ref="P78" ca="1">IFERROR(INDEX(MPOB!$E$3:$E$1000,
SMALL(
IF((MPOB!$Q$3:$Q$1000&lt;&gt;"")*(MPOB!$Q$3:$Q$1000&lt;&gt;"Not Due"),
ROW(MPOB!$Q$3:$Q$1000)-ROW(MPOB!$Q$3)+1),
ROWS(A$2:A78))),"")</f>
        <v/>
      </c>
      <c r="Q78" s="115" t="str" cm="1">
        <f t="array" aca="1" ref="Q78" ca="1">IFERROR(INDEX(MPOB!$B$3:$B$1000,
SMALL(
IF((MPOB!$Q$3:$Q$1000&lt;&gt;"")*(MPOB!$Q$3:$Q$1000&lt;&gt;"Not Due"),
ROW(MPOB!$Q$3:$Q$1000)-ROW(MPOB!$Q$3)+1),
ROWS(A$2:A78))),"")</f>
        <v/>
      </c>
      <c r="R78" s="115" t="str" cm="1">
        <f t="array" aca="1" ref="R78" ca="1">IFERROR(INDEX(MPOB!$D$3:$D$1000,
SMALL(
IF((MPOB!$Q$3:$Q$1000&lt;&gt;"")*(MPOB!$Q$3:$Q$1000&lt;&gt;"Not Due"),
ROW(MPOB!$Q$3:$Q$1000)-ROW(MPOB!$Q$3)+1),
ROWS(A$2:A78))),"")</f>
        <v/>
      </c>
      <c r="S78" s="116" t="str" cm="1">
        <f t="array" aca="1" ref="S78" ca="1">IFERROR(INDEX(MPOB!$G$3:$G$1000,
SMALL(
IF((MPOB!$Q$3:$Q$1000&lt;&gt;"")*(MPOB!$Q$3:$Q$1000&lt;&gt;"Not Due"),
ROW(MPOB!$Q$3:$Q$1000)-ROW(MPOB!$Q$3)+1),
ROWS(A$2:A78))),"")</f>
        <v/>
      </c>
      <c r="T78" s="88" t="str" cm="1">
        <f t="array" aca="1" ref="T78" ca="1">IFERROR(INDEX(MPOB!$Q$3:$Q$1000,
SMALL(
IF((MPOB!$Q$3:$Q$1000&lt;&gt;"")*(MPOB!$Q$3:$Q$1000&lt;&gt;"Not Due"),
ROW(MPOB!$Q$3:$Q$1000)-ROW(MPOB!$Q$3)+1),
ROWS(A$2:A78))
),"")</f>
        <v/>
      </c>
    </row>
    <row r="79" spans="15:41" x14ac:dyDescent="0.3">
      <c r="O79" s="115">
        <v>78</v>
      </c>
      <c r="P79" s="120" t="str" cm="1">
        <f t="array" aca="1" ref="P79" ca="1">IFERROR(INDEX(MPOB!$E$3:$E$1000,
SMALL(
IF((MPOB!$Q$3:$Q$1000&lt;&gt;"")*(MPOB!$Q$3:$Q$1000&lt;&gt;"Not Due"),
ROW(MPOB!$Q$3:$Q$1000)-ROW(MPOB!$Q$3)+1),
ROWS(A$2:A79))),"")</f>
        <v/>
      </c>
      <c r="Q79" s="115" t="str" cm="1">
        <f t="array" aca="1" ref="Q79" ca="1">IFERROR(INDEX(MPOB!$B$3:$B$1000,
SMALL(
IF((MPOB!$Q$3:$Q$1000&lt;&gt;"")*(MPOB!$Q$3:$Q$1000&lt;&gt;"Not Due"),
ROW(MPOB!$Q$3:$Q$1000)-ROW(MPOB!$Q$3)+1),
ROWS(A$2:A79))),"")</f>
        <v/>
      </c>
      <c r="R79" s="115" t="str" cm="1">
        <f t="array" aca="1" ref="R79" ca="1">IFERROR(INDEX(MPOB!$D$3:$D$1000,
SMALL(
IF((MPOB!$Q$3:$Q$1000&lt;&gt;"")*(MPOB!$Q$3:$Q$1000&lt;&gt;"Not Due"),
ROW(MPOB!$Q$3:$Q$1000)-ROW(MPOB!$Q$3)+1),
ROWS(A$2:A79))),"")</f>
        <v/>
      </c>
      <c r="S79" s="116" t="str" cm="1">
        <f t="array" aca="1" ref="S79" ca="1">IFERROR(INDEX(MPOB!$G$3:$G$1000,
SMALL(
IF((MPOB!$Q$3:$Q$1000&lt;&gt;"")*(MPOB!$Q$3:$Q$1000&lt;&gt;"Not Due"),
ROW(MPOB!$Q$3:$Q$1000)-ROW(MPOB!$Q$3)+1),
ROWS(A$2:A79))),"")</f>
        <v/>
      </c>
      <c r="T79" s="88" t="str" cm="1">
        <f t="array" aca="1" ref="T79" ca="1">IFERROR(INDEX(MPOB!$Q$3:$Q$1000,
SMALL(
IF((MPOB!$Q$3:$Q$1000&lt;&gt;"")*(MPOB!$Q$3:$Q$1000&lt;&gt;"Not Due"),
ROW(MPOB!$Q$3:$Q$1000)-ROW(MPOB!$Q$3)+1),
ROWS(A$2:A79))
),"")</f>
        <v/>
      </c>
    </row>
    <row r="80" spans="15:41" x14ac:dyDescent="0.3">
      <c r="O80" s="115">
        <v>79</v>
      </c>
      <c r="P80" s="120" t="str" cm="1">
        <f t="array" aca="1" ref="P80" ca="1">IFERROR(INDEX(MPOB!$E$3:$E$1000,
SMALL(
IF((MPOB!$Q$3:$Q$1000&lt;&gt;"")*(MPOB!$Q$3:$Q$1000&lt;&gt;"Not Due"),
ROW(MPOB!$Q$3:$Q$1000)-ROW(MPOB!$Q$3)+1),
ROWS(A$2:A80))),"")</f>
        <v/>
      </c>
      <c r="Q80" s="115" t="str" cm="1">
        <f t="array" aca="1" ref="Q80" ca="1">IFERROR(INDEX(MPOB!$B$3:$B$1000,
SMALL(
IF((MPOB!$Q$3:$Q$1000&lt;&gt;"")*(MPOB!$Q$3:$Q$1000&lt;&gt;"Not Due"),
ROW(MPOB!$Q$3:$Q$1000)-ROW(MPOB!$Q$3)+1),
ROWS(A$2:A80))),"")</f>
        <v/>
      </c>
      <c r="R80" s="115" t="str" cm="1">
        <f t="array" aca="1" ref="R80" ca="1">IFERROR(INDEX(MPOB!$D$3:$D$1000,
SMALL(
IF((MPOB!$Q$3:$Q$1000&lt;&gt;"")*(MPOB!$Q$3:$Q$1000&lt;&gt;"Not Due"),
ROW(MPOB!$Q$3:$Q$1000)-ROW(MPOB!$Q$3)+1),
ROWS(A$2:A80))),"")</f>
        <v/>
      </c>
      <c r="S80" s="116" t="str" cm="1">
        <f t="array" aca="1" ref="S80" ca="1">IFERROR(INDEX(MPOB!$G$3:$G$1000,
SMALL(
IF((MPOB!$Q$3:$Q$1000&lt;&gt;"")*(MPOB!$Q$3:$Q$1000&lt;&gt;"Not Due"),
ROW(MPOB!$Q$3:$Q$1000)-ROW(MPOB!$Q$3)+1),
ROWS(A$2:A80))),"")</f>
        <v/>
      </c>
      <c r="T80" s="88" t="str" cm="1">
        <f t="array" aca="1" ref="T80" ca="1">IFERROR(INDEX(MPOB!$Q$3:$Q$1000,
SMALL(
IF((MPOB!$Q$3:$Q$1000&lt;&gt;"")*(MPOB!$Q$3:$Q$1000&lt;&gt;"Not Due"),
ROW(MPOB!$Q$3:$Q$1000)-ROW(MPOB!$Q$3)+1),
ROWS(A$2:A80))
),"")</f>
        <v/>
      </c>
    </row>
    <row r="81" spans="15:20" x14ac:dyDescent="0.3">
      <c r="O81" s="115">
        <v>80</v>
      </c>
      <c r="P81" s="120" t="str" cm="1">
        <f t="array" aca="1" ref="P81" ca="1">IFERROR(INDEX(MPOB!$E$3:$E$1000,
SMALL(
IF((MPOB!$Q$3:$Q$1000&lt;&gt;"")*(MPOB!$Q$3:$Q$1000&lt;&gt;"Not Due"),
ROW(MPOB!$Q$3:$Q$1000)-ROW(MPOB!$Q$3)+1),
ROWS(A$2:A81))),"")</f>
        <v/>
      </c>
      <c r="Q81" s="115" t="str" cm="1">
        <f t="array" aca="1" ref="Q81" ca="1">IFERROR(INDEX(MPOB!$B$3:$B$1000,
SMALL(
IF((MPOB!$Q$3:$Q$1000&lt;&gt;"")*(MPOB!$Q$3:$Q$1000&lt;&gt;"Not Due"),
ROW(MPOB!$Q$3:$Q$1000)-ROW(MPOB!$Q$3)+1),
ROWS(A$2:A81))),"")</f>
        <v/>
      </c>
      <c r="R81" s="115" t="str" cm="1">
        <f t="array" aca="1" ref="R81" ca="1">IFERROR(INDEX(MPOB!$D$3:$D$1000,
SMALL(
IF((MPOB!$Q$3:$Q$1000&lt;&gt;"")*(MPOB!$Q$3:$Q$1000&lt;&gt;"Not Due"),
ROW(MPOB!$Q$3:$Q$1000)-ROW(MPOB!$Q$3)+1),
ROWS(A$2:A81))),"")</f>
        <v/>
      </c>
      <c r="S81" s="116" t="str" cm="1">
        <f t="array" aca="1" ref="S81" ca="1">IFERROR(INDEX(MPOB!$G$3:$G$1000,
SMALL(
IF((MPOB!$Q$3:$Q$1000&lt;&gt;"")*(MPOB!$Q$3:$Q$1000&lt;&gt;"Not Due"),
ROW(MPOB!$Q$3:$Q$1000)-ROW(MPOB!$Q$3)+1),
ROWS(A$2:A81))),"")</f>
        <v/>
      </c>
      <c r="T81" s="88" t="str" cm="1">
        <f t="array" aca="1" ref="T81" ca="1">IFERROR(INDEX(MPOB!$Q$3:$Q$1000,
SMALL(
IF((MPOB!$Q$3:$Q$1000&lt;&gt;"")*(MPOB!$Q$3:$Q$1000&lt;&gt;"Not Due"),
ROW(MPOB!$Q$3:$Q$1000)-ROW(MPOB!$Q$3)+1),
ROWS(A$2:A81))
),"")</f>
        <v/>
      </c>
    </row>
    <row r="82" spans="15:20" x14ac:dyDescent="0.3">
      <c r="O82" s="115">
        <v>81</v>
      </c>
      <c r="P82" s="120" t="str" cm="1">
        <f t="array" aca="1" ref="P82" ca="1">IFERROR(INDEX(MPOB!$E$3:$E$1000,
SMALL(
IF((MPOB!$Q$3:$Q$1000&lt;&gt;"")*(MPOB!$Q$3:$Q$1000&lt;&gt;"Not Due"),
ROW(MPOB!$Q$3:$Q$1000)-ROW(MPOB!$Q$3)+1),
ROWS(A$2:A82))),"")</f>
        <v/>
      </c>
      <c r="Q82" s="115" t="str" cm="1">
        <f t="array" aca="1" ref="Q82" ca="1">IFERROR(INDEX(MPOB!$B$3:$B$1000,
SMALL(
IF((MPOB!$Q$3:$Q$1000&lt;&gt;"")*(MPOB!$Q$3:$Q$1000&lt;&gt;"Not Due"),
ROW(MPOB!$Q$3:$Q$1000)-ROW(MPOB!$Q$3)+1),
ROWS(A$2:A82))),"")</f>
        <v/>
      </c>
      <c r="R82" s="115" t="str" cm="1">
        <f t="array" aca="1" ref="R82" ca="1">IFERROR(INDEX(MPOB!$D$3:$D$1000,
SMALL(
IF((MPOB!$Q$3:$Q$1000&lt;&gt;"")*(MPOB!$Q$3:$Q$1000&lt;&gt;"Not Due"),
ROW(MPOB!$Q$3:$Q$1000)-ROW(MPOB!$Q$3)+1),
ROWS(A$2:A82))),"")</f>
        <v/>
      </c>
      <c r="S82" s="116" t="str" cm="1">
        <f t="array" aca="1" ref="S82" ca="1">IFERROR(INDEX(MPOB!$G$3:$G$1000,
SMALL(
IF((MPOB!$Q$3:$Q$1000&lt;&gt;"")*(MPOB!$Q$3:$Q$1000&lt;&gt;"Not Due"),
ROW(MPOB!$Q$3:$Q$1000)-ROW(MPOB!$Q$3)+1),
ROWS(A$2:A82))),"")</f>
        <v/>
      </c>
      <c r="T82" s="88" t="str" cm="1">
        <f t="array" aca="1" ref="T82" ca="1">IFERROR(INDEX(MPOB!$Q$3:$Q$1000,
SMALL(
IF((MPOB!$Q$3:$Q$1000&lt;&gt;"")*(MPOB!$Q$3:$Q$1000&lt;&gt;"Not Due"),
ROW(MPOB!$Q$3:$Q$1000)-ROW(MPOB!$Q$3)+1),
ROWS(A$2:A82))
),"")</f>
        <v/>
      </c>
    </row>
    <row r="83" spans="15:20" x14ac:dyDescent="0.3">
      <c r="O83" s="115">
        <v>82</v>
      </c>
      <c r="P83" s="120" t="str" cm="1">
        <f t="array" aca="1" ref="P83" ca="1">IFERROR(INDEX(MPOB!$E$3:$E$1000,
SMALL(
IF((MPOB!$Q$3:$Q$1000&lt;&gt;"")*(MPOB!$Q$3:$Q$1000&lt;&gt;"Not Due"),
ROW(MPOB!$Q$3:$Q$1000)-ROW(MPOB!$Q$3)+1),
ROWS(A$2:A83))),"")</f>
        <v/>
      </c>
      <c r="Q83" s="115" t="str" cm="1">
        <f t="array" aca="1" ref="Q83" ca="1">IFERROR(INDEX(MPOB!$B$3:$B$1000,
SMALL(
IF((MPOB!$Q$3:$Q$1000&lt;&gt;"")*(MPOB!$Q$3:$Q$1000&lt;&gt;"Not Due"),
ROW(MPOB!$Q$3:$Q$1000)-ROW(MPOB!$Q$3)+1),
ROWS(A$2:A83))),"")</f>
        <v/>
      </c>
      <c r="R83" s="115" t="str" cm="1">
        <f t="array" aca="1" ref="R83" ca="1">IFERROR(INDEX(MPOB!$D$3:$D$1000,
SMALL(
IF((MPOB!$Q$3:$Q$1000&lt;&gt;"")*(MPOB!$Q$3:$Q$1000&lt;&gt;"Not Due"),
ROW(MPOB!$Q$3:$Q$1000)-ROW(MPOB!$Q$3)+1),
ROWS(A$2:A83))),"")</f>
        <v/>
      </c>
      <c r="S83" s="116" t="str" cm="1">
        <f t="array" aca="1" ref="S83" ca="1">IFERROR(INDEX(MPOB!$G$3:$G$1000,
SMALL(
IF((MPOB!$Q$3:$Q$1000&lt;&gt;"")*(MPOB!$Q$3:$Q$1000&lt;&gt;"Not Due"),
ROW(MPOB!$Q$3:$Q$1000)-ROW(MPOB!$Q$3)+1),
ROWS(A$2:A83))),"")</f>
        <v/>
      </c>
      <c r="T83" s="88" t="str" cm="1">
        <f t="array" aca="1" ref="T83" ca="1">IFERROR(INDEX(MPOB!$Q$3:$Q$1000,
SMALL(
IF((MPOB!$Q$3:$Q$1000&lt;&gt;"")*(MPOB!$Q$3:$Q$1000&lt;&gt;"Not Due"),
ROW(MPOB!$Q$3:$Q$1000)-ROW(MPOB!$Q$3)+1),
ROWS(A$2:A83))
),"")</f>
        <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4D133-9DD4-4F6F-8C42-2E9CC2520647}">
  <dimension ref="A1:V277"/>
  <sheetViews>
    <sheetView topLeftCell="D1" zoomScale="70" zoomScaleNormal="70" workbookViewId="0">
      <pane ySplit="2" topLeftCell="A102" activePane="bottomLeft" state="frozen"/>
      <selection pane="bottomLeft" activeCell="B106" sqref="B106"/>
    </sheetView>
  </sheetViews>
  <sheetFormatPr defaultColWidth="8" defaultRowHeight="15.6" x14ac:dyDescent="0.3"/>
  <cols>
    <col min="1" max="1" width="5.09765625" style="62" customWidth="1"/>
    <col min="2" max="2" width="11.19921875" style="64" bestFit="1" customWidth="1"/>
    <col min="3" max="3" width="13.19921875" style="64" customWidth="1"/>
    <col min="4" max="4" width="27.796875" style="64" bestFit="1" customWidth="1"/>
    <col min="5" max="5" width="9.5" style="64" customWidth="1"/>
    <col min="6" max="6" width="21.8984375" style="64" customWidth="1"/>
    <col min="7" max="7" width="52.796875" style="64" customWidth="1"/>
    <col min="8" max="8" width="11.59765625" style="64" bestFit="1" customWidth="1"/>
    <col min="9" max="9" width="11.59765625" style="64" customWidth="1"/>
    <col min="10" max="10" width="14.5" style="64" bestFit="1" customWidth="1"/>
    <col min="11" max="11" width="16.796875" style="64" bestFit="1" customWidth="1"/>
    <col min="12" max="12" width="17.3984375" style="64" customWidth="1"/>
    <col min="13" max="13" width="14.3984375" style="88" customWidth="1"/>
    <col min="14" max="14" width="16.59765625" style="64" customWidth="1"/>
    <col min="15" max="15" width="13" style="64" customWidth="1"/>
    <col min="16" max="16" width="10.19921875" style="61" bestFit="1" customWidth="1"/>
    <col min="17" max="17" width="10.19921875" style="61" customWidth="1"/>
    <col min="18" max="18" width="8" style="62"/>
    <col min="19" max="19" width="9" style="62" customWidth="1"/>
    <col min="20" max="20" width="11.296875" style="62" customWidth="1"/>
    <col min="21" max="21" width="12.3984375" style="62" customWidth="1"/>
    <col min="22" max="22" width="13.8984375" style="62" customWidth="1"/>
    <col min="23" max="16384" width="8" style="62"/>
  </cols>
  <sheetData>
    <row r="1" spans="1:22" s="53" customFormat="1" ht="26.4" customHeight="1" x14ac:dyDescent="0.3">
      <c r="A1" s="97" t="s">
        <v>48</v>
      </c>
      <c r="B1" s="46" t="s">
        <v>49</v>
      </c>
      <c r="C1" s="46">
        <f>T7</f>
        <v>104</v>
      </c>
      <c r="D1" s="47" t="s">
        <v>50</v>
      </c>
      <c r="E1" s="48">
        <f>SUM(T3:T4)</f>
        <v>30</v>
      </c>
      <c r="F1" s="49" t="s">
        <v>51</v>
      </c>
      <c r="G1" s="99">
        <f>SUM(T5:T6)</f>
        <v>74</v>
      </c>
      <c r="H1" s="51"/>
      <c r="I1" s="51"/>
      <c r="J1" s="51"/>
      <c r="K1" s="51"/>
      <c r="L1" s="51"/>
      <c r="M1" s="105"/>
      <c r="N1" s="51"/>
      <c r="O1" s="51"/>
      <c r="P1" s="52"/>
      <c r="Q1" s="52"/>
    </row>
    <row r="2" spans="1:22" s="56" customFormat="1" ht="27.6" x14ac:dyDescent="0.3">
      <c r="A2" s="86" t="s">
        <v>52</v>
      </c>
      <c r="B2" s="54" t="s">
        <v>53</v>
      </c>
      <c r="C2" s="54" t="s">
        <v>54</v>
      </c>
      <c r="D2" s="54" t="s">
        <v>55</v>
      </c>
      <c r="E2" s="54" t="s">
        <v>56</v>
      </c>
      <c r="F2" s="54" t="s">
        <v>57</v>
      </c>
      <c r="G2" s="54" t="s">
        <v>58</v>
      </c>
      <c r="H2" s="54" t="s">
        <v>59</v>
      </c>
      <c r="I2" s="54" t="s">
        <v>60</v>
      </c>
      <c r="J2" s="54" t="s">
        <v>61</v>
      </c>
      <c r="K2" s="54" t="s">
        <v>62</v>
      </c>
      <c r="L2" s="54" t="s">
        <v>63</v>
      </c>
      <c r="M2" s="106" t="s">
        <v>64</v>
      </c>
      <c r="N2" s="54" t="s">
        <v>65</v>
      </c>
      <c r="O2" s="54" t="s">
        <v>66</v>
      </c>
      <c r="P2" s="55" t="s">
        <v>67</v>
      </c>
      <c r="Q2" s="55" t="s">
        <v>68</v>
      </c>
    </row>
    <row r="3" spans="1:22" ht="41.4" x14ac:dyDescent="0.3">
      <c r="A3" s="98">
        <v>1</v>
      </c>
      <c r="B3" s="57" t="s">
        <v>69</v>
      </c>
      <c r="C3" s="57" t="s">
        <v>70</v>
      </c>
      <c r="D3" s="57" t="s">
        <v>71</v>
      </c>
      <c r="E3" s="57" t="s">
        <v>47</v>
      </c>
      <c r="F3" s="57" t="s">
        <v>72</v>
      </c>
      <c r="G3" s="57" t="s">
        <v>73</v>
      </c>
      <c r="H3" s="57" t="s">
        <v>74</v>
      </c>
      <c r="I3" s="57" t="s">
        <v>75</v>
      </c>
      <c r="J3" s="102">
        <v>46087.62222222222</v>
      </c>
      <c r="K3" s="102">
        <v>46094.643055555556</v>
      </c>
      <c r="L3" s="102">
        <v>46159.852777777778</v>
      </c>
      <c r="M3" s="107" t="s">
        <v>76</v>
      </c>
      <c r="N3" s="59" t="str">
        <f>IF(ISBLANK(J3),"",IF(OR(M3="Completed",M3="Closed"),"",IF(H3="Issue",IF(I3="High",WORKDAY(J3,2,DATA!A2:A30),IF(I3="Medium",WORKDAY(J3,14,DATA!A2:A30),IF(OR(I3="Low"),WORKDAY(J3,30,DATA!A2:A30),""))),
"")
))</f>
        <v/>
      </c>
      <c r="O3" s="60" t="str">
        <f ca="1">IF(OR(ISBLANK(#REF!), M3="Completed", M3="Closed", H3&lt;&gt;"Issue"), "",
   (NETWORKDAYS.INTL(TODAY(), N3, 1, DATA!A2:A30) - 1))</f>
        <v/>
      </c>
      <c r="P3" s="61" t="str">
        <f t="shared" ref="P3:P14" ca="1" si="0">IF(O3="","",LEFT(O3,10)*(-1))</f>
        <v/>
      </c>
      <c r="Q3" s="61" t="str">
        <f ca="1">IF(P3="","",
IF(P3&lt;=0,"Not Due",
IF(P3&lt;=30,"1-30 Days",
IF(P3&lt;=60,"31-60 Days",
"&gt;60 Days"))))</f>
        <v/>
      </c>
      <c r="S3" s="63" t="s">
        <v>77</v>
      </c>
      <c r="T3" s="64">
        <f>COUNTIF(M3:M300, "Pending")</f>
        <v>30</v>
      </c>
    </row>
    <row r="4" spans="1:22" ht="69" x14ac:dyDescent="0.3">
      <c r="A4" s="98">
        <v>2</v>
      </c>
      <c r="B4" s="57" t="s">
        <v>78</v>
      </c>
      <c r="C4" s="57" t="s">
        <v>70</v>
      </c>
      <c r="D4" s="57" t="s">
        <v>71</v>
      </c>
      <c r="E4" s="57" t="s">
        <v>47</v>
      </c>
      <c r="F4" s="57" t="s">
        <v>72</v>
      </c>
      <c r="G4" s="57" t="s">
        <v>79</v>
      </c>
      <c r="H4" s="57" t="s">
        <v>74</v>
      </c>
      <c r="I4" s="57" t="s">
        <v>75</v>
      </c>
      <c r="J4" s="102">
        <v>46087.622916666667</v>
      </c>
      <c r="K4" s="102">
        <v>46132.431944444441</v>
      </c>
      <c r="L4" s="102">
        <v>46159.854166666664</v>
      </c>
      <c r="M4" s="107" t="s">
        <v>76</v>
      </c>
      <c r="N4" s="59" t="str">
        <f>IF(ISBLANK(J4),"",IF(OR(M4="Completed",M4="Closed"),"",IF(H4="Issue",IF(I4="High",WORKDAY(J4,2,DATA!A3:A31),IF(I4="Medium",WORKDAY(J4,14,DATA!A3:A31),IF(OR(I4="Low"),WORKDAY(J4,30,DATA!A3:A31),""))),
"")
))</f>
        <v/>
      </c>
      <c r="O4" s="60" t="str">
        <f ca="1">IF(OR(ISBLANK(#REF!), M4="Completed", M4="Closed", H4&lt;&gt;"Issue"), "",
   (NETWORKDAYS.INTL(TODAY(), N4, 1, DATA!A3:A31) - 1))</f>
        <v/>
      </c>
      <c r="P4" s="61" t="str">
        <f t="shared" ca="1" si="0"/>
        <v/>
      </c>
      <c r="Q4" s="61" t="str">
        <f t="shared" ref="Q4:Q67" ca="1" si="1">IF(P4="","",
IF(P4&lt;=0,"Not Due",
IF(P4&lt;=30,"1-30 Days",
IF(P4&lt;=60,"31-60 Days",
"&gt;60 Days"))))</f>
        <v/>
      </c>
      <c r="S4" s="63" t="s">
        <v>80</v>
      </c>
      <c r="T4" s="64">
        <f>COUNTIF(M3:M300, "InProgress")</f>
        <v>0</v>
      </c>
    </row>
    <row r="5" spans="1:22" ht="41.4" x14ac:dyDescent="0.3">
      <c r="A5" s="98">
        <v>3</v>
      </c>
      <c r="B5" s="57" t="s">
        <v>81</v>
      </c>
      <c r="C5" s="57" t="s">
        <v>70</v>
      </c>
      <c r="D5" s="57" t="s">
        <v>82</v>
      </c>
      <c r="E5" s="57" t="s">
        <v>47</v>
      </c>
      <c r="F5" s="57" t="s">
        <v>83</v>
      </c>
      <c r="G5" s="57" t="s">
        <v>84</v>
      </c>
      <c r="H5" s="57" t="s">
        <v>74</v>
      </c>
      <c r="I5" s="57" t="s">
        <v>75</v>
      </c>
      <c r="J5" s="102">
        <v>46087.624305555553</v>
      </c>
      <c r="K5" s="102">
        <v>46157.419444444444</v>
      </c>
      <c r="L5" s="102">
        <v>46159.854861111111</v>
      </c>
      <c r="M5" s="107" t="s">
        <v>76</v>
      </c>
      <c r="N5" s="59" t="str">
        <f>IF(ISBLANK(J5),"",IF(OR(M5="Completed",M5="Closed"),"",IF(H5="Issue",IF(I5="High",WORKDAY(J5,2,DATA!A4:A32),IF(I5="Medium",WORKDAY(J5,14,DATA!A4:A32),IF(OR(I5="Low"),WORKDAY(J5,30,DATA!A4:A32),""))),
"")
))</f>
        <v/>
      </c>
      <c r="O5" s="60" t="str">
        <f ca="1">IF(OR(ISBLANK(#REF!), M5="Completed", M5="Closed", H5&lt;&gt;"Issue"), "",
   (NETWORKDAYS.INTL(TODAY(), N5, 1, DATA!A4:A32) - 1))</f>
        <v/>
      </c>
      <c r="P5" s="61" t="str">
        <f t="shared" ca="1" si="0"/>
        <v/>
      </c>
      <c r="Q5" s="61" t="str">
        <f t="shared" ca="1" si="1"/>
        <v/>
      </c>
      <c r="S5" s="65" t="s">
        <v>85</v>
      </c>
      <c r="T5" s="64">
        <f>COUNTIF(M3:M300, "Completed")</f>
        <v>14</v>
      </c>
    </row>
    <row r="6" spans="1:22" ht="41.4" x14ac:dyDescent="0.3">
      <c r="A6" s="98">
        <v>4</v>
      </c>
      <c r="B6" s="57" t="s">
        <v>86</v>
      </c>
      <c r="C6" s="57" t="s">
        <v>70</v>
      </c>
      <c r="D6" s="57" t="s">
        <v>87</v>
      </c>
      <c r="E6" s="57" t="s">
        <v>47</v>
      </c>
      <c r="F6" s="57" t="s">
        <v>88</v>
      </c>
      <c r="G6" s="57" t="s">
        <v>89</v>
      </c>
      <c r="H6" s="57" t="s">
        <v>74</v>
      </c>
      <c r="I6" s="57" t="s">
        <v>75</v>
      </c>
      <c r="J6" s="102">
        <v>46087.625</v>
      </c>
      <c r="K6" s="102">
        <v>46128.684027777781</v>
      </c>
      <c r="L6" s="102">
        <v>46159.856944444444</v>
      </c>
      <c r="M6" s="107" t="s">
        <v>76</v>
      </c>
      <c r="N6" s="59" t="str">
        <f>IF(ISBLANK(J6),"",IF(OR(M6="Completed",M6="Closed"),"",IF(H6="Issue",IF(I6="High",WORKDAY(J6,2,DATA!A5:A33),IF(I6="Medium",WORKDAY(J6,14,DATA!A5:A33),IF(OR(I6="Low"),WORKDAY(J6,30,DATA!A5:A33),""))),
"")
))</f>
        <v/>
      </c>
      <c r="O6" s="60" t="str">
        <f ca="1">IF(OR(ISBLANK(#REF!), M6="Completed", M6="Closed", H6&lt;&gt;"Issue"), "",
   (NETWORKDAYS.INTL(TODAY(), N6, 1, DATA!A5:A33) - 1))</f>
        <v/>
      </c>
      <c r="P6" s="61" t="str">
        <f t="shared" ca="1" si="0"/>
        <v/>
      </c>
      <c r="Q6" s="61" t="str">
        <f t="shared" ca="1" si="1"/>
        <v/>
      </c>
      <c r="S6" s="65" t="s">
        <v>76</v>
      </c>
      <c r="T6" s="64">
        <f>COUNTIF(M3:M300, "Closed")</f>
        <v>60</v>
      </c>
    </row>
    <row r="7" spans="1:22" ht="55.2" x14ac:dyDescent="0.3">
      <c r="A7" s="98">
        <v>5</v>
      </c>
      <c r="B7" s="57" t="s">
        <v>90</v>
      </c>
      <c r="C7" s="57" t="s">
        <v>70</v>
      </c>
      <c r="D7" s="57" t="s">
        <v>87</v>
      </c>
      <c r="E7" s="57" t="s">
        <v>47</v>
      </c>
      <c r="F7" s="57" t="s">
        <v>88</v>
      </c>
      <c r="G7" s="57" t="s">
        <v>91</v>
      </c>
      <c r="H7" s="57" t="s">
        <v>74</v>
      </c>
      <c r="I7" s="57" t="s">
        <v>75</v>
      </c>
      <c r="J7" s="102">
        <v>46087.627083333333</v>
      </c>
      <c r="K7" s="103"/>
      <c r="L7" s="103"/>
      <c r="M7" s="107" t="s">
        <v>77</v>
      </c>
      <c r="N7" s="59">
        <f>IF(ISBLANK(J7),"",IF(OR(M7="Completed",M7="Closed"),"",IF(H7="Issue",IF(I7="High",WORKDAY(J7,2,DATA!A6:A34),IF(I7="Medium",WORKDAY(J7,14,DATA!A6:A34),IF(OR(I7="Low"),WORKDAY(J7,30,DATA!A6:A34),""))),
"")
))</f>
        <v>46108</v>
      </c>
      <c r="O7" s="60">
        <f ca="1">IF(OR(ISBLANK(#REF!), M7="Completed", M7="Closed", H7&lt;&gt;"Issue"), "",
   (NETWORKDAYS.INTL(TODAY(), N7, 1, DATA!A6:A34) - 1))</f>
        <v>-80</v>
      </c>
      <c r="P7" s="61">
        <f t="shared" ca="1" si="0"/>
        <v>80</v>
      </c>
      <c r="Q7" s="61" t="str">
        <f t="shared" ca="1" si="1"/>
        <v>&gt;60 Days</v>
      </c>
      <c r="S7" s="67" t="s">
        <v>49</v>
      </c>
      <c r="T7" s="68">
        <f>SUM(T3:T6)</f>
        <v>104</v>
      </c>
    </row>
    <row r="8" spans="1:22" ht="41.4" x14ac:dyDescent="0.3">
      <c r="A8" s="98">
        <v>6</v>
      </c>
      <c r="B8" s="57" t="s">
        <v>92</v>
      </c>
      <c r="C8" s="57" t="s">
        <v>70</v>
      </c>
      <c r="D8" s="57" t="s">
        <v>87</v>
      </c>
      <c r="E8" s="57" t="s">
        <v>47</v>
      </c>
      <c r="F8" s="57" t="s">
        <v>88</v>
      </c>
      <c r="G8" s="57" t="s">
        <v>93</v>
      </c>
      <c r="H8" s="57" t="s">
        <v>74</v>
      </c>
      <c r="I8" s="57" t="s">
        <v>75</v>
      </c>
      <c r="J8" s="102">
        <v>46087.631944444445</v>
      </c>
      <c r="K8" s="103"/>
      <c r="L8" s="103"/>
      <c r="M8" s="107" t="s">
        <v>77</v>
      </c>
      <c r="N8" s="59">
        <f>IF(ISBLANK(J8),"",IF(OR(M8="Completed",M8="Closed"),"",IF(H8="Issue",IF(I8="High",WORKDAY(J8,2,DATA!A7:A35),IF(I8="Medium",WORKDAY(J8,14,DATA!A7:A35),IF(OR(I8="Low"),WORKDAY(J8,30,DATA!A7:A35),""))),
"")
))</f>
        <v>46107</v>
      </c>
      <c r="O8" s="60">
        <f ca="1">IF(OR(ISBLANK(#REF!), M8="Completed", M8="Closed", H8&lt;&gt;"Issue"), "",
   (NETWORKDAYS.INTL(TODAY(), N8, 1, DATA!A7:A35) - 1))</f>
        <v>-81</v>
      </c>
      <c r="P8" s="61">
        <f t="shared" ca="1" si="0"/>
        <v>81</v>
      </c>
      <c r="Q8" s="61" t="str">
        <f t="shared" ca="1" si="1"/>
        <v>&gt;60 Days</v>
      </c>
      <c r="S8" s="139" t="s">
        <v>66</v>
      </c>
      <c r="T8" s="69" t="s">
        <v>94</v>
      </c>
      <c r="U8" s="69" t="s">
        <v>95</v>
      </c>
      <c r="V8" s="69" t="s">
        <v>96</v>
      </c>
    </row>
    <row r="9" spans="1:22" ht="110.4" x14ac:dyDescent="0.3">
      <c r="A9" s="98">
        <v>7</v>
      </c>
      <c r="B9" s="57" t="s">
        <v>97</v>
      </c>
      <c r="C9" s="57" t="s">
        <v>70</v>
      </c>
      <c r="D9" s="57" t="s">
        <v>71</v>
      </c>
      <c r="E9" s="57" t="s">
        <v>47</v>
      </c>
      <c r="F9" s="57" t="s">
        <v>72</v>
      </c>
      <c r="G9" s="57" t="s">
        <v>98</v>
      </c>
      <c r="H9" s="57" t="s">
        <v>74</v>
      </c>
      <c r="I9" s="57" t="s">
        <v>75</v>
      </c>
      <c r="J9" s="102">
        <v>46087.633333333331</v>
      </c>
      <c r="K9" s="102">
        <v>46094.649305555555</v>
      </c>
      <c r="L9" s="102">
        <v>46159.857638888891</v>
      </c>
      <c r="M9" s="107" t="s">
        <v>76</v>
      </c>
      <c r="N9" s="59" t="str">
        <f>IF(ISBLANK(J9),"",IF(OR(M9="Completed",M9="Closed"),"",IF(H9="Issue",IF(I9="High",WORKDAY(J9,2,DATA!A8:A36),IF(I9="Medium",WORKDAY(J9,14,DATA!A8:A36),IF(OR(I9="Low"),WORKDAY(J9,30,DATA!A8:A36),""))),
"")
))</f>
        <v/>
      </c>
      <c r="O9" s="60" t="str">
        <f ca="1">IF(OR(ISBLANK(#REF!), M9="Completed", M9="Closed", H9&lt;&gt;"Issue"), "",
   (NETWORKDAYS.INTL(TODAY(), N9, 1, DATA!A8:A36) - 1))</f>
        <v/>
      </c>
      <c r="P9" s="61" t="str">
        <f t="shared" ca="1" si="0"/>
        <v/>
      </c>
      <c r="Q9" s="61" t="str">
        <f t="shared" ca="1" si="1"/>
        <v/>
      </c>
      <c r="S9" s="139"/>
      <c r="T9" s="70">
        <f ca="1">COUNTIFS(P3:P277,"&gt;=1",P3:P277,"&lt;=30")</f>
        <v>7</v>
      </c>
      <c r="U9" s="70">
        <f ca="1">COUNTIFS(P3:P277,"&gt;=31",P3:P277,"&lt;=60")</f>
        <v>6</v>
      </c>
      <c r="V9" s="70">
        <f ca="1">COUNTIFS(P3:P277,"&gt;60")</f>
        <v>17</v>
      </c>
    </row>
    <row r="10" spans="1:22" ht="41.4" x14ac:dyDescent="0.3">
      <c r="A10" s="98">
        <v>8</v>
      </c>
      <c r="B10" s="57" t="s">
        <v>99</v>
      </c>
      <c r="C10" s="57" t="s">
        <v>70</v>
      </c>
      <c r="D10" s="57" t="s">
        <v>71</v>
      </c>
      <c r="E10" s="57" t="s">
        <v>47</v>
      </c>
      <c r="F10" s="57" t="s">
        <v>72</v>
      </c>
      <c r="G10" s="57" t="s">
        <v>100</v>
      </c>
      <c r="H10" s="57" t="s">
        <v>74</v>
      </c>
      <c r="I10" s="57" t="s">
        <v>75</v>
      </c>
      <c r="J10" s="102">
        <v>46087.634027777778</v>
      </c>
      <c r="K10" s="102">
        <v>46132.484722222223</v>
      </c>
      <c r="L10" s="102">
        <v>46132.48541666667</v>
      </c>
      <c r="M10" s="107" t="s">
        <v>76</v>
      </c>
      <c r="N10" s="59" t="str">
        <f>IF(ISBLANK(J10),"",IF(OR(M10="Completed",M10="Closed"),"",IF(H10="Issue",IF(I10="High",WORKDAY(J10,2,DATA!A9:A37),IF(I10="Medium",WORKDAY(J10,14,DATA!A9:A37),IF(OR(I10="Low"),WORKDAY(J10,30,DATA!A9:A37),""))),
"")
))</f>
        <v/>
      </c>
      <c r="O10" s="60" t="str">
        <f ca="1">IF(OR(ISBLANK(#REF!), M10="Completed", M10="Closed", H10&lt;&gt;"Issue"), "",
   (NETWORKDAYS.INTL(TODAY(), N10, 1, DATA!A9:A37) - 1))</f>
        <v/>
      </c>
      <c r="P10" s="61" t="str">
        <f t="shared" ca="1" si="0"/>
        <v/>
      </c>
      <c r="Q10" s="61" t="str">
        <f t="shared" ca="1" si="1"/>
        <v/>
      </c>
    </row>
    <row r="11" spans="1:22" ht="41.4" x14ac:dyDescent="0.3">
      <c r="A11" s="98">
        <v>9</v>
      </c>
      <c r="B11" s="57" t="s">
        <v>101</v>
      </c>
      <c r="C11" s="57" t="s">
        <v>70</v>
      </c>
      <c r="D11" s="57" t="s">
        <v>87</v>
      </c>
      <c r="E11" s="57" t="s">
        <v>47</v>
      </c>
      <c r="F11" s="57" t="s">
        <v>88</v>
      </c>
      <c r="G11" s="57" t="s">
        <v>102</v>
      </c>
      <c r="H11" s="57" t="s">
        <v>74</v>
      </c>
      <c r="I11" s="57" t="s">
        <v>75</v>
      </c>
      <c r="J11" s="102">
        <v>46090.379861111112</v>
      </c>
      <c r="K11" s="102">
        <v>46160.647916666669</v>
      </c>
      <c r="L11" s="102">
        <v>46160.647916666669</v>
      </c>
      <c r="M11" s="107" t="s">
        <v>76</v>
      </c>
      <c r="N11" s="59" t="str">
        <f>IF(ISBLANK(J11),"",IF(OR(M11="Completed",M11="Closed"),"",IF(H11="Issue",IF(I11="High",WORKDAY(J11,2,DATA!A10:A38),IF(I11="Medium",WORKDAY(J11,14,DATA!A10:A38),IF(OR(I11="Low"),WORKDAY(J11,30,DATA!A10:A38),""))),
"")
))</f>
        <v/>
      </c>
      <c r="O11" s="60" t="str">
        <f ca="1">IF(OR(ISBLANK(#REF!), M11="Completed", M11="Closed", H11&lt;&gt;"Issue"), "",
   (NETWORKDAYS.INTL(TODAY(), N11, 1, DATA!A10:A38) - 1))</f>
        <v/>
      </c>
      <c r="P11" s="61" t="str">
        <f t="shared" ca="1" si="0"/>
        <v/>
      </c>
      <c r="Q11" s="61" t="str">
        <f t="shared" ca="1" si="1"/>
        <v/>
      </c>
    </row>
    <row r="12" spans="1:22" ht="41.4" x14ac:dyDescent="0.3">
      <c r="A12" s="98">
        <v>10</v>
      </c>
      <c r="B12" s="57" t="s">
        <v>103</v>
      </c>
      <c r="C12" s="57" t="s">
        <v>70</v>
      </c>
      <c r="D12" s="57" t="s">
        <v>104</v>
      </c>
      <c r="E12" s="57" t="s">
        <v>47</v>
      </c>
      <c r="F12" s="57" t="s">
        <v>105</v>
      </c>
      <c r="G12" s="57" t="s">
        <v>106</v>
      </c>
      <c r="H12" s="57" t="s">
        <v>74</v>
      </c>
      <c r="I12" s="57" t="s">
        <v>75</v>
      </c>
      <c r="J12" s="102">
        <v>46090.396527777775</v>
      </c>
      <c r="K12" s="102">
        <v>46146.635416666664</v>
      </c>
      <c r="L12" s="102">
        <v>46146.636111111111</v>
      </c>
      <c r="M12" s="107" t="s">
        <v>76</v>
      </c>
      <c r="N12" s="59" t="str">
        <f>IF(ISBLANK(J12),"",IF(OR(M12="Completed",M12="Closed"),"",IF(H12="Issue",IF(I12="High",WORKDAY(J12,2,DATA!A11:A39),IF(I12="Medium",WORKDAY(J12,14,DATA!A11:A39),IF(OR(I12="Low"),WORKDAY(J12,30,DATA!A11:A39),""))),
"")
))</f>
        <v/>
      </c>
      <c r="O12" s="60" t="str">
        <f ca="1">IF(OR(ISBLANK(#REF!), M12="Completed", M12="Closed", H12&lt;&gt;"Issue"), "",
   (NETWORKDAYS.INTL(TODAY(), N12, 1, DATA!A11:A39) - 1))</f>
        <v/>
      </c>
      <c r="P12" s="61" t="str">
        <f t="shared" ca="1" si="0"/>
        <v/>
      </c>
      <c r="Q12" s="61" t="str">
        <f t="shared" ca="1" si="1"/>
        <v/>
      </c>
    </row>
    <row r="13" spans="1:22" ht="69" x14ac:dyDescent="0.3">
      <c r="A13" s="98">
        <v>11</v>
      </c>
      <c r="B13" s="57" t="s">
        <v>107</v>
      </c>
      <c r="C13" s="57" t="s">
        <v>70</v>
      </c>
      <c r="D13" s="57" t="s">
        <v>71</v>
      </c>
      <c r="E13" s="57" t="s">
        <v>47</v>
      </c>
      <c r="F13" s="57" t="s">
        <v>72</v>
      </c>
      <c r="G13" s="57" t="s">
        <v>108</v>
      </c>
      <c r="H13" s="57" t="s">
        <v>74</v>
      </c>
      <c r="I13" s="57" t="s">
        <v>75</v>
      </c>
      <c r="J13" s="102">
        <v>46090.447916666664</v>
      </c>
      <c r="K13" s="102">
        <v>46094.652777777781</v>
      </c>
      <c r="L13" s="102">
        <v>46159.859027777777</v>
      </c>
      <c r="M13" s="107" t="s">
        <v>76</v>
      </c>
      <c r="N13" s="59" t="str">
        <f>IF(ISBLANK(J13),"",IF(OR(M13="Completed",M13="Closed"),"",IF(H13="Issue",IF(I13="High",WORKDAY(J13,2,DATA!A12:A40),IF(I13="Medium",WORKDAY(J13,14,DATA!A12:A40),IF(OR(I13="Low"),WORKDAY(J13,30,DATA!A12:A40),""))),
"")
))</f>
        <v/>
      </c>
      <c r="O13" s="60" t="str">
        <f ca="1">IF(OR(ISBLANK(#REF!), M13="Completed", M13="Closed", H13&lt;&gt;"Issue"), "",
   (NETWORKDAYS.INTL(TODAY(), N13, 1, DATA!A12:A40) - 1))</f>
        <v/>
      </c>
      <c r="P13" s="61" t="str">
        <f t="shared" ca="1" si="0"/>
        <v/>
      </c>
      <c r="Q13" s="61" t="str">
        <f t="shared" ca="1" si="1"/>
        <v/>
      </c>
    </row>
    <row r="14" spans="1:22" ht="41.4" x14ac:dyDescent="0.3">
      <c r="A14" s="98">
        <v>12</v>
      </c>
      <c r="B14" s="57" t="s">
        <v>109</v>
      </c>
      <c r="C14" s="57" t="s">
        <v>70</v>
      </c>
      <c r="D14" s="57" t="s">
        <v>110</v>
      </c>
      <c r="E14" s="57" t="s">
        <v>47</v>
      </c>
      <c r="F14" s="57" t="s">
        <v>111</v>
      </c>
      <c r="G14" s="57" t="s">
        <v>112</v>
      </c>
      <c r="H14" s="57" t="s">
        <v>74</v>
      </c>
      <c r="I14" s="57" t="s">
        <v>75</v>
      </c>
      <c r="J14" s="102">
        <v>46090.450694444444</v>
      </c>
      <c r="K14" s="102">
        <v>46142.40625</v>
      </c>
      <c r="L14" s="102">
        <v>46159.86041666667</v>
      </c>
      <c r="M14" s="107" t="s">
        <v>76</v>
      </c>
      <c r="N14" s="59" t="str">
        <f>IF(ISBLANK(J14),"",IF(OR(M14="Completed",M14="Closed"),"",IF(H14="Issue",IF(I14="High",WORKDAY(J14,2,DATA!A13:A41),IF(I14="Medium",WORKDAY(J14,14,DATA!A13:A41),IF(OR(I14="Low"),WORKDAY(J14,30,DATA!A13:A41),""))),
"")
))</f>
        <v/>
      </c>
      <c r="O14" s="60" t="str">
        <f ca="1">IF(OR(ISBLANK(#REF!), M14="Completed", M14="Closed", H14&lt;&gt;"Issue"), "",
   (NETWORKDAYS.INTL(TODAY(), N14, 1, DATA!A13:A41) - 1))</f>
        <v/>
      </c>
      <c r="P14" s="61" t="str">
        <f t="shared" ca="1" si="0"/>
        <v/>
      </c>
      <c r="Q14" s="61" t="str">
        <f t="shared" ca="1" si="1"/>
        <v/>
      </c>
    </row>
    <row r="15" spans="1:22" ht="41.4" x14ac:dyDescent="0.3">
      <c r="A15" s="98">
        <v>13</v>
      </c>
      <c r="B15" s="57" t="s">
        <v>113</v>
      </c>
      <c r="C15" s="57" t="s">
        <v>70</v>
      </c>
      <c r="D15" s="57" t="s">
        <v>110</v>
      </c>
      <c r="E15" s="57" t="s">
        <v>47</v>
      </c>
      <c r="F15" s="57" t="s">
        <v>114</v>
      </c>
      <c r="G15" s="57" t="s">
        <v>115</v>
      </c>
      <c r="H15" s="57" t="s">
        <v>74</v>
      </c>
      <c r="I15" s="57" t="s">
        <v>75</v>
      </c>
      <c r="J15" s="102">
        <v>46090.451388888891</v>
      </c>
      <c r="K15" s="102">
        <v>46189.416666666664</v>
      </c>
      <c r="L15" s="102">
        <v>46189.417361111111</v>
      </c>
      <c r="M15" s="107" t="s">
        <v>76</v>
      </c>
      <c r="N15" s="59" t="str">
        <f>IF(ISBLANK(J15),"",IF(OR(M15="Completed",M15="Closed"),"",IF(H15="Issue",IF(I15="High",WORKDAY(J15,2,DATA!A14:A42),IF(I15="Medium",WORKDAY(J15,14,DATA!A14:A42),IF(OR(I15="Low"),WORKDAY(J15,30,DATA!A14:A42),""))),
"")
))</f>
        <v/>
      </c>
      <c r="O15" s="60" t="str">
        <f ca="1">IF(OR(ISBLANK(#REF!), M15="Completed", M15="Closed", H15&lt;&gt;"Issue"), "",
   (NETWORKDAYS.INTL(TODAY(), N15, 1, DATA!A14:A42) - 1))</f>
        <v/>
      </c>
      <c r="P15" s="61" t="str">
        <f ca="1">IF(O15="","",LEFT(O15,10)*(-1))</f>
        <v/>
      </c>
      <c r="Q15" s="61" t="str">
        <f t="shared" ca="1" si="1"/>
        <v/>
      </c>
    </row>
    <row r="16" spans="1:22" ht="96.6" x14ac:dyDescent="0.3">
      <c r="A16" s="98">
        <v>14</v>
      </c>
      <c r="B16" s="57" t="s">
        <v>116</v>
      </c>
      <c r="C16" s="57" t="s">
        <v>70</v>
      </c>
      <c r="D16" s="57" t="s">
        <v>104</v>
      </c>
      <c r="E16" s="57" t="s">
        <v>47</v>
      </c>
      <c r="F16" s="57" t="s">
        <v>114</v>
      </c>
      <c r="G16" s="57" t="s">
        <v>117</v>
      </c>
      <c r="H16" s="57" t="s">
        <v>74</v>
      </c>
      <c r="I16" s="57" t="s">
        <v>75</v>
      </c>
      <c r="J16" s="102">
        <v>46090.452777777777</v>
      </c>
      <c r="K16" s="102">
        <v>46108.484722222223</v>
      </c>
      <c r="L16" s="102">
        <v>46159.861805555556</v>
      </c>
      <c r="M16" s="107" t="s">
        <v>76</v>
      </c>
      <c r="N16" s="59" t="str">
        <f>IF(ISBLANK(J16),"",IF(OR(M16="Completed",M16="Closed"),"",IF(H16="Issue",IF(I16="High",WORKDAY(J16,2,DATA!A15:A43),IF(I16="Medium",WORKDAY(J16,14,DATA!A15:A43),IF(OR(I16="Low"),WORKDAY(J16,30,DATA!A15:A43),""))),
"")
))</f>
        <v/>
      </c>
      <c r="O16" s="60" t="str">
        <f ca="1">IF(OR(ISBLANK(#REF!), M16="Completed", M16="Closed", H16&lt;&gt;"Issue"), "",
   (NETWORKDAYS.INTL(TODAY(), N16, 1, DATA!A15:A43) - 1))</f>
        <v/>
      </c>
      <c r="P16" s="61" t="str">
        <f t="shared" ref="P16:P79" ca="1" si="2">IF(O16="","",LEFT(O16,10)*(-1))</f>
        <v/>
      </c>
      <c r="Q16" s="61" t="str">
        <f t="shared" ca="1" si="1"/>
        <v/>
      </c>
    </row>
    <row r="17" spans="1:17" ht="55.2" x14ac:dyDescent="0.3">
      <c r="A17" s="98">
        <v>15</v>
      </c>
      <c r="B17" s="57" t="s">
        <v>118</v>
      </c>
      <c r="C17" s="57" t="s">
        <v>70</v>
      </c>
      <c r="D17" s="57" t="s">
        <v>104</v>
      </c>
      <c r="E17" s="57" t="s">
        <v>47</v>
      </c>
      <c r="F17" s="57" t="s">
        <v>114</v>
      </c>
      <c r="G17" s="57" t="s">
        <v>119</v>
      </c>
      <c r="H17" s="57" t="s">
        <v>74</v>
      </c>
      <c r="I17" s="57" t="s">
        <v>75</v>
      </c>
      <c r="J17" s="102">
        <v>46090.456944444442</v>
      </c>
      <c r="K17" s="102">
        <v>46142.400694444441</v>
      </c>
      <c r="L17" s="102">
        <v>46159.862500000003</v>
      </c>
      <c r="M17" s="107" t="s">
        <v>76</v>
      </c>
      <c r="N17" s="59" t="str">
        <f>IF(ISBLANK(J17),"",IF(OR(M17="Completed",M17="Closed"),"",IF(H17="Issue",IF(I17="High",WORKDAY(J17,2,DATA!A16:A44),IF(I17="Medium",WORKDAY(J17,14,DATA!A16:A44),IF(OR(I17="Low"),WORKDAY(J17,30,DATA!A16:A44),""))),
"")
))</f>
        <v/>
      </c>
      <c r="O17" s="60" t="str">
        <f ca="1">IF(OR(ISBLANK(#REF!), M17="Completed", M17="Closed", H17&lt;&gt;"Issue"), "",
   (NETWORKDAYS.INTL(TODAY(), N17, 1, DATA!A16:A44) - 1))</f>
        <v/>
      </c>
      <c r="P17" s="61" t="str">
        <f t="shared" ca="1" si="2"/>
        <v/>
      </c>
      <c r="Q17" s="61" t="str">
        <f t="shared" ca="1" si="1"/>
        <v/>
      </c>
    </row>
    <row r="18" spans="1:17" ht="41.4" x14ac:dyDescent="0.3">
      <c r="A18" s="98">
        <v>16</v>
      </c>
      <c r="B18" s="57" t="s">
        <v>120</v>
      </c>
      <c r="C18" s="57" t="s">
        <v>70</v>
      </c>
      <c r="D18" s="57" t="s">
        <v>110</v>
      </c>
      <c r="E18" s="57" t="s">
        <v>47</v>
      </c>
      <c r="F18" s="57" t="s">
        <v>121</v>
      </c>
      <c r="G18" s="57" t="s">
        <v>122</v>
      </c>
      <c r="H18" s="57" t="s">
        <v>74</v>
      </c>
      <c r="I18" s="57" t="s">
        <v>75</v>
      </c>
      <c r="J18" s="102">
        <v>46090.468055555553</v>
      </c>
      <c r="K18" s="102">
        <v>46183.472222222219</v>
      </c>
      <c r="L18" s="102">
        <v>46183.472916666666</v>
      </c>
      <c r="M18" s="107" t="s">
        <v>76</v>
      </c>
      <c r="N18" s="59" t="str">
        <f>IF(ISBLANK(J18),"",IF(OR(M18="Completed",M18="Closed"),"",IF(H18="Issue",IF(I18="High",WORKDAY(J18,2,DATA!A17:A45),IF(I18="Medium",WORKDAY(J18,14,DATA!A17:A45),IF(OR(I18="Low"),WORKDAY(J18,30,DATA!A17:A45),""))),
"")
))</f>
        <v/>
      </c>
      <c r="O18" s="60" t="str">
        <f ca="1">IF(OR(ISBLANK(#REF!), M18="Completed", M18="Closed", H18&lt;&gt;"Issue"), "",
   (NETWORKDAYS.INTL(TODAY(), N18, 1, DATA!A17:A45) - 1))</f>
        <v/>
      </c>
      <c r="P18" s="61" t="str">
        <f t="shared" ca="1" si="2"/>
        <v/>
      </c>
      <c r="Q18" s="61" t="str">
        <f t="shared" ca="1" si="1"/>
        <v/>
      </c>
    </row>
    <row r="19" spans="1:17" ht="82.8" x14ac:dyDescent="0.3">
      <c r="A19" s="98">
        <v>17</v>
      </c>
      <c r="B19" s="57" t="s">
        <v>123</v>
      </c>
      <c r="C19" s="57" t="s">
        <v>70</v>
      </c>
      <c r="D19" s="57" t="s">
        <v>104</v>
      </c>
      <c r="E19" s="57" t="s">
        <v>47</v>
      </c>
      <c r="F19" s="57" t="s">
        <v>124</v>
      </c>
      <c r="G19" s="57" t="s">
        <v>125</v>
      </c>
      <c r="H19" s="57" t="s">
        <v>74</v>
      </c>
      <c r="I19" s="57" t="s">
        <v>75</v>
      </c>
      <c r="J19" s="102">
        <v>46090.473611111112</v>
      </c>
      <c r="K19" s="102">
        <v>46107.507638888892</v>
      </c>
      <c r="L19" s="102">
        <v>46159.863888888889</v>
      </c>
      <c r="M19" s="107" t="s">
        <v>76</v>
      </c>
      <c r="N19" s="59" t="str">
        <f>IF(ISBLANK(J19),"",IF(OR(M19="Completed",M19="Closed"),"",IF(H19="Issue",IF(I19="High",WORKDAY(J19,2,DATA!A18:A46),IF(I19="Medium",WORKDAY(J19,14,DATA!A18:A46),IF(OR(I19="Low"),WORKDAY(J19,30,DATA!A18:A46),""))),
"")
))</f>
        <v/>
      </c>
      <c r="O19" s="60" t="str">
        <f ca="1">IF(OR(ISBLANK(#REF!), M19="Completed", M19="Closed", H19&lt;&gt;"Issue"), "",
   (NETWORKDAYS.INTL(TODAY(), N19, 1, DATA!A18:A46) - 1))</f>
        <v/>
      </c>
      <c r="P19" s="61" t="str">
        <f t="shared" ca="1" si="2"/>
        <v/>
      </c>
      <c r="Q19" s="61" t="str">
        <f t="shared" ca="1" si="1"/>
        <v/>
      </c>
    </row>
    <row r="20" spans="1:17" ht="55.2" x14ac:dyDescent="0.3">
      <c r="A20" s="98">
        <v>18</v>
      </c>
      <c r="B20" s="57" t="s">
        <v>126</v>
      </c>
      <c r="C20" s="57" t="s">
        <v>70</v>
      </c>
      <c r="D20" s="57" t="s">
        <v>110</v>
      </c>
      <c r="E20" s="57" t="s">
        <v>47</v>
      </c>
      <c r="F20" s="57" t="s">
        <v>114</v>
      </c>
      <c r="G20" s="57" t="s">
        <v>127</v>
      </c>
      <c r="H20" s="57" t="s">
        <v>74</v>
      </c>
      <c r="I20" s="57" t="s">
        <v>75</v>
      </c>
      <c r="J20" s="102">
        <v>46090.474999999999</v>
      </c>
      <c r="K20" s="102">
        <v>46111.42083333333</v>
      </c>
      <c r="L20" s="102">
        <v>46159.865277777775</v>
      </c>
      <c r="M20" s="107" t="s">
        <v>76</v>
      </c>
      <c r="N20" s="59" t="str">
        <f>IF(ISBLANK(J20),"",IF(OR(M20="Completed",M20="Closed"),"",IF(H20="Issue",IF(I20="High",WORKDAY(J20,2,DATA!A19:A47),IF(I20="Medium",WORKDAY(J20,14,DATA!A19:A47),IF(OR(I20="Low"),WORKDAY(J20,30,DATA!A19:A47),""))),
"")
))</f>
        <v/>
      </c>
      <c r="O20" s="60" t="str">
        <f ca="1">IF(OR(ISBLANK(#REF!), M20="Completed", M20="Closed", H20&lt;&gt;"Issue"), "",
   (NETWORKDAYS.INTL(TODAY(), N20, 1, DATA!A19:A47) - 1))</f>
        <v/>
      </c>
      <c r="P20" s="61" t="str">
        <f t="shared" ca="1" si="2"/>
        <v/>
      </c>
      <c r="Q20" s="61" t="str">
        <f t="shared" ca="1" si="1"/>
        <v/>
      </c>
    </row>
    <row r="21" spans="1:17" ht="69" x14ac:dyDescent="0.3">
      <c r="A21" s="98">
        <v>19</v>
      </c>
      <c r="B21" s="57" t="s">
        <v>128</v>
      </c>
      <c r="C21" s="57" t="s">
        <v>70</v>
      </c>
      <c r="D21" s="57" t="s">
        <v>110</v>
      </c>
      <c r="E21" s="57" t="s">
        <v>47</v>
      </c>
      <c r="F21" s="57" t="s">
        <v>114</v>
      </c>
      <c r="G21" s="57" t="s">
        <v>129</v>
      </c>
      <c r="H21" s="57" t="s">
        <v>74</v>
      </c>
      <c r="I21" s="57" t="s">
        <v>75</v>
      </c>
      <c r="J21" s="102">
        <v>46090.475694444445</v>
      </c>
      <c r="K21" s="102">
        <v>46108.635416666664</v>
      </c>
      <c r="L21" s="102">
        <v>46159.865972222222</v>
      </c>
      <c r="M21" s="107" t="s">
        <v>76</v>
      </c>
      <c r="N21" s="59" t="str">
        <f>IF(ISBLANK(J21),"",IF(OR(M21="Completed",M21="Closed"),"",IF(H21="Issue",IF(I21="High",WORKDAY(J21,2,DATA!A20:A48),IF(I21="Medium",WORKDAY(J21,14,DATA!A20:A48),IF(OR(I21="Low"),WORKDAY(J21,30,DATA!A20:A48),""))),
"")
))</f>
        <v/>
      </c>
      <c r="O21" s="60" t="str">
        <f ca="1">IF(OR(ISBLANK(#REF!), M21="Completed", M21="Closed", H21&lt;&gt;"Issue"), "",
   (NETWORKDAYS.INTL(TODAY(), N21, 1, DATA!A20:A48) - 1))</f>
        <v/>
      </c>
      <c r="P21" s="61" t="str">
        <f t="shared" ca="1" si="2"/>
        <v/>
      </c>
      <c r="Q21" s="61" t="str">
        <f t="shared" ca="1" si="1"/>
        <v/>
      </c>
    </row>
    <row r="22" spans="1:17" ht="69" x14ac:dyDescent="0.3">
      <c r="A22" s="98">
        <v>20</v>
      </c>
      <c r="B22" s="57" t="s">
        <v>130</v>
      </c>
      <c r="C22" s="57" t="s">
        <v>70</v>
      </c>
      <c r="D22" s="57" t="s">
        <v>87</v>
      </c>
      <c r="E22" s="57" t="s">
        <v>47</v>
      </c>
      <c r="F22" s="57" t="s">
        <v>88</v>
      </c>
      <c r="G22" s="57" t="s">
        <v>131</v>
      </c>
      <c r="H22" s="57" t="s">
        <v>74</v>
      </c>
      <c r="I22" s="57" t="s">
        <v>75</v>
      </c>
      <c r="J22" s="102">
        <v>46090.479861111111</v>
      </c>
      <c r="K22" s="103"/>
      <c r="L22" s="103"/>
      <c r="M22" s="107" t="s">
        <v>77</v>
      </c>
      <c r="N22" s="59">
        <f>IF(ISBLANK(J22),"",IF(OR(M22="Completed",M22="Closed"),"",IF(H22="Issue",IF(I22="High",WORKDAY(J22,2,DATA!A21:A49),IF(I22="Medium",WORKDAY(J22,14,DATA!A21:A49),IF(OR(I22="Low"),WORKDAY(J22,30,DATA!A21:A49),""))),
"")
))</f>
        <v>46108</v>
      </c>
      <c r="O22" s="60">
        <f ca="1">IF(OR(ISBLANK(#REF!), M22="Completed", M22="Closed", H22&lt;&gt;"Issue"), "",
   (NETWORKDAYS.INTL(TODAY(), N22, 1, DATA!A21:A49) - 1))</f>
        <v>-85</v>
      </c>
      <c r="P22" s="61">
        <f t="shared" ca="1" si="2"/>
        <v>85</v>
      </c>
      <c r="Q22" s="61" t="str">
        <f t="shared" ca="1" si="1"/>
        <v>&gt;60 Days</v>
      </c>
    </row>
    <row r="23" spans="1:17" ht="27.6" x14ac:dyDescent="0.3">
      <c r="A23" s="98">
        <v>21</v>
      </c>
      <c r="B23" s="57" t="s">
        <v>132</v>
      </c>
      <c r="C23" s="57" t="s">
        <v>70</v>
      </c>
      <c r="D23" s="57" t="s">
        <v>104</v>
      </c>
      <c r="E23" s="57" t="s">
        <v>47</v>
      </c>
      <c r="F23" s="57" t="s">
        <v>124</v>
      </c>
      <c r="G23" s="57" t="s">
        <v>133</v>
      </c>
      <c r="H23" s="57" t="s">
        <v>74</v>
      </c>
      <c r="I23" s="57" t="s">
        <v>75</v>
      </c>
      <c r="J23" s="102">
        <v>46090.509722222225</v>
      </c>
      <c r="K23" s="103"/>
      <c r="L23" s="103"/>
      <c r="M23" s="107" t="s">
        <v>77</v>
      </c>
      <c r="N23" s="59">
        <f>IF(ISBLANK(J23),"",IF(OR(M23="Completed",M23="Closed"),"",IF(H23="Issue",IF(I23="High",WORKDAY(J23,2,DATA!A22:A50),IF(I23="Medium",WORKDAY(J23,14,DATA!A22:A50),IF(OR(I23="Low"),WORKDAY(J23,30,DATA!A22:A50),""))),
"")
))</f>
        <v>46108</v>
      </c>
      <c r="O23" s="60">
        <f ca="1">IF(OR(ISBLANK(#REF!), M23="Completed", M23="Closed", H23&lt;&gt;"Issue"), "",
   (NETWORKDAYS.INTL(TODAY(), N23, 1, DATA!A22:A50) - 1))</f>
        <v>-85</v>
      </c>
      <c r="P23" s="61">
        <f t="shared" ca="1" si="2"/>
        <v>85</v>
      </c>
      <c r="Q23" s="61" t="str">
        <f t="shared" ca="1" si="1"/>
        <v>&gt;60 Days</v>
      </c>
    </row>
    <row r="24" spans="1:17" ht="69" x14ac:dyDescent="0.3">
      <c r="A24" s="98">
        <v>22</v>
      </c>
      <c r="B24" s="57" t="s">
        <v>134</v>
      </c>
      <c r="C24" s="57" t="s">
        <v>70</v>
      </c>
      <c r="D24" s="57" t="s">
        <v>135</v>
      </c>
      <c r="E24" s="57" t="s">
        <v>47</v>
      </c>
      <c r="F24" s="57" t="s">
        <v>136</v>
      </c>
      <c r="G24" s="57" t="s">
        <v>137</v>
      </c>
      <c r="H24" s="57" t="s">
        <v>74</v>
      </c>
      <c r="I24" s="57" t="s">
        <v>75</v>
      </c>
      <c r="J24" s="102">
        <v>46090.511805555558</v>
      </c>
      <c r="K24" s="102">
        <v>46182.51666666667</v>
      </c>
      <c r="L24" s="103"/>
      <c r="M24" s="107" t="s">
        <v>85</v>
      </c>
      <c r="N24" s="59" t="str">
        <f>IF(ISBLANK(J24),"",IF(OR(M24="Completed",M24="Closed"),"",IF(H24="Issue",IF(I24="High",WORKDAY(J24,2,DATA!A23:A51),IF(I24="Medium",WORKDAY(J24,14,DATA!A23:A51),IF(OR(I24="Low"),WORKDAY(J24,30,DATA!A23:A51),""))),
"")
))</f>
        <v/>
      </c>
      <c r="O24" s="60" t="str">
        <f ca="1">IF(OR(ISBLANK(#REF!), M24="Completed", M24="Closed", H24&lt;&gt;"Issue"), "",
   (NETWORKDAYS.INTL(TODAY(), N24, 1, DATA!A23:A51) - 1))</f>
        <v/>
      </c>
      <c r="P24" s="61" t="str">
        <f t="shared" ca="1" si="2"/>
        <v/>
      </c>
      <c r="Q24" s="61" t="str">
        <f t="shared" ca="1" si="1"/>
        <v/>
      </c>
    </row>
    <row r="25" spans="1:17" ht="96.6" x14ac:dyDescent="0.3">
      <c r="A25" s="98">
        <v>23</v>
      </c>
      <c r="B25" s="57" t="s">
        <v>138</v>
      </c>
      <c r="C25" s="57" t="s">
        <v>70</v>
      </c>
      <c r="D25" s="57" t="s">
        <v>82</v>
      </c>
      <c r="E25" s="57" t="s">
        <v>47</v>
      </c>
      <c r="F25" s="57" t="s">
        <v>139</v>
      </c>
      <c r="G25" s="57" t="s">
        <v>140</v>
      </c>
      <c r="H25" s="57" t="s">
        <v>74</v>
      </c>
      <c r="I25" s="57" t="s">
        <v>75</v>
      </c>
      <c r="J25" s="102">
        <v>46090.51666666667</v>
      </c>
      <c r="K25" s="103"/>
      <c r="L25" s="103"/>
      <c r="M25" s="107" t="s">
        <v>77</v>
      </c>
      <c r="N25" s="59">
        <f>IF(ISBLANK(J25),"",IF(OR(M25="Completed",M25="Closed"),"",IF(H25="Issue",IF(I25="High",WORKDAY(J25,2,DATA!A24:A52),IF(I25="Medium",WORKDAY(J25,14,DATA!A24:A52),IF(OR(I25="Low"),WORKDAY(J25,30,DATA!A24:A52),""))),
"")
))</f>
        <v>46108</v>
      </c>
      <c r="O25" s="60">
        <f ca="1">IF(OR(ISBLANK(#REF!), M25="Completed", M25="Closed", H25&lt;&gt;"Issue"), "",
   (NETWORKDAYS.INTL(TODAY(), N25, 1, DATA!A24:A52) - 1))</f>
        <v>-85</v>
      </c>
      <c r="P25" s="61">
        <f t="shared" ca="1" si="2"/>
        <v>85</v>
      </c>
      <c r="Q25" s="61" t="str">
        <f t="shared" ca="1" si="1"/>
        <v>&gt;60 Days</v>
      </c>
    </row>
    <row r="26" spans="1:17" ht="55.2" x14ac:dyDescent="0.3">
      <c r="A26" s="98">
        <v>24</v>
      </c>
      <c r="B26" s="57" t="s">
        <v>141</v>
      </c>
      <c r="C26" s="57" t="s">
        <v>70</v>
      </c>
      <c r="D26" s="57" t="s">
        <v>71</v>
      </c>
      <c r="E26" s="57" t="s">
        <v>47</v>
      </c>
      <c r="F26" s="57" t="s">
        <v>72</v>
      </c>
      <c r="G26" s="57" t="s">
        <v>142</v>
      </c>
      <c r="H26" s="57" t="s">
        <v>74</v>
      </c>
      <c r="I26" s="57" t="s">
        <v>75</v>
      </c>
      <c r="J26" s="102">
        <v>46091.421527777777</v>
      </c>
      <c r="K26" s="102">
        <v>46132.486111111109</v>
      </c>
      <c r="L26" s="102">
        <v>46132.486111111109</v>
      </c>
      <c r="M26" s="107" t="s">
        <v>76</v>
      </c>
      <c r="N26" s="59" t="str">
        <f>IF(ISBLANK(J26),"",IF(OR(M26="Completed",M26="Closed"),"",IF(H26="Issue",IF(I26="High",WORKDAY(J26,2,DATA!A25:A53),IF(I26="Medium",WORKDAY(J26,14,DATA!A25:A53),IF(OR(I26="Low"),WORKDAY(J26,30,DATA!A25:A53),""))),
"")
))</f>
        <v/>
      </c>
      <c r="O26" s="60" t="str">
        <f ca="1">IF(OR(ISBLANK(#REF!), M26="Completed", M26="Closed", H26&lt;&gt;"Issue"), "",
   (NETWORKDAYS.INTL(TODAY(), N26, 1, DATA!A25:A53) - 1))</f>
        <v/>
      </c>
      <c r="P26" s="61" t="str">
        <f t="shared" ca="1" si="2"/>
        <v/>
      </c>
      <c r="Q26" s="61" t="str">
        <f t="shared" ca="1" si="1"/>
        <v/>
      </c>
    </row>
    <row r="27" spans="1:17" ht="69" x14ac:dyDescent="0.3">
      <c r="A27" s="98">
        <v>25</v>
      </c>
      <c r="B27" s="57" t="s">
        <v>143</v>
      </c>
      <c r="C27" s="57" t="s">
        <v>70</v>
      </c>
      <c r="D27" s="57" t="s">
        <v>135</v>
      </c>
      <c r="E27" s="57" t="s">
        <v>47</v>
      </c>
      <c r="F27" s="57" t="s">
        <v>136</v>
      </c>
      <c r="G27" s="57" t="s">
        <v>144</v>
      </c>
      <c r="H27" s="57" t="s">
        <v>74</v>
      </c>
      <c r="I27" s="57" t="s">
        <v>75</v>
      </c>
      <c r="J27" s="102">
        <v>46091.42291666667</v>
      </c>
      <c r="K27" s="102">
        <v>46168.42083333333</v>
      </c>
      <c r="L27" s="103"/>
      <c r="M27" s="107" t="s">
        <v>85</v>
      </c>
      <c r="N27" s="59" t="str">
        <f>IF(ISBLANK(J27),"",IF(OR(M27="Completed",M27="Closed"),"",IF(H27="Issue",IF(I27="High",WORKDAY(J27,2,DATA!A26:A54),IF(I27="Medium",WORKDAY(J27,14,DATA!A26:A54),IF(OR(I27="Low"),WORKDAY(J27,30,DATA!A26:A54),""))),
"")
))</f>
        <v/>
      </c>
      <c r="O27" s="60" t="str">
        <f ca="1">IF(OR(ISBLANK(#REF!), M27="Completed", M27="Closed", H27&lt;&gt;"Issue"), "",
   (NETWORKDAYS.INTL(TODAY(), N27, 1, DATA!A26:A54) - 1))</f>
        <v/>
      </c>
      <c r="P27" s="61" t="str">
        <f t="shared" ca="1" si="2"/>
        <v/>
      </c>
      <c r="Q27" s="61" t="str">
        <f t="shared" ca="1" si="1"/>
        <v/>
      </c>
    </row>
    <row r="28" spans="1:17" ht="82.8" x14ac:dyDescent="0.3">
      <c r="A28" s="98">
        <v>26</v>
      </c>
      <c r="B28" s="57" t="s">
        <v>145</v>
      </c>
      <c r="C28" s="57" t="s">
        <v>70</v>
      </c>
      <c r="D28" s="57" t="s">
        <v>71</v>
      </c>
      <c r="E28" s="57" t="s">
        <v>47</v>
      </c>
      <c r="F28" s="57" t="s">
        <v>72</v>
      </c>
      <c r="G28" s="57" t="s">
        <v>146</v>
      </c>
      <c r="H28" s="57" t="s">
        <v>74</v>
      </c>
      <c r="I28" s="57" t="s">
        <v>75</v>
      </c>
      <c r="J28" s="102">
        <v>46091.423611111109</v>
      </c>
      <c r="K28" s="102">
        <v>46094.654861111114</v>
      </c>
      <c r="L28" s="102">
        <v>46159.866666666669</v>
      </c>
      <c r="M28" s="107" t="s">
        <v>76</v>
      </c>
      <c r="N28" s="59" t="str">
        <f>IF(ISBLANK(J28),"",IF(OR(M28="Completed",M28="Closed"),"",IF(H28="Issue",IF(I28="High",WORKDAY(J28,2,DATA!A27:A55),IF(I28="Medium",WORKDAY(J28,14,DATA!A27:A55),IF(OR(I28="Low"),WORKDAY(J28,30,DATA!A27:A55),""))),
"")
))</f>
        <v/>
      </c>
      <c r="O28" s="60" t="str">
        <f ca="1">IF(OR(ISBLANK(#REF!), M28="Completed", M28="Closed", H28&lt;&gt;"Issue"), "",
   (NETWORKDAYS.INTL(TODAY(), N28, 1, DATA!A27:A55) - 1))</f>
        <v/>
      </c>
      <c r="P28" s="61" t="str">
        <f t="shared" ca="1" si="2"/>
        <v/>
      </c>
      <c r="Q28" s="61" t="str">
        <f t="shared" ca="1" si="1"/>
        <v/>
      </c>
    </row>
    <row r="29" spans="1:17" ht="55.2" x14ac:dyDescent="0.3">
      <c r="A29" s="98">
        <v>27</v>
      </c>
      <c r="B29" s="57" t="s">
        <v>147</v>
      </c>
      <c r="C29" s="57" t="s">
        <v>70</v>
      </c>
      <c r="D29" s="57" t="s">
        <v>104</v>
      </c>
      <c r="E29" s="57" t="s">
        <v>47</v>
      </c>
      <c r="F29" s="57" t="s">
        <v>148</v>
      </c>
      <c r="G29" s="57" t="s">
        <v>149</v>
      </c>
      <c r="H29" s="57" t="s">
        <v>74</v>
      </c>
      <c r="I29" s="57" t="s">
        <v>75</v>
      </c>
      <c r="J29" s="102">
        <v>46091.606249999997</v>
      </c>
      <c r="K29" s="102">
        <v>46134.635416666664</v>
      </c>
      <c r="L29" s="102">
        <v>46134.635416666664</v>
      </c>
      <c r="M29" s="107" t="s">
        <v>76</v>
      </c>
      <c r="N29" s="59" t="str">
        <f>IF(ISBLANK(J29),"",IF(OR(M29="Completed",M29="Closed"),"",IF(H29="Issue",IF(I29="High",WORKDAY(J29,2,DATA!A28:A56),IF(I29="Medium",WORKDAY(J29,14,DATA!A28:A56),IF(OR(I29="Low"),WORKDAY(J29,30,DATA!A28:A56),""))),
"")
))</f>
        <v/>
      </c>
      <c r="O29" s="60" t="str">
        <f ca="1">IF(OR(ISBLANK(#REF!), M29="Completed", M29="Closed", H29&lt;&gt;"Issue"), "",
   (NETWORKDAYS.INTL(TODAY(), N29, 1, DATA!A28:A56) - 1))</f>
        <v/>
      </c>
      <c r="P29" s="61" t="str">
        <f t="shared" ca="1" si="2"/>
        <v/>
      </c>
      <c r="Q29" s="61" t="str">
        <f t="shared" ca="1" si="1"/>
        <v/>
      </c>
    </row>
    <row r="30" spans="1:17" ht="82.8" x14ac:dyDescent="0.3">
      <c r="A30" s="98">
        <v>28</v>
      </c>
      <c r="B30" s="57" t="s">
        <v>150</v>
      </c>
      <c r="C30" s="57" t="s">
        <v>70</v>
      </c>
      <c r="D30" s="57" t="s">
        <v>104</v>
      </c>
      <c r="E30" s="57" t="s">
        <v>47</v>
      </c>
      <c r="F30" s="57" t="s">
        <v>151</v>
      </c>
      <c r="G30" s="57" t="s">
        <v>152</v>
      </c>
      <c r="H30" s="57" t="s">
        <v>74</v>
      </c>
      <c r="I30" s="57" t="s">
        <v>75</v>
      </c>
      <c r="J30" s="102">
        <v>46091.60833333333</v>
      </c>
      <c r="K30" s="102">
        <v>46099.529166666667</v>
      </c>
      <c r="L30" s="102">
        <v>46099.529166666667</v>
      </c>
      <c r="M30" s="107" t="s">
        <v>76</v>
      </c>
      <c r="N30" s="59" t="str">
        <f>IF(ISBLANK(J30),"",IF(OR(M30="Completed",M30="Closed"),"",IF(H30="Issue",IF(I30="High",WORKDAY(J30,2,DATA!A29:A57),IF(I30="Medium",WORKDAY(J30,14,DATA!A29:A57),IF(OR(I30="Low"),WORKDAY(J30,30,DATA!A29:A57),""))),
"")
))</f>
        <v/>
      </c>
      <c r="O30" s="60" t="str">
        <f ca="1">IF(OR(ISBLANK(#REF!), M30="Completed", M30="Closed", H30&lt;&gt;"Issue"), "",
   (NETWORKDAYS.INTL(TODAY(), N30, 1, DATA!A29:A57) - 1))</f>
        <v/>
      </c>
      <c r="P30" s="61" t="str">
        <f t="shared" ca="1" si="2"/>
        <v/>
      </c>
      <c r="Q30" s="61" t="str">
        <f t="shared" ca="1" si="1"/>
        <v/>
      </c>
    </row>
    <row r="31" spans="1:17" ht="41.4" x14ac:dyDescent="0.3">
      <c r="A31" s="98">
        <v>29</v>
      </c>
      <c r="B31" s="57" t="s">
        <v>153</v>
      </c>
      <c r="C31" s="57" t="s">
        <v>70</v>
      </c>
      <c r="D31" s="57" t="s">
        <v>104</v>
      </c>
      <c r="E31" s="57" t="s">
        <v>47</v>
      </c>
      <c r="F31" s="57" t="s">
        <v>154</v>
      </c>
      <c r="G31" s="57" t="s">
        <v>155</v>
      </c>
      <c r="H31" s="57" t="s">
        <v>74</v>
      </c>
      <c r="I31" s="57" t="s">
        <v>75</v>
      </c>
      <c r="J31" s="102">
        <v>46091.626388888886</v>
      </c>
      <c r="K31" s="102">
        <v>46099.48541666667</v>
      </c>
      <c r="L31" s="102">
        <v>46122.436805555553</v>
      </c>
      <c r="M31" s="107" t="s">
        <v>76</v>
      </c>
      <c r="N31" s="59" t="str">
        <f>IF(ISBLANK(J31),"",IF(OR(M31="Completed",M31="Closed"),"",IF(H31="Issue",IF(I31="High",WORKDAY(J31,2,DATA!A30:A58),IF(I31="Medium",WORKDAY(J31,14,DATA!A30:A58),IF(OR(I31="Low"),WORKDAY(J31,30,DATA!A30:A58),""))),
"")
))</f>
        <v/>
      </c>
      <c r="O31" s="60" t="str">
        <f ca="1">IF(OR(ISBLANK(#REF!), M31="Completed", M31="Closed", H31&lt;&gt;"Issue"), "",
   (NETWORKDAYS.INTL(TODAY(), N31, 1, DATA!A30:A58) - 1))</f>
        <v/>
      </c>
      <c r="P31" s="61" t="str">
        <f t="shared" ca="1" si="2"/>
        <v/>
      </c>
      <c r="Q31" s="61" t="str">
        <f t="shared" ca="1" si="1"/>
        <v/>
      </c>
    </row>
    <row r="32" spans="1:17" ht="69" x14ac:dyDescent="0.3">
      <c r="A32" s="98">
        <v>30</v>
      </c>
      <c r="B32" s="57" t="s">
        <v>156</v>
      </c>
      <c r="C32" s="57" t="s">
        <v>70</v>
      </c>
      <c r="D32" s="57" t="s">
        <v>104</v>
      </c>
      <c r="E32" s="57" t="s">
        <v>47</v>
      </c>
      <c r="F32" s="57" t="s">
        <v>157</v>
      </c>
      <c r="G32" s="57" t="s">
        <v>158</v>
      </c>
      <c r="H32" s="57" t="s">
        <v>74</v>
      </c>
      <c r="I32" s="57" t="s">
        <v>75</v>
      </c>
      <c r="J32" s="102">
        <v>46091.62777777778</v>
      </c>
      <c r="K32" s="102">
        <v>46189.459027777775</v>
      </c>
      <c r="L32" s="103"/>
      <c r="M32" s="107" t="s">
        <v>85</v>
      </c>
      <c r="N32" s="59" t="str">
        <f>IF(ISBLANK(J32),"",IF(OR(M32="Completed",M32="Closed"),"",IF(H32="Issue",IF(I32="High",WORKDAY(J32,2,DATA!A31:A59),IF(I32="Medium",WORKDAY(J32,14,DATA!A31:A59),IF(OR(I32="Low"),WORKDAY(J32,30,DATA!A31:A59),""))),
"")
))</f>
        <v/>
      </c>
      <c r="O32" s="60" t="str">
        <f ca="1">IF(OR(ISBLANK(#REF!), M32="Completed", M32="Closed", H32&lt;&gt;"Issue"), "",
   (NETWORKDAYS.INTL(TODAY(), N32, 1, DATA!A31:A59) - 1))</f>
        <v/>
      </c>
      <c r="P32" s="61" t="str">
        <f t="shared" ca="1" si="2"/>
        <v/>
      </c>
      <c r="Q32" s="61" t="str">
        <f t="shared" ca="1" si="1"/>
        <v/>
      </c>
    </row>
    <row r="33" spans="1:17" ht="55.2" x14ac:dyDescent="0.3">
      <c r="A33" s="98">
        <v>31</v>
      </c>
      <c r="B33" s="57" t="s">
        <v>159</v>
      </c>
      <c r="C33" s="57" t="s">
        <v>70</v>
      </c>
      <c r="D33" s="57" t="s">
        <v>104</v>
      </c>
      <c r="E33" s="57" t="s">
        <v>47</v>
      </c>
      <c r="F33" s="57" t="s">
        <v>160</v>
      </c>
      <c r="G33" s="57" t="s">
        <v>161</v>
      </c>
      <c r="H33" s="57" t="s">
        <v>74</v>
      </c>
      <c r="I33" s="57" t="s">
        <v>75</v>
      </c>
      <c r="J33" s="102">
        <v>46091.632638888892</v>
      </c>
      <c r="K33" s="102">
        <v>46134.606944444444</v>
      </c>
      <c r="L33" s="102">
        <v>46159.868055555555</v>
      </c>
      <c r="M33" s="107" t="s">
        <v>76</v>
      </c>
      <c r="N33" s="59" t="str">
        <f>IF(ISBLANK(J33),"",IF(OR(M33="Completed",M33="Closed"),"",IF(H33="Issue",IF(I33="High",WORKDAY(J33,2,DATA!A32:A60),IF(I33="Medium",WORKDAY(J33,14,DATA!A32:A60),IF(OR(I33="Low"),WORKDAY(J33,30,DATA!A32:A60),""))),
"")
))</f>
        <v/>
      </c>
      <c r="O33" s="60" t="str">
        <f ca="1">IF(OR(ISBLANK(#REF!), M33="Completed", M33="Closed", H33&lt;&gt;"Issue"), "",
   (NETWORKDAYS.INTL(TODAY(), N33, 1, DATA!A32:A60) - 1))</f>
        <v/>
      </c>
      <c r="P33" s="61" t="str">
        <f t="shared" ca="1" si="2"/>
        <v/>
      </c>
      <c r="Q33" s="61" t="str">
        <f t="shared" ca="1" si="1"/>
        <v/>
      </c>
    </row>
    <row r="34" spans="1:17" ht="96.6" x14ac:dyDescent="0.3">
      <c r="A34" s="98">
        <v>32</v>
      </c>
      <c r="B34" s="57" t="s">
        <v>162</v>
      </c>
      <c r="C34" s="57" t="s">
        <v>70</v>
      </c>
      <c r="D34" s="57" t="s">
        <v>104</v>
      </c>
      <c r="E34" s="57" t="s">
        <v>47</v>
      </c>
      <c r="F34" s="57" t="s">
        <v>163</v>
      </c>
      <c r="G34" s="57" t="s">
        <v>164</v>
      </c>
      <c r="H34" s="57" t="s">
        <v>74</v>
      </c>
      <c r="I34" s="57" t="s">
        <v>75</v>
      </c>
      <c r="J34" s="102">
        <v>46091.634027777778</v>
      </c>
      <c r="K34" s="103"/>
      <c r="L34" s="103"/>
      <c r="M34" s="107" t="s">
        <v>77</v>
      </c>
      <c r="N34" s="59">
        <f>IF(ISBLANK(J34),"",IF(OR(M34="Completed",M34="Closed"),"",IF(H34="Issue",IF(I34="High",WORKDAY(J34,2,DATA!A33:A61),IF(I34="Medium",WORKDAY(J34,14,DATA!A33:A61),IF(OR(I34="Low"),WORKDAY(J34,30,DATA!A33:A61),""))),
"")
))</f>
        <v>46111</v>
      </c>
      <c r="O34" s="60">
        <f ca="1">IF(OR(ISBLANK(#REF!), M34="Completed", M34="Closed", H34&lt;&gt;"Issue"), "",
   (NETWORKDAYS.INTL(TODAY(), N34, 1, DATA!A33:A61) - 1))</f>
        <v>-84</v>
      </c>
      <c r="P34" s="61">
        <f t="shared" ca="1" si="2"/>
        <v>84</v>
      </c>
      <c r="Q34" s="61" t="str">
        <f t="shared" ca="1" si="1"/>
        <v>&gt;60 Days</v>
      </c>
    </row>
    <row r="35" spans="1:17" ht="69" x14ac:dyDescent="0.3">
      <c r="A35" s="98">
        <v>33</v>
      </c>
      <c r="B35" s="57" t="s">
        <v>165</v>
      </c>
      <c r="C35" s="57" t="s">
        <v>70</v>
      </c>
      <c r="D35" s="57" t="s">
        <v>135</v>
      </c>
      <c r="E35" s="57" t="s">
        <v>47</v>
      </c>
      <c r="F35" s="57" t="s">
        <v>166</v>
      </c>
      <c r="G35" s="57" t="s">
        <v>167</v>
      </c>
      <c r="H35" s="57" t="s">
        <v>74</v>
      </c>
      <c r="I35" s="57" t="s">
        <v>75</v>
      </c>
      <c r="J35" s="102">
        <v>46091.635416666664</v>
      </c>
      <c r="K35" s="102">
        <v>46107.481944444444</v>
      </c>
      <c r="L35" s="102">
        <v>46159.868750000001</v>
      </c>
      <c r="M35" s="107" t="s">
        <v>76</v>
      </c>
      <c r="N35" s="59" t="str">
        <f>IF(ISBLANK(J35),"",IF(OR(M35="Completed",M35="Closed"),"",IF(H35="Issue",IF(I35="High",WORKDAY(J35,2,DATA!A34:A62),IF(I35="Medium",WORKDAY(J35,14,DATA!A34:A62),IF(OR(I35="Low"),WORKDAY(J35,30,DATA!A34:A62),""))),
"")
))</f>
        <v/>
      </c>
      <c r="O35" s="60" t="str">
        <f ca="1">IF(OR(ISBLANK(#REF!), M35="Completed", M35="Closed", H35&lt;&gt;"Issue"), "",
   (NETWORKDAYS.INTL(TODAY(), N35, 1, DATA!A34:A62) - 1))</f>
        <v/>
      </c>
      <c r="P35" s="61" t="str">
        <f t="shared" ca="1" si="2"/>
        <v/>
      </c>
      <c r="Q35" s="61" t="str">
        <f t="shared" ca="1" si="1"/>
        <v/>
      </c>
    </row>
    <row r="36" spans="1:17" ht="55.2" x14ac:dyDescent="0.3">
      <c r="A36" s="98">
        <v>34</v>
      </c>
      <c r="B36" s="57" t="s">
        <v>168</v>
      </c>
      <c r="C36" s="57" t="s">
        <v>70</v>
      </c>
      <c r="D36" s="57" t="s">
        <v>71</v>
      </c>
      <c r="E36" s="57" t="s">
        <v>47</v>
      </c>
      <c r="F36" s="57" t="s">
        <v>169</v>
      </c>
      <c r="G36" s="57" t="s">
        <v>170</v>
      </c>
      <c r="H36" s="57" t="s">
        <v>74</v>
      </c>
      <c r="I36" s="57" t="s">
        <v>75</v>
      </c>
      <c r="J36" s="102">
        <v>46091.636805555558</v>
      </c>
      <c r="K36" s="102">
        <v>46199.509027777778</v>
      </c>
      <c r="L36" s="102">
        <v>46210.669444444444</v>
      </c>
      <c r="M36" s="107" t="s">
        <v>76</v>
      </c>
      <c r="N36" s="59" t="str">
        <f>IF(ISBLANK(J36),"",IF(OR(M36="Completed",M36="Closed"),"",IF(H36="Issue",IF(I36="High",WORKDAY(J36,2,DATA!A35:A63),IF(I36="Medium",WORKDAY(J36,14,DATA!A35:A63),IF(OR(I36="Low"),WORKDAY(J36,30,DATA!A35:A63),""))),
"")
))</f>
        <v/>
      </c>
      <c r="O36" s="60" t="str">
        <f ca="1">IF(OR(ISBLANK(#REF!), M36="Completed", M36="Closed", H36&lt;&gt;"Issue"), "",
   (NETWORKDAYS.INTL(TODAY(), N36, 1, DATA!A35:A63) - 1))</f>
        <v/>
      </c>
      <c r="P36" s="61" t="str">
        <f t="shared" ca="1" si="2"/>
        <v/>
      </c>
      <c r="Q36" s="61" t="str">
        <f t="shared" ca="1" si="1"/>
        <v/>
      </c>
    </row>
    <row r="37" spans="1:17" ht="27.6" x14ac:dyDescent="0.3">
      <c r="A37" s="98">
        <v>35</v>
      </c>
      <c r="B37" s="57" t="s">
        <v>171</v>
      </c>
      <c r="C37" s="57" t="s">
        <v>70</v>
      </c>
      <c r="D37" s="57" t="s">
        <v>104</v>
      </c>
      <c r="E37" s="57" t="s">
        <v>47</v>
      </c>
      <c r="F37" s="57" t="s">
        <v>157</v>
      </c>
      <c r="G37" s="57" t="s">
        <v>172</v>
      </c>
      <c r="H37" s="57" t="s">
        <v>74</v>
      </c>
      <c r="I37" s="57" t="s">
        <v>75</v>
      </c>
      <c r="J37" s="102">
        <v>46091.637499999997</v>
      </c>
      <c r="K37" s="102">
        <v>46183.473611111112</v>
      </c>
      <c r="L37" s="102">
        <v>46183.473611111112</v>
      </c>
      <c r="M37" s="107" t="s">
        <v>76</v>
      </c>
      <c r="N37" s="59" t="str">
        <f>IF(ISBLANK(J37),"",IF(OR(M37="Completed",M37="Closed"),"",IF(H37="Issue",IF(I37="High",WORKDAY(J37,2,DATA!A36:A64),IF(I37="Medium",WORKDAY(J37,14,DATA!A36:A64),IF(OR(I37="Low"),WORKDAY(J37,30,DATA!A36:A64),""))),
"")
))</f>
        <v/>
      </c>
      <c r="O37" s="60" t="str">
        <f ca="1">IF(OR(ISBLANK(#REF!), M37="Completed", M37="Closed", H37&lt;&gt;"Issue"), "",
   (NETWORKDAYS.INTL(TODAY(), N37, 1, DATA!A36:A64) - 1))</f>
        <v/>
      </c>
      <c r="P37" s="61" t="str">
        <f t="shared" ca="1" si="2"/>
        <v/>
      </c>
      <c r="Q37" s="61" t="str">
        <f t="shared" ca="1" si="1"/>
        <v/>
      </c>
    </row>
    <row r="38" spans="1:17" ht="69" x14ac:dyDescent="0.3">
      <c r="A38" s="98">
        <v>36</v>
      </c>
      <c r="B38" s="57" t="s">
        <v>173</v>
      </c>
      <c r="C38" s="57" t="s">
        <v>70</v>
      </c>
      <c r="D38" s="57" t="s">
        <v>135</v>
      </c>
      <c r="E38" s="57" t="s">
        <v>47</v>
      </c>
      <c r="F38" s="57" t="s">
        <v>174</v>
      </c>
      <c r="G38" s="57" t="s">
        <v>175</v>
      </c>
      <c r="H38" s="57" t="s">
        <v>74</v>
      </c>
      <c r="I38" s="57" t="s">
        <v>75</v>
      </c>
      <c r="J38" s="102">
        <v>46091.638888888891</v>
      </c>
      <c r="K38" s="102">
        <v>46107.492361111108</v>
      </c>
      <c r="L38" s="102">
        <v>46159.869444444441</v>
      </c>
      <c r="M38" s="107" t="s">
        <v>76</v>
      </c>
      <c r="N38" s="59" t="str">
        <f>IF(ISBLANK(J38),"",IF(OR(M38="Completed",M38="Closed"),"",IF(H38="Issue",IF(I38="High",WORKDAY(J38,2,DATA!A37:A65),IF(I38="Medium",WORKDAY(J38,14,DATA!A37:A65),IF(OR(I38="Low"),WORKDAY(J38,30,DATA!A37:A65),""))),
"")
))</f>
        <v/>
      </c>
      <c r="O38" s="60" t="str">
        <f ca="1">IF(OR(ISBLANK(#REF!), M38="Completed", M38="Closed", H38&lt;&gt;"Issue"), "",
   (NETWORKDAYS.INTL(TODAY(), N38, 1, DATA!A37:A65) - 1))</f>
        <v/>
      </c>
      <c r="P38" s="61" t="str">
        <f t="shared" ca="1" si="2"/>
        <v/>
      </c>
      <c r="Q38" s="61" t="str">
        <f t="shared" ca="1" si="1"/>
        <v/>
      </c>
    </row>
    <row r="39" spans="1:17" ht="55.2" x14ac:dyDescent="0.3">
      <c r="A39" s="98">
        <v>37</v>
      </c>
      <c r="B39" s="57" t="s">
        <v>176</v>
      </c>
      <c r="C39" s="57" t="s">
        <v>70</v>
      </c>
      <c r="D39" s="57" t="s">
        <v>104</v>
      </c>
      <c r="E39" s="57" t="s">
        <v>47</v>
      </c>
      <c r="F39" s="57" t="s">
        <v>177</v>
      </c>
      <c r="G39" s="57" t="s">
        <v>178</v>
      </c>
      <c r="H39" s="57" t="s">
        <v>74</v>
      </c>
      <c r="I39" s="57" t="s">
        <v>75</v>
      </c>
      <c r="J39" s="102">
        <v>46091.63958333333</v>
      </c>
      <c r="K39" s="102">
        <v>46160.620138888888</v>
      </c>
      <c r="L39" s="103"/>
      <c r="M39" s="107" t="s">
        <v>85</v>
      </c>
      <c r="N39" s="59" t="str">
        <f>IF(ISBLANK(J39),"",IF(OR(M39="Completed",M39="Closed"),"",IF(H39="Issue",IF(I39="High",WORKDAY(J39,2,DATA!A38:A66),IF(I39="Medium",WORKDAY(J39,14,DATA!A38:A66),IF(OR(I39="Low"),WORKDAY(J39,30,DATA!A38:A66),""))),
"")
))</f>
        <v/>
      </c>
      <c r="O39" s="60" t="str">
        <f ca="1">IF(OR(ISBLANK(#REF!), M39="Completed", M39="Closed", H39&lt;&gt;"Issue"), "",
   (NETWORKDAYS.INTL(TODAY(), N39, 1, DATA!A38:A66) - 1))</f>
        <v/>
      </c>
      <c r="P39" s="61" t="str">
        <f t="shared" ca="1" si="2"/>
        <v/>
      </c>
      <c r="Q39" s="61" t="str">
        <f t="shared" ca="1" si="1"/>
        <v/>
      </c>
    </row>
    <row r="40" spans="1:17" ht="55.2" x14ac:dyDescent="0.3">
      <c r="A40" s="98">
        <v>38</v>
      </c>
      <c r="B40" s="57" t="s">
        <v>179</v>
      </c>
      <c r="C40" s="57" t="s">
        <v>70</v>
      </c>
      <c r="D40" s="57" t="s">
        <v>104</v>
      </c>
      <c r="E40" s="57" t="s">
        <v>47</v>
      </c>
      <c r="F40" s="57" t="s">
        <v>180</v>
      </c>
      <c r="G40" s="57" t="s">
        <v>181</v>
      </c>
      <c r="H40" s="57" t="s">
        <v>74</v>
      </c>
      <c r="I40" s="57" t="s">
        <v>75</v>
      </c>
      <c r="J40" s="102">
        <v>46091.647916666669</v>
      </c>
      <c r="K40" s="103"/>
      <c r="L40" s="103"/>
      <c r="M40" s="107" t="s">
        <v>77</v>
      </c>
      <c r="N40" s="59">
        <f>IF(ISBLANK(J40),"",IF(OR(M40="Completed",M40="Closed"),"",IF(H40="Issue",IF(I40="High",WORKDAY(J40,2,DATA!A39:A67),IF(I40="Medium",WORKDAY(J40,14,DATA!A39:A67),IF(OR(I40="Low"),WORKDAY(J40,30,DATA!A39:A67),""))),
"")
))</f>
        <v>46111</v>
      </c>
      <c r="O40" s="60">
        <f ca="1">IF(OR(ISBLANK(#REF!), M40="Completed", M40="Closed", H40&lt;&gt;"Issue"), "",
   (NETWORKDAYS.INTL(TODAY(), N40, 1, DATA!A39:A67) - 1))</f>
        <v>-84</v>
      </c>
      <c r="P40" s="61">
        <f t="shared" ca="1" si="2"/>
        <v>84</v>
      </c>
      <c r="Q40" s="61" t="str">
        <f t="shared" ca="1" si="1"/>
        <v>&gt;60 Days</v>
      </c>
    </row>
    <row r="41" spans="1:17" ht="69" x14ac:dyDescent="0.3">
      <c r="A41" s="98">
        <v>39</v>
      </c>
      <c r="B41" s="57" t="s">
        <v>182</v>
      </c>
      <c r="C41" s="57" t="s">
        <v>70</v>
      </c>
      <c r="D41" s="57" t="s">
        <v>183</v>
      </c>
      <c r="E41" s="57" t="s">
        <v>47</v>
      </c>
      <c r="F41" s="57" t="s">
        <v>184</v>
      </c>
      <c r="G41" s="57" t="s">
        <v>185</v>
      </c>
      <c r="H41" s="57" t="s">
        <v>74</v>
      </c>
      <c r="I41" s="57" t="s">
        <v>75</v>
      </c>
      <c r="J41" s="102">
        <v>46091.65625</v>
      </c>
      <c r="K41" s="103"/>
      <c r="L41" s="103"/>
      <c r="M41" s="107" t="s">
        <v>77</v>
      </c>
      <c r="N41" s="59">
        <f>IF(ISBLANK(J41),"",IF(OR(M41="Completed",M41="Closed"),"",IF(H41="Issue",IF(I41="High",WORKDAY(J41,2,DATA!A40:A68),IF(I41="Medium",WORKDAY(J41,14,DATA!A40:A68),IF(OR(I41="Low"),WORKDAY(J41,30,DATA!A40:A68),""))),
"")
))</f>
        <v>46111</v>
      </c>
      <c r="O41" s="60">
        <f ca="1">IF(OR(ISBLANK(#REF!), M41="Completed", M41="Closed", H41&lt;&gt;"Issue"), "",
   (NETWORKDAYS.INTL(TODAY(), N41, 1, DATA!A40:A68) - 1))</f>
        <v>-84</v>
      </c>
      <c r="P41" s="61">
        <f t="shared" ca="1" si="2"/>
        <v>84</v>
      </c>
      <c r="Q41" s="61" t="str">
        <f t="shared" ca="1" si="1"/>
        <v>&gt;60 Days</v>
      </c>
    </row>
    <row r="42" spans="1:17" ht="124.2" x14ac:dyDescent="0.3">
      <c r="A42" s="98">
        <v>40</v>
      </c>
      <c r="B42" s="57" t="s">
        <v>186</v>
      </c>
      <c r="C42" s="57" t="s">
        <v>70</v>
      </c>
      <c r="D42" s="57" t="s">
        <v>82</v>
      </c>
      <c r="E42" s="57" t="s">
        <v>47</v>
      </c>
      <c r="F42" s="57" t="s">
        <v>187</v>
      </c>
      <c r="G42" s="57" t="s">
        <v>188</v>
      </c>
      <c r="H42" s="57" t="s">
        <v>74</v>
      </c>
      <c r="I42" s="57" t="s">
        <v>75</v>
      </c>
      <c r="J42" s="102">
        <v>46091.657638888886</v>
      </c>
      <c r="K42" s="103"/>
      <c r="L42" s="103"/>
      <c r="M42" s="107" t="s">
        <v>77</v>
      </c>
      <c r="N42" s="59">
        <f>IF(ISBLANK(J42),"",IF(OR(M42="Completed",M42="Closed"),"",IF(H42="Issue",IF(I42="High",WORKDAY(J42,2,DATA!A41:A69),IF(I42="Medium",WORKDAY(J42,14,DATA!A41:A69),IF(OR(I42="Low"),WORKDAY(J42,30,DATA!A41:A69),""))),
"")
))</f>
        <v>46111</v>
      </c>
      <c r="O42" s="60">
        <f ca="1">IF(OR(ISBLANK(#REF!), M42="Completed", M42="Closed", H42&lt;&gt;"Issue"), "",
   (NETWORKDAYS.INTL(TODAY(), N42, 1, DATA!A41:A69) - 1))</f>
        <v>-84</v>
      </c>
      <c r="P42" s="61">
        <f t="shared" ca="1" si="2"/>
        <v>84</v>
      </c>
      <c r="Q42" s="61" t="str">
        <f t="shared" ca="1" si="1"/>
        <v>&gt;60 Days</v>
      </c>
    </row>
    <row r="43" spans="1:17" ht="41.4" x14ac:dyDescent="0.3">
      <c r="A43" s="98">
        <v>41</v>
      </c>
      <c r="B43" s="57" t="s">
        <v>189</v>
      </c>
      <c r="C43" s="57" t="s">
        <v>70</v>
      </c>
      <c r="D43" s="57" t="s">
        <v>104</v>
      </c>
      <c r="E43" s="57" t="s">
        <v>47</v>
      </c>
      <c r="F43" s="57" t="s">
        <v>190</v>
      </c>
      <c r="G43" s="57" t="s">
        <v>191</v>
      </c>
      <c r="H43" s="57" t="s">
        <v>74</v>
      </c>
      <c r="I43" s="57" t="s">
        <v>75</v>
      </c>
      <c r="J43" s="102">
        <v>46091.658333333333</v>
      </c>
      <c r="K43" s="102">
        <v>46203.370833333334</v>
      </c>
      <c r="L43" s="102">
        <v>46203.370833333334</v>
      </c>
      <c r="M43" s="107" t="s">
        <v>76</v>
      </c>
      <c r="N43" s="59" t="str">
        <f>IF(ISBLANK(J43),"",IF(OR(M43="Completed",M43="Closed"),"",IF(H43="Issue",IF(I43="High",WORKDAY(J43,2,DATA!A42:A70),IF(I43="Medium",WORKDAY(J43,14,DATA!A42:A70),IF(OR(I43="Low"),WORKDAY(J43,30,DATA!A42:A70),""))),
"")
))</f>
        <v/>
      </c>
      <c r="O43" s="60" t="str">
        <f ca="1">IF(OR(ISBLANK(#REF!), M43="Completed", M43="Closed", H43&lt;&gt;"Issue"), "",
   (NETWORKDAYS.INTL(TODAY(), N43, 1, DATA!A42:A70) - 1))</f>
        <v/>
      </c>
      <c r="P43" s="61" t="str">
        <f t="shared" ca="1" si="2"/>
        <v/>
      </c>
      <c r="Q43" s="61" t="str">
        <f t="shared" ca="1" si="1"/>
        <v/>
      </c>
    </row>
    <row r="44" spans="1:17" ht="41.4" x14ac:dyDescent="0.3">
      <c r="A44" s="98">
        <v>42</v>
      </c>
      <c r="B44" s="57" t="s">
        <v>192</v>
      </c>
      <c r="C44" s="57" t="s">
        <v>70</v>
      </c>
      <c r="D44" s="57" t="s">
        <v>71</v>
      </c>
      <c r="E44" s="57" t="s">
        <v>47</v>
      </c>
      <c r="F44" s="57" t="s">
        <v>193</v>
      </c>
      <c r="G44" s="57" t="s">
        <v>194</v>
      </c>
      <c r="H44" s="57" t="s">
        <v>74</v>
      </c>
      <c r="I44" s="57" t="s">
        <v>75</v>
      </c>
      <c r="J44" s="102">
        <v>46091.659722222219</v>
      </c>
      <c r="K44" s="102">
        <v>46132.633333333331</v>
      </c>
      <c r="L44" s="102">
        <v>46132.633333333331</v>
      </c>
      <c r="M44" s="107" t="s">
        <v>76</v>
      </c>
      <c r="N44" s="59" t="str">
        <f>IF(ISBLANK(J44),"",IF(OR(M44="Completed",M44="Closed"),"",IF(H44="Issue",IF(I44="High",WORKDAY(J44,2,DATA!A43:A71),IF(I44="Medium",WORKDAY(J44,14,DATA!A43:A71),IF(OR(I44="Low"),WORKDAY(J44,30,DATA!A43:A71),""))),
"")
))</f>
        <v/>
      </c>
      <c r="O44" s="60" t="str">
        <f ca="1">IF(OR(ISBLANK(#REF!), M44="Completed", M44="Closed", H44&lt;&gt;"Issue"), "",
   (NETWORKDAYS.INTL(TODAY(), N44, 1, DATA!A43:A71) - 1))</f>
        <v/>
      </c>
      <c r="P44" s="61" t="str">
        <f t="shared" ca="1" si="2"/>
        <v/>
      </c>
      <c r="Q44" s="61" t="str">
        <f t="shared" ca="1" si="1"/>
        <v/>
      </c>
    </row>
    <row r="45" spans="1:17" ht="27.6" x14ac:dyDescent="0.3">
      <c r="A45" s="98">
        <v>43</v>
      </c>
      <c r="B45" s="57" t="s">
        <v>195</v>
      </c>
      <c r="C45" s="57" t="s">
        <v>70</v>
      </c>
      <c r="D45" s="57" t="s">
        <v>183</v>
      </c>
      <c r="E45" s="57" t="s">
        <v>47</v>
      </c>
      <c r="F45" s="57" t="s">
        <v>196</v>
      </c>
      <c r="G45" s="57" t="s">
        <v>197</v>
      </c>
      <c r="H45" s="57" t="s">
        <v>74</v>
      </c>
      <c r="I45" s="57" t="s">
        <v>75</v>
      </c>
      <c r="J45" s="102">
        <v>46091.660416666666</v>
      </c>
      <c r="K45" s="103"/>
      <c r="L45" s="103"/>
      <c r="M45" s="107" t="s">
        <v>77</v>
      </c>
      <c r="N45" s="59">
        <f>IF(ISBLANK(J45),"",IF(OR(M45="Completed",M45="Closed"),"",IF(H45="Issue",IF(I45="High",WORKDAY(J45,2,DATA!A44:A72),IF(I45="Medium",WORKDAY(J45,14,DATA!A44:A72),IF(OR(I45="Low"),WORKDAY(J45,30,DATA!A44:A72),""))),
"")
))</f>
        <v>46111</v>
      </c>
      <c r="O45" s="60">
        <f ca="1">IF(OR(ISBLANK(#REF!), M45="Completed", M45="Closed", H45&lt;&gt;"Issue"), "",
   (NETWORKDAYS.INTL(TODAY(), N45, 1, DATA!A44:A72) - 1))</f>
        <v>-84</v>
      </c>
      <c r="P45" s="61">
        <f t="shared" ca="1" si="2"/>
        <v>84</v>
      </c>
      <c r="Q45" s="61" t="str">
        <f t="shared" ca="1" si="1"/>
        <v>&gt;60 Days</v>
      </c>
    </row>
    <row r="46" spans="1:17" ht="55.2" x14ac:dyDescent="0.3">
      <c r="A46" s="98">
        <v>44</v>
      </c>
      <c r="B46" s="57" t="s">
        <v>198</v>
      </c>
      <c r="C46" s="57" t="s">
        <v>70</v>
      </c>
      <c r="D46" s="57" t="s">
        <v>199</v>
      </c>
      <c r="E46" s="57" t="s">
        <v>47</v>
      </c>
      <c r="F46" s="57" t="s">
        <v>200</v>
      </c>
      <c r="G46" s="57" t="s">
        <v>201</v>
      </c>
      <c r="H46" s="57" t="s">
        <v>74</v>
      </c>
      <c r="I46" s="57" t="s">
        <v>75</v>
      </c>
      <c r="J46" s="102">
        <v>46091.661805555559</v>
      </c>
      <c r="K46" s="102">
        <v>46126.431250000001</v>
      </c>
      <c r="L46" s="102">
        <v>46159.870138888888</v>
      </c>
      <c r="M46" s="107" t="s">
        <v>76</v>
      </c>
      <c r="N46" s="59" t="str">
        <f>IF(ISBLANK(J46),"",IF(OR(M46="Completed",M46="Closed"),"",IF(H46="Issue",IF(I46="High",WORKDAY(J46,2,DATA!A45:A73),IF(I46="Medium",WORKDAY(J46,14,DATA!A45:A73),IF(OR(I46="Low"),WORKDAY(J46,30,DATA!A45:A73),""))),
"")
))</f>
        <v/>
      </c>
      <c r="O46" s="60" t="str">
        <f ca="1">IF(OR(ISBLANK(#REF!), M46="Completed", M46="Closed", H46&lt;&gt;"Issue"), "",
   (NETWORKDAYS.INTL(TODAY(), N46, 1, DATA!A45:A73) - 1))</f>
        <v/>
      </c>
      <c r="P46" s="61" t="str">
        <f t="shared" ca="1" si="2"/>
        <v/>
      </c>
      <c r="Q46" s="61" t="str">
        <f t="shared" ca="1" si="1"/>
        <v/>
      </c>
    </row>
    <row r="47" spans="1:17" ht="69" x14ac:dyDescent="0.3">
      <c r="A47" s="98">
        <v>45</v>
      </c>
      <c r="B47" s="57" t="s">
        <v>202</v>
      </c>
      <c r="C47" s="57" t="s">
        <v>70</v>
      </c>
      <c r="D47" s="57" t="s">
        <v>104</v>
      </c>
      <c r="E47" s="57" t="s">
        <v>47</v>
      </c>
      <c r="F47" s="57" t="s">
        <v>203</v>
      </c>
      <c r="G47" s="57" t="s">
        <v>204</v>
      </c>
      <c r="H47" s="57" t="s">
        <v>74</v>
      </c>
      <c r="I47" s="57" t="s">
        <v>75</v>
      </c>
      <c r="J47" s="102">
        <v>46091.662499999999</v>
      </c>
      <c r="K47" s="102">
        <v>46108.620138888888</v>
      </c>
      <c r="L47" s="102">
        <v>46159.871527777781</v>
      </c>
      <c r="M47" s="107" t="s">
        <v>76</v>
      </c>
      <c r="N47" s="59" t="str">
        <f>IF(ISBLANK(J47),"",IF(OR(M47="Completed",M47="Closed"),"",IF(H47="Issue",IF(I47="High",WORKDAY(J47,2,DATA!A46:A74),IF(I47="Medium",WORKDAY(J47,14,DATA!A46:A74),IF(OR(I47="Low"),WORKDAY(J47,30,DATA!A46:A74),""))),
"")
))</f>
        <v/>
      </c>
      <c r="O47" s="60" t="str">
        <f ca="1">IF(OR(ISBLANK(#REF!), M47="Completed", M47="Closed", H47&lt;&gt;"Issue"), "",
   (NETWORKDAYS.INTL(TODAY(), N47, 1, DATA!A46:A74) - 1))</f>
        <v/>
      </c>
      <c r="P47" s="61" t="str">
        <f t="shared" ca="1" si="2"/>
        <v/>
      </c>
      <c r="Q47" s="61" t="str">
        <f t="shared" ca="1" si="1"/>
        <v/>
      </c>
    </row>
    <row r="48" spans="1:17" ht="82.8" x14ac:dyDescent="0.3">
      <c r="A48" s="98">
        <v>46</v>
      </c>
      <c r="B48" s="57" t="s">
        <v>205</v>
      </c>
      <c r="C48" s="57" t="s">
        <v>70</v>
      </c>
      <c r="D48" s="57" t="s">
        <v>82</v>
      </c>
      <c r="E48" s="57" t="s">
        <v>47</v>
      </c>
      <c r="F48" s="57" t="s">
        <v>206</v>
      </c>
      <c r="G48" s="57" t="s">
        <v>207</v>
      </c>
      <c r="H48" s="57" t="s">
        <v>74</v>
      </c>
      <c r="I48" s="57" t="s">
        <v>75</v>
      </c>
      <c r="J48" s="102">
        <v>46091.663194444445</v>
      </c>
      <c r="K48" s="103"/>
      <c r="L48" s="103"/>
      <c r="M48" s="107" t="s">
        <v>77</v>
      </c>
      <c r="N48" s="59">
        <f>IF(ISBLANK(J48),"",IF(OR(M48="Completed",M48="Closed"),"",IF(H48="Issue",IF(I48="High",WORKDAY(J48,2,DATA!A47:A75),IF(I48="Medium",WORKDAY(J48,14,DATA!A47:A75),IF(OR(I48="Low"),WORKDAY(J48,30,DATA!A47:A75),""))),
"")
))</f>
        <v>46111</v>
      </c>
      <c r="O48" s="60">
        <f ca="1">IF(OR(ISBLANK(#REF!), M48="Completed", M48="Closed", H48&lt;&gt;"Issue"), "",
   (NETWORKDAYS.INTL(TODAY(), N48, 1, DATA!A47:A75) - 1))</f>
        <v>-84</v>
      </c>
      <c r="P48" s="61">
        <f t="shared" ca="1" si="2"/>
        <v>84</v>
      </c>
      <c r="Q48" s="61" t="str">
        <f t="shared" ca="1" si="1"/>
        <v>&gt;60 Days</v>
      </c>
    </row>
    <row r="49" spans="1:17" ht="82.8" x14ac:dyDescent="0.3">
      <c r="A49" s="98">
        <v>47</v>
      </c>
      <c r="B49" s="57" t="s">
        <v>208</v>
      </c>
      <c r="C49" s="57" t="s">
        <v>70</v>
      </c>
      <c r="D49" s="57" t="s">
        <v>104</v>
      </c>
      <c r="E49" s="57" t="s">
        <v>47</v>
      </c>
      <c r="F49" s="57" t="s">
        <v>209</v>
      </c>
      <c r="G49" s="57" t="s">
        <v>210</v>
      </c>
      <c r="H49" s="57" t="s">
        <v>74</v>
      </c>
      <c r="I49" s="57" t="s">
        <v>75</v>
      </c>
      <c r="J49" s="102">
        <v>46091.664583333331</v>
      </c>
      <c r="K49" s="103"/>
      <c r="L49" s="103"/>
      <c r="M49" s="107" t="s">
        <v>77</v>
      </c>
      <c r="N49" s="59">
        <f>IF(ISBLANK(J49),"",IF(OR(M49="Completed",M49="Closed"),"",IF(H49="Issue",IF(I49="High",WORKDAY(J49,2,DATA!A48:A76),IF(I49="Medium",WORKDAY(J49,14,DATA!A48:A76),IF(OR(I49="Low"),WORKDAY(J49,30,DATA!A48:A76),""))),
"")
))</f>
        <v>46111</v>
      </c>
      <c r="O49" s="60">
        <f ca="1">IF(OR(ISBLANK(#REF!), M49="Completed", M49="Closed", H49&lt;&gt;"Issue"), "",
   (NETWORKDAYS.INTL(TODAY(), N49, 1, DATA!A48:A76) - 1))</f>
        <v>-84</v>
      </c>
      <c r="P49" s="61">
        <f t="shared" ca="1" si="2"/>
        <v>84</v>
      </c>
      <c r="Q49" s="61" t="str">
        <f t="shared" ca="1" si="1"/>
        <v>&gt;60 Days</v>
      </c>
    </row>
    <row r="50" spans="1:17" ht="27.6" x14ac:dyDescent="0.3">
      <c r="A50" s="98">
        <v>48</v>
      </c>
      <c r="B50" s="57" t="s">
        <v>211</v>
      </c>
      <c r="C50" s="57" t="s">
        <v>70</v>
      </c>
      <c r="D50" s="57" t="s">
        <v>199</v>
      </c>
      <c r="E50" s="57" t="s">
        <v>47</v>
      </c>
      <c r="F50" s="57" t="s">
        <v>212</v>
      </c>
      <c r="G50" s="57" t="s">
        <v>213</v>
      </c>
      <c r="H50" s="57" t="s">
        <v>74</v>
      </c>
      <c r="I50" s="57" t="s">
        <v>75</v>
      </c>
      <c r="J50" s="102">
        <v>46091.665277777778</v>
      </c>
      <c r="K50" s="102">
        <v>46126.420138888891</v>
      </c>
      <c r="L50" s="102">
        <v>46159.87222222222</v>
      </c>
      <c r="M50" s="107" t="s">
        <v>76</v>
      </c>
      <c r="N50" s="59" t="str">
        <f>IF(ISBLANK(J50),"",IF(OR(M50="Completed",M50="Closed"),"",IF(H50="Issue",IF(I50="High",WORKDAY(J50,2,DATA!A49:A77),IF(I50="Medium",WORKDAY(J50,14,DATA!A49:A77),IF(OR(I50="Low"),WORKDAY(J50,30,DATA!A49:A77),""))),
"")
))</f>
        <v/>
      </c>
      <c r="O50" s="60" t="str">
        <f ca="1">IF(OR(ISBLANK(#REF!), M50="Completed", M50="Closed", H50&lt;&gt;"Issue"), "",
   (NETWORKDAYS.INTL(TODAY(), N50, 1, DATA!A49:A77) - 1))</f>
        <v/>
      </c>
      <c r="P50" s="61" t="str">
        <f t="shared" ca="1" si="2"/>
        <v/>
      </c>
      <c r="Q50" s="61" t="str">
        <f t="shared" ca="1" si="1"/>
        <v/>
      </c>
    </row>
    <row r="51" spans="1:17" ht="82.8" x14ac:dyDescent="0.3">
      <c r="A51" s="98">
        <v>49</v>
      </c>
      <c r="B51" s="57" t="s">
        <v>214</v>
      </c>
      <c r="C51" s="57" t="s">
        <v>70</v>
      </c>
      <c r="D51" s="57" t="s">
        <v>87</v>
      </c>
      <c r="E51" s="57" t="s">
        <v>47</v>
      </c>
      <c r="F51" s="57" t="s">
        <v>215</v>
      </c>
      <c r="G51" s="57" t="s">
        <v>216</v>
      </c>
      <c r="H51" s="57" t="s">
        <v>74</v>
      </c>
      <c r="I51" s="57" t="s">
        <v>75</v>
      </c>
      <c r="J51" s="102">
        <v>46091.665972222225</v>
      </c>
      <c r="K51" s="102">
        <v>46126.640277777777</v>
      </c>
      <c r="L51" s="102">
        <v>46126.642361111109</v>
      </c>
      <c r="M51" s="107" t="s">
        <v>76</v>
      </c>
      <c r="N51" s="59" t="str">
        <f>IF(ISBLANK(J51),"",IF(OR(M51="Completed",M51="Closed"),"",IF(H51="Issue",IF(I51="High",WORKDAY(J51,2,DATA!A50:A78),IF(I51="Medium",WORKDAY(J51,14,DATA!A50:A78),IF(OR(I51="Low"),WORKDAY(J51,30,DATA!A50:A78),""))),
"")
))</f>
        <v/>
      </c>
      <c r="O51" s="60" t="str">
        <f ca="1">IF(OR(ISBLANK(#REF!), M51="Completed", M51="Closed", H51&lt;&gt;"Issue"), "",
   (NETWORKDAYS.INTL(TODAY(), N51, 1, DATA!A50:A78) - 1))</f>
        <v/>
      </c>
      <c r="P51" s="61" t="str">
        <f t="shared" ca="1" si="2"/>
        <v/>
      </c>
      <c r="Q51" s="61" t="str">
        <f t="shared" ca="1" si="1"/>
        <v/>
      </c>
    </row>
    <row r="52" spans="1:17" ht="96.6" x14ac:dyDescent="0.3">
      <c r="A52" s="98">
        <v>50</v>
      </c>
      <c r="B52" s="57" t="s">
        <v>217</v>
      </c>
      <c r="C52" s="57" t="s">
        <v>70</v>
      </c>
      <c r="D52" s="57" t="s">
        <v>199</v>
      </c>
      <c r="E52" s="57" t="s">
        <v>47</v>
      </c>
      <c r="F52" s="57" t="s">
        <v>218</v>
      </c>
      <c r="G52" s="57" t="s">
        <v>219</v>
      </c>
      <c r="H52" s="57" t="s">
        <v>74</v>
      </c>
      <c r="I52" s="57" t="s">
        <v>75</v>
      </c>
      <c r="J52" s="102">
        <v>46091.666666666664</v>
      </c>
      <c r="K52" s="102">
        <v>46094.410416666666</v>
      </c>
      <c r="L52" s="102">
        <v>46094.410416666666</v>
      </c>
      <c r="M52" s="107" t="s">
        <v>76</v>
      </c>
      <c r="N52" s="59" t="str">
        <f>IF(ISBLANK(J52),"",IF(OR(M52="Completed",M52="Closed"),"",IF(H52="Issue",IF(I52="High",WORKDAY(J52,2,DATA!A51:A79),IF(I52="Medium",WORKDAY(J52,14,DATA!A51:A79),IF(OR(I52="Low"),WORKDAY(J52,30,DATA!A51:A79),""))),
"")
))</f>
        <v/>
      </c>
      <c r="O52" s="60" t="str">
        <f ca="1">IF(OR(ISBLANK(#REF!), M52="Completed", M52="Closed", H52&lt;&gt;"Issue"), "",
   (NETWORKDAYS.INTL(TODAY(), N52, 1, DATA!A51:A79) - 1))</f>
        <v/>
      </c>
      <c r="P52" s="61" t="str">
        <f t="shared" ca="1" si="2"/>
        <v/>
      </c>
      <c r="Q52" s="61" t="str">
        <f t="shared" ca="1" si="1"/>
        <v/>
      </c>
    </row>
    <row r="53" spans="1:17" ht="69" x14ac:dyDescent="0.3">
      <c r="A53" s="98">
        <v>51</v>
      </c>
      <c r="B53" s="57" t="s">
        <v>220</v>
      </c>
      <c r="C53" s="57" t="s">
        <v>70</v>
      </c>
      <c r="D53" s="57" t="s">
        <v>104</v>
      </c>
      <c r="E53" s="57" t="s">
        <v>47</v>
      </c>
      <c r="F53" s="57" t="s">
        <v>151</v>
      </c>
      <c r="G53" s="57" t="s">
        <v>221</v>
      </c>
      <c r="H53" s="57" t="s">
        <v>74</v>
      </c>
      <c r="I53" s="57" t="s">
        <v>75</v>
      </c>
      <c r="J53" s="102">
        <v>46091.666666666664</v>
      </c>
      <c r="K53" s="102">
        <v>46107.525000000001</v>
      </c>
      <c r="L53" s="102">
        <v>46159.872916666667</v>
      </c>
      <c r="M53" s="107" t="s">
        <v>76</v>
      </c>
      <c r="N53" s="59" t="str">
        <f>IF(ISBLANK(J53),"",IF(OR(M53="Completed",M53="Closed"),"",IF(H53="Issue",IF(I53="High",WORKDAY(J53,2,DATA!A52:A80),IF(I53="Medium",WORKDAY(J53,14,DATA!A52:A80),IF(OR(I53="Low"),WORKDAY(J53,30,DATA!A52:A80),""))),
"")
))</f>
        <v/>
      </c>
      <c r="O53" s="60" t="str">
        <f ca="1">IF(OR(ISBLANK(#REF!), M53="Completed", M53="Closed", H53&lt;&gt;"Issue"), "",
   (NETWORKDAYS.INTL(TODAY(), N53, 1, DATA!A52:A80) - 1))</f>
        <v/>
      </c>
      <c r="P53" s="61" t="str">
        <f t="shared" ca="1" si="2"/>
        <v/>
      </c>
      <c r="Q53" s="61" t="str">
        <f t="shared" ca="1" si="1"/>
        <v/>
      </c>
    </row>
    <row r="54" spans="1:17" ht="41.4" x14ac:dyDescent="0.3">
      <c r="A54" s="98">
        <v>52</v>
      </c>
      <c r="B54" s="57" t="s">
        <v>222</v>
      </c>
      <c r="C54" s="57" t="s">
        <v>70</v>
      </c>
      <c r="D54" s="57" t="s">
        <v>87</v>
      </c>
      <c r="E54" s="57" t="s">
        <v>47</v>
      </c>
      <c r="F54" s="57" t="s">
        <v>223</v>
      </c>
      <c r="G54" s="57" t="s">
        <v>224</v>
      </c>
      <c r="H54" s="57" t="s">
        <v>74</v>
      </c>
      <c r="I54" s="57" t="s">
        <v>75</v>
      </c>
      <c r="J54" s="102">
        <v>46091.668055555558</v>
      </c>
      <c r="K54" s="103"/>
      <c r="L54" s="103"/>
      <c r="M54" s="107" t="s">
        <v>77</v>
      </c>
      <c r="N54" s="59">
        <f>IF(ISBLANK(J54),"",IF(OR(M54="Completed",M54="Closed"),"",IF(H54="Issue",IF(I54="High",WORKDAY(J54,2,DATA!A53:A81),IF(I54="Medium",WORKDAY(J54,14,DATA!A53:A81),IF(OR(I54="Low"),WORKDAY(J54,30,DATA!A53:A81),""))),
"")
))</f>
        <v>46111</v>
      </c>
      <c r="O54" s="60">
        <f ca="1">IF(OR(ISBLANK(#REF!), M54="Completed", M54="Closed", H54&lt;&gt;"Issue"), "",
   (NETWORKDAYS.INTL(TODAY(), N54, 1, DATA!A53:A81) - 1))</f>
        <v>-84</v>
      </c>
      <c r="P54" s="61">
        <f t="shared" ca="1" si="2"/>
        <v>84</v>
      </c>
      <c r="Q54" s="61" t="str">
        <f t="shared" ca="1" si="1"/>
        <v>&gt;60 Days</v>
      </c>
    </row>
    <row r="55" spans="1:17" ht="41.4" x14ac:dyDescent="0.3">
      <c r="A55" s="98">
        <v>53</v>
      </c>
      <c r="B55" s="57" t="s">
        <v>225</v>
      </c>
      <c r="C55" s="57" t="s">
        <v>70</v>
      </c>
      <c r="D55" s="57" t="s">
        <v>135</v>
      </c>
      <c r="E55" s="57" t="s">
        <v>47</v>
      </c>
      <c r="F55" s="57" t="s">
        <v>226</v>
      </c>
      <c r="G55" s="57" t="s">
        <v>227</v>
      </c>
      <c r="H55" s="57" t="s">
        <v>74</v>
      </c>
      <c r="I55" s="57" t="s">
        <v>75</v>
      </c>
      <c r="J55" s="102">
        <v>46091.668055555558</v>
      </c>
      <c r="K55" s="102">
        <v>46108.493750000001</v>
      </c>
      <c r="L55" s="102">
        <v>46159.873611111114</v>
      </c>
      <c r="M55" s="107" t="s">
        <v>76</v>
      </c>
      <c r="N55" s="59" t="str">
        <f>IF(ISBLANK(J55),"",IF(OR(M55="Completed",M55="Closed"),"",IF(H55="Issue",IF(I55="High",WORKDAY(J55,2,DATA!A54:A82),IF(I55="Medium",WORKDAY(J55,14,DATA!A54:A82),IF(OR(I55="Low"),WORKDAY(J55,30,DATA!A54:A82),""))),
"")
))</f>
        <v/>
      </c>
      <c r="O55" s="60" t="str">
        <f ca="1">IF(OR(ISBLANK(#REF!), M55="Completed", M55="Closed", H55&lt;&gt;"Issue"), "",
   (NETWORKDAYS.INTL(TODAY(), N55, 1, DATA!A54:A82) - 1))</f>
        <v/>
      </c>
      <c r="P55" s="61" t="str">
        <f t="shared" ca="1" si="2"/>
        <v/>
      </c>
      <c r="Q55" s="61" t="str">
        <f t="shared" ca="1" si="1"/>
        <v/>
      </c>
    </row>
    <row r="56" spans="1:17" ht="41.4" x14ac:dyDescent="0.3">
      <c r="A56" s="98">
        <v>54</v>
      </c>
      <c r="B56" s="57" t="s">
        <v>228</v>
      </c>
      <c r="C56" s="57" t="s">
        <v>70</v>
      </c>
      <c r="D56" s="57" t="s">
        <v>135</v>
      </c>
      <c r="E56" s="57" t="s">
        <v>47</v>
      </c>
      <c r="F56" s="57" t="s">
        <v>229</v>
      </c>
      <c r="G56" s="57" t="s">
        <v>230</v>
      </c>
      <c r="H56" s="57" t="s">
        <v>74</v>
      </c>
      <c r="I56" s="57" t="s">
        <v>75</v>
      </c>
      <c r="J56" s="102">
        <v>46091.668749999997</v>
      </c>
      <c r="K56" s="102">
        <v>46168.593055555553</v>
      </c>
      <c r="L56" s="102">
        <v>46168.59375</v>
      </c>
      <c r="M56" s="107" t="s">
        <v>76</v>
      </c>
      <c r="N56" s="59" t="str">
        <f>IF(ISBLANK(J56),"",IF(OR(M56="Completed",M56="Closed"),"",IF(H56="Issue",IF(I56="High",WORKDAY(J56,2,DATA!A55:A83),IF(I56="Medium",WORKDAY(J56,14,DATA!A55:A83),IF(OR(I56="Low"),WORKDAY(J56,30,DATA!A55:A83),""))),
"")
))</f>
        <v/>
      </c>
      <c r="O56" s="60" t="str">
        <f ca="1">IF(OR(ISBLANK(#REF!), M56="Completed", M56="Closed", H56&lt;&gt;"Issue"), "",
   (NETWORKDAYS.INTL(TODAY(), N56, 1, DATA!A55:A83) - 1))</f>
        <v/>
      </c>
      <c r="P56" s="61" t="str">
        <f t="shared" ca="1" si="2"/>
        <v/>
      </c>
      <c r="Q56" s="61" t="str">
        <f t="shared" ca="1" si="1"/>
        <v/>
      </c>
    </row>
    <row r="57" spans="1:17" ht="41.4" x14ac:dyDescent="0.3">
      <c r="A57" s="98">
        <v>55</v>
      </c>
      <c r="B57" s="57" t="s">
        <v>231</v>
      </c>
      <c r="C57" s="57" t="s">
        <v>70</v>
      </c>
      <c r="D57" s="57" t="s">
        <v>135</v>
      </c>
      <c r="E57" s="57" t="s">
        <v>47</v>
      </c>
      <c r="F57" s="57" t="s">
        <v>232</v>
      </c>
      <c r="G57" s="57" t="s">
        <v>233</v>
      </c>
      <c r="H57" s="57" t="s">
        <v>74</v>
      </c>
      <c r="I57" s="57" t="s">
        <v>75</v>
      </c>
      <c r="J57" s="102">
        <v>46091.669444444444</v>
      </c>
      <c r="K57" s="102">
        <v>46168.426388888889</v>
      </c>
      <c r="L57" s="102">
        <v>46168.426388888889</v>
      </c>
      <c r="M57" s="107" t="s">
        <v>76</v>
      </c>
      <c r="N57" s="59" t="str">
        <f>IF(ISBLANK(J57),"",IF(OR(M57="Completed",M57="Closed"),"",IF(H57="Issue",IF(I57="High",WORKDAY(J57,2,DATA!A56:A84),IF(I57="Medium",WORKDAY(J57,14,DATA!A56:A84),IF(OR(I57="Low"),WORKDAY(J57,30,DATA!A56:A84),""))),
"")
))</f>
        <v/>
      </c>
      <c r="O57" s="60" t="str">
        <f ca="1">IF(OR(ISBLANK(#REF!), M57="Completed", M57="Closed", H57&lt;&gt;"Issue"), "",
   (NETWORKDAYS.INTL(TODAY(), N57, 1, DATA!A56:A84) - 1))</f>
        <v/>
      </c>
      <c r="P57" s="61" t="str">
        <f t="shared" ca="1" si="2"/>
        <v/>
      </c>
      <c r="Q57" s="61" t="str">
        <f t="shared" ca="1" si="1"/>
        <v/>
      </c>
    </row>
    <row r="58" spans="1:17" ht="69" x14ac:dyDescent="0.3">
      <c r="A58" s="98">
        <v>56</v>
      </c>
      <c r="B58" s="57" t="s">
        <v>234</v>
      </c>
      <c r="C58" s="57" t="s">
        <v>70</v>
      </c>
      <c r="D58" s="57" t="s">
        <v>87</v>
      </c>
      <c r="E58" s="57" t="s">
        <v>47</v>
      </c>
      <c r="F58" s="57" t="s">
        <v>235</v>
      </c>
      <c r="G58" s="57" t="s">
        <v>236</v>
      </c>
      <c r="H58" s="57" t="s">
        <v>74</v>
      </c>
      <c r="I58" s="57" t="s">
        <v>75</v>
      </c>
      <c r="J58" s="102">
        <v>46091.670138888891</v>
      </c>
      <c r="K58" s="103"/>
      <c r="L58" s="103"/>
      <c r="M58" s="107" t="s">
        <v>77</v>
      </c>
      <c r="N58" s="59">
        <f>IF(ISBLANK(J58),"",IF(OR(M58="Completed",M58="Closed"),"",IF(H58="Issue",IF(I58="High",WORKDAY(J58,2,DATA!A57:A85),IF(I58="Medium",WORKDAY(J58,14,DATA!A57:A85),IF(OR(I58="Low"),WORKDAY(J58,30,DATA!A57:A85),""))),
"")
))</f>
        <v>46111</v>
      </c>
      <c r="O58" s="60">
        <f ca="1">IF(OR(ISBLANK(#REF!), M58="Completed", M58="Closed", H58&lt;&gt;"Issue"), "",
   (NETWORKDAYS.INTL(TODAY(), N58, 1, DATA!A57:A85) - 1))</f>
        <v>-84</v>
      </c>
      <c r="P58" s="61">
        <f t="shared" ca="1" si="2"/>
        <v>84</v>
      </c>
      <c r="Q58" s="61" t="str">
        <f t="shared" ca="1" si="1"/>
        <v>&gt;60 Days</v>
      </c>
    </row>
    <row r="59" spans="1:17" ht="41.4" x14ac:dyDescent="0.3">
      <c r="A59" s="98">
        <v>57</v>
      </c>
      <c r="B59" s="57" t="s">
        <v>237</v>
      </c>
      <c r="C59" s="57" t="s">
        <v>70</v>
      </c>
      <c r="D59" s="57" t="s">
        <v>104</v>
      </c>
      <c r="E59" s="57" t="s">
        <v>47</v>
      </c>
      <c r="F59" s="57" t="s">
        <v>238</v>
      </c>
      <c r="G59" s="57" t="s">
        <v>239</v>
      </c>
      <c r="H59" s="57" t="s">
        <v>74</v>
      </c>
      <c r="I59" s="57" t="s">
        <v>75</v>
      </c>
      <c r="J59" s="102">
        <v>46091.67083333333</v>
      </c>
      <c r="K59" s="102">
        <v>46108.615277777775</v>
      </c>
      <c r="L59" s="102">
        <v>46159.874305555553</v>
      </c>
      <c r="M59" s="107" t="s">
        <v>76</v>
      </c>
      <c r="N59" s="59" t="str">
        <f>IF(ISBLANK(J59),"",IF(OR(M59="Completed",M59="Closed"),"",IF(H59="Issue",IF(I59="High",WORKDAY(J59,2,DATA!A58:A86),IF(I59="Medium",WORKDAY(J59,14,DATA!A58:A86),IF(OR(I59="Low"),WORKDAY(J59,30,DATA!A58:A86),""))),
"")
))</f>
        <v/>
      </c>
      <c r="O59" s="60" t="str">
        <f ca="1">IF(OR(ISBLANK(#REF!), M59="Completed", M59="Closed", H59&lt;&gt;"Issue"), "",
   (NETWORKDAYS.INTL(TODAY(), N59, 1, DATA!A58:A86) - 1))</f>
        <v/>
      </c>
      <c r="P59" s="61" t="str">
        <f t="shared" ca="1" si="2"/>
        <v/>
      </c>
      <c r="Q59" s="61" t="str">
        <f t="shared" ca="1" si="1"/>
        <v/>
      </c>
    </row>
    <row r="60" spans="1:17" ht="41.4" x14ac:dyDescent="0.3">
      <c r="A60" s="98">
        <v>58</v>
      </c>
      <c r="B60" s="57" t="s">
        <v>240</v>
      </c>
      <c r="C60" s="57" t="s">
        <v>70</v>
      </c>
      <c r="D60" s="57" t="s">
        <v>104</v>
      </c>
      <c r="E60" s="57" t="s">
        <v>47</v>
      </c>
      <c r="F60" s="57" t="s">
        <v>241</v>
      </c>
      <c r="G60" s="57" t="s">
        <v>242</v>
      </c>
      <c r="H60" s="57" t="s">
        <v>74</v>
      </c>
      <c r="I60" s="57" t="s">
        <v>75</v>
      </c>
      <c r="J60" s="102">
        <v>46091.671527777777</v>
      </c>
      <c r="K60" s="102">
        <v>46160.615972222222</v>
      </c>
      <c r="L60" s="103"/>
      <c r="M60" s="107" t="s">
        <v>85</v>
      </c>
      <c r="N60" s="59" t="str">
        <f>IF(ISBLANK(J60),"",IF(OR(M60="Completed",M60="Closed"),"",IF(H60="Issue",IF(I60="High",WORKDAY(J60,2,DATA!A59:A87),IF(I60="Medium",WORKDAY(J60,14,DATA!A59:A87),IF(OR(I60="Low"),WORKDAY(J60,30,DATA!A59:A87),""))),
"")
))</f>
        <v/>
      </c>
      <c r="O60" s="60" t="str">
        <f ca="1">IF(OR(ISBLANK(#REF!), M60="Completed", M60="Closed", H60&lt;&gt;"Issue"), "",
   (NETWORKDAYS.INTL(TODAY(), N60, 1, DATA!A59:A87) - 1))</f>
        <v/>
      </c>
      <c r="P60" s="61" t="str">
        <f t="shared" ca="1" si="2"/>
        <v/>
      </c>
      <c r="Q60" s="61" t="str">
        <f t="shared" ca="1" si="1"/>
        <v/>
      </c>
    </row>
    <row r="61" spans="1:17" ht="82.8" x14ac:dyDescent="0.3">
      <c r="A61" s="98">
        <v>59</v>
      </c>
      <c r="B61" s="57" t="s">
        <v>243</v>
      </c>
      <c r="C61" s="57" t="s">
        <v>70</v>
      </c>
      <c r="D61" s="57" t="s">
        <v>104</v>
      </c>
      <c r="E61" s="57" t="s">
        <v>47</v>
      </c>
      <c r="F61" s="57" t="s">
        <v>244</v>
      </c>
      <c r="G61" s="57" t="s">
        <v>245</v>
      </c>
      <c r="H61" s="57" t="s">
        <v>74</v>
      </c>
      <c r="I61" s="57" t="s">
        <v>75</v>
      </c>
      <c r="J61" s="102">
        <v>46091.67291666667</v>
      </c>
      <c r="K61" s="103"/>
      <c r="L61" s="103"/>
      <c r="M61" s="107" t="s">
        <v>77</v>
      </c>
      <c r="N61" s="59">
        <f>IF(ISBLANK(J61),"",IF(OR(M61="Completed",M61="Closed"),"",IF(H61="Issue",IF(I61="High",WORKDAY(J61,2,DATA!A60:A88),IF(I61="Medium",WORKDAY(J61,14,DATA!A60:A88),IF(OR(I61="Low"),WORKDAY(J61,30,DATA!A60:A88),""))),
"")
))</f>
        <v>46111</v>
      </c>
      <c r="O61" s="60">
        <f ca="1">IF(OR(ISBLANK(#REF!), M61="Completed", M61="Closed", H61&lt;&gt;"Issue"), "",
   (NETWORKDAYS.INTL(TODAY(), N61, 1, DATA!A60:A88) - 1))</f>
        <v>-84</v>
      </c>
      <c r="P61" s="61">
        <f t="shared" ca="1" si="2"/>
        <v>84</v>
      </c>
      <c r="Q61" s="61" t="str">
        <f t="shared" ca="1" si="1"/>
        <v>&gt;60 Days</v>
      </c>
    </row>
    <row r="62" spans="1:17" ht="27.6" x14ac:dyDescent="0.3">
      <c r="A62" s="98">
        <v>60</v>
      </c>
      <c r="B62" s="57" t="s">
        <v>246</v>
      </c>
      <c r="C62" s="57" t="s">
        <v>70</v>
      </c>
      <c r="D62" s="57" t="s">
        <v>135</v>
      </c>
      <c r="E62" s="57" t="s">
        <v>47</v>
      </c>
      <c r="F62" s="57" t="s">
        <v>247</v>
      </c>
      <c r="G62" s="57" t="s">
        <v>248</v>
      </c>
      <c r="H62" s="57" t="s">
        <v>74</v>
      </c>
      <c r="I62" s="57" t="s">
        <v>75</v>
      </c>
      <c r="J62" s="102">
        <v>46091.67291666667</v>
      </c>
      <c r="K62" s="102">
        <v>46168.381944444445</v>
      </c>
      <c r="L62" s="102">
        <v>46168.390972222223</v>
      </c>
      <c r="M62" s="107" t="s">
        <v>76</v>
      </c>
      <c r="N62" s="59" t="str">
        <f>IF(ISBLANK(J62),"",IF(OR(M62="Completed",M62="Closed"),"",IF(H62="Issue",IF(I62="High",WORKDAY(J62,2,DATA!A61:A89),IF(I62="Medium",WORKDAY(J62,14,DATA!A61:A89),IF(OR(I62="Low"),WORKDAY(J62,30,DATA!A61:A89),""))),
"")
))</f>
        <v/>
      </c>
      <c r="O62" s="60" t="str">
        <f ca="1">IF(OR(ISBLANK(#REF!), M62="Completed", M62="Closed", H62&lt;&gt;"Issue"), "",
   (NETWORKDAYS.INTL(TODAY(), N62, 1, DATA!A61:A89) - 1))</f>
        <v/>
      </c>
      <c r="P62" s="61" t="str">
        <f t="shared" ca="1" si="2"/>
        <v/>
      </c>
      <c r="Q62" s="61" t="str">
        <f t="shared" ca="1" si="1"/>
        <v/>
      </c>
    </row>
    <row r="63" spans="1:17" ht="27.6" x14ac:dyDescent="0.3">
      <c r="A63" s="98">
        <v>61</v>
      </c>
      <c r="B63" s="57" t="s">
        <v>249</v>
      </c>
      <c r="C63" s="57" t="s">
        <v>70</v>
      </c>
      <c r="D63" s="57" t="s">
        <v>135</v>
      </c>
      <c r="E63" s="57" t="s">
        <v>47</v>
      </c>
      <c r="F63" s="57" t="s">
        <v>250</v>
      </c>
      <c r="G63" s="57" t="s">
        <v>251</v>
      </c>
      <c r="H63" s="57" t="s">
        <v>74</v>
      </c>
      <c r="I63" s="57" t="s">
        <v>75</v>
      </c>
      <c r="J63" s="102">
        <v>46091.673611111109</v>
      </c>
      <c r="K63" s="102">
        <v>46115.415972222225</v>
      </c>
      <c r="L63" s="102">
        <v>46115.416666666664</v>
      </c>
      <c r="M63" s="107" t="s">
        <v>76</v>
      </c>
      <c r="N63" s="59" t="str">
        <f>IF(ISBLANK(J63),"",IF(OR(M63="Completed",M63="Closed"),"",IF(H63="Issue",IF(I63="High",WORKDAY(J63,2,DATA!A62:A90),IF(I63="Medium",WORKDAY(J63,14,DATA!A62:A90),IF(OR(I63="Low"),WORKDAY(J63,30,DATA!A62:A90),""))),
"")
))</f>
        <v/>
      </c>
      <c r="O63" s="60" t="str">
        <f ca="1">IF(OR(ISBLANK(#REF!), M63="Completed", M63="Closed", H63&lt;&gt;"Issue"), "",
   (NETWORKDAYS.INTL(TODAY(), N63, 1, DATA!A62:A90) - 1))</f>
        <v/>
      </c>
      <c r="P63" s="61" t="str">
        <f t="shared" ca="1" si="2"/>
        <v/>
      </c>
      <c r="Q63" s="61" t="str">
        <f t="shared" ca="1" si="1"/>
        <v/>
      </c>
    </row>
    <row r="64" spans="1:17" ht="69" x14ac:dyDescent="0.3">
      <c r="A64" s="98">
        <v>62</v>
      </c>
      <c r="B64" s="57" t="s">
        <v>252</v>
      </c>
      <c r="C64" s="57" t="s">
        <v>70</v>
      </c>
      <c r="D64" s="57" t="s">
        <v>135</v>
      </c>
      <c r="E64" s="57" t="s">
        <v>47</v>
      </c>
      <c r="F64" s="57" t="s">
        <v>174</v>
      </c>
      <c r="G64" s="57" t="s">
        <v>253</v>
      </c>
      <c r="H64" s="57" t="s">
        <v>74</v>
      </c>
      <c r="I64" s="57" t="s">
        <v>75</v>
      </c>
      <c r="J64" s="102">
        <v>46091.681250000001</v>
      </c>
      <c r="K64" s="102">
        <v>46167.388888888891</v>
      </c>
      <c r="L64" s="102">
        <v>46167.38958333333</v>
      </c>
      <c r="M64" s="107" t="s">
        <v>76</v>
      </c>
      <c r="N64" s="59" t="str">
        <f>IF(ISBLANK(J64),"",IF(OR(M64="Completed",M64="Closed"),"",IF(H64="Issue",IF(I64="High",WORKDAY(J64,2,DATA!A63:A91),IF(I64="Medium",WORKDAY(J64,14,DATA!A63:A91),IF(OR(I64="Low"),WORKDAY(J64,30,DATA!A63:A91),""))),
"")
))</f>
        <v/>
      </c>
      <c r="O64" s="60" t="str">
        <f ca="1">IF(OR(ISBLANK(#REF!), M64="Completed", M64="Closed", H64&lt;&gt;"Issue"), "",
   (NETWORKDAYS.INTL(TODAY(), N64, 1, DATA!A63:A91) - 1))</f>
        <v/>
      </c>
      <c r="P64" s="61" t="str">
        <f t="shared" ca="1" si="2"/>
        <v/>
      </c>
      <c r="Q64" s="61" t="str">
        <f t="shared" ca="1" si="1"/>
        <v/>
      </c>
    </row>
    <row r="65" spans="1:17" ht="41.4" x14ac:dyDescent="0.3">
      <c r="A65" s="98">
        <v>63</v>
      </c>
      <c r="B65" s="57" t="s">
        <v>254</v>
      </c>
      <c r="C65" s="57" t="s">
        <v>70</v>
      </c>
      <c r="D65" s="57" t="s">
        <v>87</v>
      </c>
      <c r="E65" s="57" t="s">
        <v>47</v>
      </c>
      <c r="F65" s="57" t="s">
        <v>255</v>
      </c>
      <c r="G65" s="57" t="s">
        <v>256</v>
      </c>
      <c r="H65" s="57" t="s">
        <v>74</v>
      </c>
      <c r="I65" s="57" t="s">
        <v>75</v>
      </c>
      <c r="J65" s="102">
        <v>46093.592361111114</v>
      </c>
      <c r="K65" s="103"/>
      <c r="L65" s="103"/>
      <c r="M65" s="107" t="s">
        <v>77</v>
      </c>
      <c r="N65" s="59">
        <f>IF(ISBLANK(J65),"",IF(OR(M65="Completed",M65="Closed"),"",IF(H65="Issue",IF(I65="High",WORKDAY(J65,2,DATA!A64:A92),IF(I65="Medium",WORKDAY(J65,14,DATA!A64:A92),IF(OR(I65="Low"),WORKDAY(J65,30,DATA!A64:A92),""))),
"")
))</f>
        <v>46113</v>
      </c>
      <c r="O65" s="60">
        <f ca="1">IF(OR(ISBLANK(#REF!), M65="Completed", M65="Closed", H65&lt;&gt;"Issue"), "",
   (NETWORKDAYS.INTL(TODAY(), N65, 1, DATA!A64:A92) - 1))</f>
        <v>-82</v>
      </c>
      <c r="P65" s="61">
        <f t="shared" ca="1" si="2"/>
        <v>82</v>
      </c>
      <c r="Q65" s="61" t="str">
        <f t="shared" ca="1" si="1"/>
        <v>&gt;60 Days</v>
      </c>
    </row>
    <row r="66" spans="1:17" ht="55.2" x14ac:dyDescent="0.3">
      <c r="A66" s="98">
        <v>64</v>
      </c>
      <c r="B66" s="57" t="s">
        <v>257</v>
      </c>
      <c r="C66" s="57" t="s">
        <v>70</v>
      </c>
      <c r="D66" s="57" t="s">
        <v>104</v>
      </c>
      <c r="E66" s="57" t="s">
        <v>47</v>
      </c>
      <c r="F66" s="57" t="s">
        <v>258</v>
      </c>
      <c r="G66" s="57" t="s">
        <v>259</v>
      </c>
      <c r="H66" s="57" t="s">
        <v>74</v>
      </c>
      <c r="I66" s="57" t="s">
        <v>75</v>
      </c>
      <c r="J66" s="102">
        <v>46094.395138888889</v>
      </c>
      <c r="K66" s="102">
        <v>46108.435416666667</v>
      </c>
      <c r="L66" s="102">
        <v>46159.876388888886</v>
      </c>
      <c r="M66" s="107" t="s">
        <v>76</v>
      </c>
      <c r="N66" s="59" t="str">
        <f>IF(ISBLANK(J66),"",IF(OR(M66="Completed",M66="Closed"),"",IF(H66="Issue",IF(I66="High",WORKDAY(J66,2,DATA!A65:A93),IF(I66="Medium",WORKDAY(J66,14,DATA!A65:A93),IF(OR(I66="Low"),WORKDAY(J66,30,DATA!A65:A93),""))),
"")
))</f>
        <v/>
      </c>
      <c r="O66" s="60" t="str">
        <f ca="1">IF(OR(ISBLANK(#REF!), M66="Completed", M66="Closed", H66&lt;&gt;"Issue"), "",
   (NETWORKDAYS.INTL(TODAY(), N66, 1, DATA!A65:A93) - 1))</f>
        <v/>
      </c>
      <c r="P66" s="61" t="str">
        <f t="shared" ca="1" si="2"/>
        <v/>
      </c>
      <c r="Q66" s="61" t="str">
        <f t="shared" ca="1" si="1"/>
        <v/>
      </c>
    </row>
    <row r="67" spans="1:17" ht="41.4" x14ac:dyDescent="0.3">
      <c r="A67" s="98">
        <v>65</v>
      </c>
      <c r="B67" s="57" t="s">
        <v>260</v>
      </c>
      <c r="C67" s="57" t="s">
        <v>70</v>
      </c>
      <c r="D67" s="57" t="s">
        <v>135</v>
      </c>
      <c r="E67" s="57" t="s">
        <v>47</v>
      </c>
      <c r="F67" s="57" t="s">
        <v>261</v>
      </c>
      <c r="G67" s="57" t="s">
        <v>262</v>
      </c>
      <c r="H67" s="57" t="s">
        <v>74</v>
      </c>
      <c r="I67" s="57" t="s">
        <v>75</v>
      </c>
      <c r="J67" s="102">
        <v>46095.618055555555</v>
      </c>
      <c r="K67" s="102">
        <v>46183.474999999999</v>
      </c>
      <c r="L67" s="102">
        <v>46183.475694444445</v>
      </c>
      <c r="M67" s="107" t="s">
        <v>76</v>
      </c>
      <c r="N67" s="59" t="str">
        <f>IF(ISBLANK(J67),"",IF(OR(M67="Completed",M67="Closed"),"",IF(H67="Issue",IF(I67="High",WORKDAY(J67,2,DATA!A66:A94),IF(I67="Medium",WORKDAY(J67,14,DATA!A66:A94),IF(OR(I67="Low"),WORKDAY(J67,30,DATA!A66:A94),""))),
"")
))</f>
        <v/>
      </c>
      <c r="O67" s="60" t="str">
        <f ca="1">IF(OR(ISBLANK(#REF!), M67="Completed", M67="Closed", H67&lt;&gt;"Issue"), "",
   (NETWORKDAYS.INTL(TODAY(), N67, 1, DATA!A66:A94) - 1))</f>
        <v/>
      </c>
      <c r="P67" s="61" t="str">
        <f t="shared" ca="1" si="2"/>
        <v/>
      </c>
      <c r="Q67" s="61" t="str">
        <f t="shared" ca="1" si="1"/>
        <v/>
      </c>
    </row>
    <row r="68" spans="1:17" ht="27.6" x14ac:dyDescent="0.3">
      <c r="A68" s="98">
        <v>66</v>
      </c>
      <c r="B68" s="57" t="s">
        <v>263</v>
      </c>
      <c r="C68" s="57" t="s">
        <v>70</v>
      </c>
      <c r="D68" s="57" t="s">
        <v>104</v>
      </c>
      <c r="E68" s="57" t="s">
        <v>47</v>
      </c>
      <c r="F68" s="57" t="s">
        <v>264</v>
      </c>
      <c r="G68" s="57" t="s">
        <v>265</v>
      </c>
      <c r="H68" s="57" t="s">
        <v>74</v>
      </c>
      <c r="I68" s="57" t="s">
        <v>75</v>
      </c>
      <c r="J68" s="102">
        <v>46098.51458333333</v>
      </c>
      <c r="K68" s="102">
        <v>46108.447916666664</v>
      </c>
      <c r="L68" s="102">
        <v>46159.87777777778</v>
      </c>
      <c r="M68" s="107" t="s">
        <v>76</v>
      </c>
      <c r="N68" s="59" t="str">
        <f>IF(ISBLANK(J68),"",IF(OR(M68="Completed",M68="Closed"),"",IF(H68="Issue",IF(I68="High",WORKDAY(J68,2,DATA!A67:A95),IF(I68="Medium",WORKDAY(J68,14,DATA!A67:A95),IF(OR(I68="Low"),WORKDAY(J68,30,DATA!A67:A95),""))),
"")
))</f>
        <v/>
      </c>
      <c r="O68" s="60" t="str">
        <f ca="1">IF(OR(ISBLANK(#REF!), M68="Completed", M68="Closed", H68&lt;&gt;"Issue"), "",
   (NETWORKDAYS.INTL(TODAY(), N68, 1, DATA!A67:A95) - 1))</f>
        <v/>
      </c>
      <c r="P68" s="61" t="str">
        <f t="shared" ca="1" si="2"/>
        <v/>
      </c>
      <c r="Q68" s="61" t="str">
        <f t="shared" ref="Q68:Q131" ca="1" si="3">IF(P68="","",
IF(P68&lt;=0,"Not Due",
IF(P68&lt;=30,"1-30 Days",
IF(P68&lt;=60,"31-60 Days",
"&gt;60 Days"))))</f>
        <v/>
      </c>
    </row>
    <row r="69" spans="1:17" ht="41.4" x14ac:dyDescent="0.3">
      <c r="A69" s="98">
        <v>67</v>
      </c>
      <c r="B69" s="57" t="s">
        <v>266</v>
      </c>
      <c r="C69" s="57" t="s">
        <v>70</v>
      </c>
      <c r="D69" s="57" t="s">
        <v>104</v>
      </c>
      <c r="E69" s="57" t="s">
        <v>47</v>
      </c>
      <c r="F69" s="57" t="s">
        <v>267</v>
      </c>
      <c r="G69" s="57" t="s">
        <v>268</v>
      </c>
      <c r="H69" s="57" t="s">
        <v>74</v>
      </c>
      <c r="I69" s="57" t="s">
        <v>75</v>
      </c>
      <c r="J69" s="102">
        <v>46098.581250000003</v>
      </c>
      <c r="K69" s="103"/>
      <c r="L69" s="103"/>
      <c r="M69" s="107" t="s">
        <v>77</v>
      </c>
      <c r="N69" s="59">
        <f>IF(ISBLANK(J69),"",IF(OR(M69="Completed",M69="Closed"),"",IF(H69="Issue",IF(I69="High",WORKDAY(J69,2,DATA!A68:A96),IF(I69="Medium",WORKDAY(J69,14,DATA!A68:A96),IF(OR(I69="Low"),WORKDAY(J69,30,DATA!A68:A96),""))),
"")
))</f>
        <v>46118</v>
      </c>
      <c r="O69" s="60">
        <f ca="1">IF(OR(ISBLANK(#REF!), M69="Completed", M69="Closed", H69&lt;&gt;"Issue"), "",
   (NETWORKDAYS.INTL(TODAY(), N69, 1, DATA!A68:A96) - 1))</f>
        <v>-79</v>
      </c>
      <c r="P69" s="61">
        <f t="shared" ca="1" si="2"/>
        <v>79</v>
      </c>
      <c r="Q69" s="61" t="str">
        <f t="shared" ca="1" si="3"/>
        <v>&gt;60 Days</v>
      </c>
    </row>
    <row r="70" spans="1:17" ht="41.4" x14ac:dyDescent="0.3">
      <c r="A70" s="98">
        <v>68</v>
      </c>
      <c r="B70" s="57" t="s">
        <v>269</v>
      </c>
      <c r="C70" s="57" t="s">
        <v>70</v>
      </c>
      <c r="D70" s="57" t="s">
        <v>82</v>
      </c>
      <c r="E70" s="57" t="s">
        <v>47</v>
      </c>
      <c r="F70" s="57" t="s">
        <v>270</v>
      </c>
      <c r="G70" s="57" t="s">
        <v>271</v>
      </c>
      <c r="H70" s="57" t="s">
        <v>74</v>
      </c>
      <c r="I70" s="57" t="s">
        <v>75</v>
      </c>
      <c r="J70" s="102">
        <v>46099.480555555558</v>
      </c>
      <c r="K70" s="102">
        <v>46162.376388888886</v>
      </c>
      <c r="L70" s="102">
        <v>46162.377083333333</v>
      </c>
      <c r="M70" s="107" t="s">
        <v>76</v>
      </c>
      <c r="N70" s="59" t="str">
        <f>IF(ISBLANK(J70),"",IF(OR(M70="Completed",M70="Closed"),"",IF(H70="Issue",IF(I70="High",WORKDAY(J70,2,DATA!A69:A97),IF(I70="Medium",WORKDAY(J70,14,DATA!A69:A97),IF(OR(I70="Low"),WORKDAY(J70,30,DATA!A69:A97),""))),
"")
))</f>
        <v/>
      </c>
      <c r="O70" s="60" t="str">
        <f ca="1">IF(OR(ISBLANK(#REF!), M70="Completed", M70="Closed", H70&lt;&gt;"Issue"), "",
   (NETWORKDAYS.INTL(TODAY(), N70, 1, DATA!A69:A97) - 1))</f>
        <v/>
      </c>
      <c r="P70" s="61" t="str">
        <f t="shared" ca="1" si="2"/>
        <v/>
      </c>
      <c r="Q70" s="61" t="str">
        <f t="shared" ca="1" si="3"/>
        <v/>
      </c>
    </row>
    <row r="71" spans="1:17" ht="55.2" x14ac:dyDescent="0.3">
      <c r="A71" s="98">
        <v>69</v>
      </c>
      <c r="B71" s="57" t="s">
        <v>272</v>
      </c>
      <c r="C71" s="57" t="s">
        <v>70</v>
      </c>
      <c r="D71" s="57" t="s">
        <v>199</v>
      </c>
      <c r="E71" s="57" t="s">
        <v>47</v>
      </c>
      <c r="F71" s="57" t="s">
        <v>273</v>
      </c>
      <c r="G71" s="57" t="s">
        <v>274</v>
      </c>
      <c r="H71" s="57" t="s">
        <v>74</v>
      </c>
      <c r="I71" s="57" t="s">
        <v>75</v>
      </c>
      <c r="J71" s="102">
        <v>46118.674305555556</v>
      </c>
      <c r="K71" s="102">
        <v>46126.468055555553</v>
      </c>
      <c r="L71" s="102">
        <v>46159.9375</v>
      </c>
      <c r="M71" s="107" t="s">
        <v>76</v>
      </c>
      <c r="N71" s="59" t="str">
        <f>IF(ISBLANK(J71),"",IF(OR(M71="Completed",M71="Closed"),"",IF(H71="Issue",IF(I71="High",WORKDAY(J71,2,DATA!A70:A98),IF(I71="Medium",WORKDAY(J71,14,DATA!A70:A98),IF(OR(I71="Low"),WORKDAY(J71,30,DATA!A70:A98),""))),
"")
))</f>
        <v/>
      </c>
      <c r="O71" s="60" t="str">
        <f ca="1">IF(OR(ISBLANK(#REF!), M71="Completed", M71="Closed", H71&lt;&gt;"Issue"), "",
   (NETWORKDAYS.INTL(TODAY(), N71, 1, DATA!A70:A98) - 1))</f>
        <v/>
      </c>
      <c r="P71" s="61" t="str">
        <f t="shared" ca="1" si="2"/>
        <v/>
      </c>
      <c r="Q71" s="61" t="str">
        <f t="shared" ca="1" si="3"/>
        <v/>
      </c>
    </row>
    <row r="72" spans="1:17" ht="41.4" x14ac:dyDescent="0.3">
      <c r="A72" s="98">
        <v>70</v>
      </c>
      <c r="B72" s="57" t="s">
        <v>275</v>
      </c>
      <c r="C72" s="57" t="s">
        <v>70</v>
      </c>
      <c r="D72" s="57" t="s">
        <v>199</v>
      </c>
      <c r="E72" s="57" t="s">
        <v>47</v>
      </c>
      <c r="F72" s="57" t="s">
        <v>276</v>
      </c>
      <c r="G72" s="57" t="s">
        <v>277</v>
      </c>
      <c r="H72" s="57" t="s">
        <v>74</v>
      </c>
      <c r="I72" s="57" t="s">
        <v>75</v>
      </c>
      <c r="J72" s="102">
        <v>46118.677777777775</v>
      </c>
      <c r="K72" s="102">
        <v>46126.447916666664</v>
      </c>
      <c r="L72" s="102">
        <v>46126.64166666667</v>
      </c>
      <c r="M72" s="107" t="s">
        <v>76</v>
      </c>
      <c r="N72" s="59" t="str">
        <f>IF(ISBLANK(J72),"",IF(OR(M72="Completed",M72="Closed"),"",IF(H72="Issue",IF(I72="High",WORKDAY(J72,2,DATA!A71:A99),IF(I72="Medium",WORKDAY(J72,14,DATA!A71:A99),IF(OR(I72="Low"),WORKDAY(J72,30,DATA!A71:A99),""))),
"")
))</f>
        <v/>
      </c>
      <c r="O72" s="60" t="str">
        <f ca="1">IF(OR(ISBLANK(#REF!), M72="Completed", M72="Closed", H72&lt;&gt;"Issue"), "",
   (NETWORKDAYS.INTL(TODAY(), N72, 1, DATA!A71:A99) - 1))</f>
        <v/>
      </c>
      <c r="P72" s="61" t="str">
        <f t="shared" ca="1" si="2"/>
        <v/>
      </c>
      <c r="Q72" s="61" t="str">
        <f t="shared" ca="1" si="3"/>
        <v/>
      </c>
    </row>
    <row r="73" spans="1:17" ht="96.6" x14ac:dyDescent="0.3">
      <c r="A73" s="98">
        <v>71</v>
      </c>
      <c r="B73" s="57" t="s">
        <v>278</v>
      </c>
      <c r="C73" s="57" t="s">
        <v>70</v>
      </c>
      <c r="D73" s="57" t="s">
        <v>87</v>
      </c>
      <c r="E73" s="57" t="s">
        <v>47</v>
      </c>
      <c r="F73" s="57" t="s">
        <v>279</v>
      </c>
      <c r="G73" s="57" t="s">
        <v>280</v>
      </c>
      <c r="H73" s="57" t="s">
        <v>74</v>
      </c>
      <c r="I73" s="57" t="s">
        <v>75</v>
      </c>
      <c r="J73" s="102">
        <v>46120.695833333331</v>
      </c>
      <c r="K73" s="102">
        <v>46164.696527777778</v>
      </c>
      <c r="L73" s="103"/>
      <c r="M73" s="107" t="s">
        <v>85</v>
      </c>
      <c r="N73" s="59" t="str">
        <f>IF(ISBLANK(J73),"",IF(OR(M73="Completed",M73="Closed"),"",IF(H73="Issue",IF(I73="High",WORKDAY(J73,2,DATA!A72:A100),IF(I73="Medium",WORKDAY(J73,14,DATA!A72:A100),IF(OR(I73="Low"),WORKDAY(J73,30,DATA!A72:A100),""))),
"")
))</f>
        <v/>
      </c>
      <c r="O73" s="60" t="str">
        <f ca="1">IF(OR(ISBLANK(#REF!), M73="Completed", M73="Closed", H73&lt;&gt;"Issue"), "",
   (NETWORKDAYS.INTL(TODAY(), N73, 1, DATA!A72:A100) - 1))</f>
        <v/>
      </c>
      <c r="P73" s="61" t="str">
        <f t="shared" ca="1" si="2"/>
        <v/>
      </c>
      <c r="Q73" s="61" t="str">
        <f t="shared" ca="1" si="3"/>
        <v/>
      </c>
    </row>
    <row r="74" spans="1:17" ht="41.4" x14ac:dyDescent="0.3">
      <c r="A74" s="98">
        <v>72</v>
      </c>
      <c r="B74" s="57" t="s">
        <v>281</v>
      </c>
      <c r="C74" s="57" t="s">
        <v>70</v>
      </c>
      <c r="D74" s="57" t="s">
        <v>104</v>
      </c>
      <c r="E74" s="57" t="s">
        <v>47</v>
      </c>
      <c r="F74" s="57" t="s">
        <v>282</v>
      </c>
      <c r="G74" s="57" t="s">
        <v>283</v>
      </c>
      <c r="H74" s="57" t="s">
        <v>74</v>
      </c>
      <c r="I74" s="57" t="s">
        <v>75</v>
      </c>
      <c r="J74" s="102">
        <v>46120.697222222225</v>
      </c>
      <c r="K74" s="102">
        <v>46196.406944444447</v>
      </c>
      <c r="L74" s="102">
        <v>46210.669444444444</v>
      </c>
      <c r="M74" s="107" t="s">
        <v>76</v>
      </c>
      <c r="N74" s="59" t="str">
        <f>IF(ISBLANK(J74),"",IF(OR(M74="Completed",M74="Closed"),"",IF(H74="Issue",IF(I74="High",WORKDAY(J74,2,DATA!A73:A101),IF(I74="Medium",WORKDAY(J74,14,DATA!A73:A101),IF(OR(I74="Low"),WORKDAY(J74,30,DATA!A73:A101),""))),
"")
))</f>
        <v/>
      </c>
      <c r="O74" s="60" t="str">
        <f ca="1">IF(OR(ISBLANK(#REF!), M74="Completed", M74="Closed", H74&lt;&gt;"Issue"), "",
   (NETWORKDAYS.INTL(TODAY(), N74, 1, DATA!A73:A101) - 1))</f>
        <v/>
      </c>
      <c r="P74" s="61" t="str">
        <f t="shared" ca="1" si="2"/>
        <v/>
      </c>
      <c r="Q74" s="61" t="str">
        <f t="shared" ca="1" si="3"/>
        <v/>
      </c>
    </row>
    <row r="75" spans="1:17" ht="41.4" x14ac:dyDescent="0.3">
      <c r="A75" s="98">
        <v>73</v>
      </c>
      <c r="B75" s="57" t="s">
        <v>284</v>
      </c>
      <c r="C75" s="57" t="s">
        <v>70</v>
      </c>
      <c r="D75" s="57" t="s">
        <v>104</v>
      </c>
      <c r="E75" s="57" t="s">
        <v>47</v>
      </c>
      <c r="F75" s="57" t="s">
        <v>285</v>
      </c>
      <c r="G75" s="57" t="s">
        <v>286</v>
      </c>
      <c r="H75" s="57" t="s">
        <v>74</v>
      </c>
      <c r="I75" s="57" t="s">
        <v>75</v>
      </c>
      <c r="J75" s="102">
        <v>46120.71597222222</v>
      </c>
      <c r="K75" s="102">
        <v>46128.688888888886</v>
      </c>
      <c r="L75" s="102">
        <v>46134.609027777777</v>
      </c>
      <c r="M75" s="107" t="s">
        <v>76</v>
      </c>
      <c r="N75" s="59" t="str">
        <f>IF(ISBLANK(J75),"",IF(OR(M75="Completed",M75="Closed"),"",IF(H75="Issue",IF(I75="High",WORKDAY(J75,2,DATA!A74:A102),IF(I75="Medium",WORKDAY(J75,14,DATA!A74:A102),IF(OR(I75="Low"),WORKDAY(J75,30,DATA!A74:A102),""))),
"")
))</f>
        <v/>
      </c>
      <c r="O75" s="60" t="str">
        <f ca="1">IF(OR(ISBLANK(#REF!), M75="Completed", M75="Closed", H75&lt;&gt;"Issue"), "",
   (NETWORKDAYS.INTL(TODAY(), N75, 1, DATA!A74:A102) - 1))</f>
        <v/>
      </c>
      <c r="P75" s="61" t="str">
        <f t="shared" ca="1" si="2"/>
        <v/>
      </c>
      <c r="Q75" s="61" t="str">
        <f t="shared" ca="1" si="3"/>
        <v/>
      </c>
    </row>
    <row r="76" spans="1:17" ht="55.2" x14ac:dyDescent="0.3">
      <c r="A76" s="98">
        <v>74</v>
      </c>
      <c r="B76" s="57" t="s">
        <v>287</v>
      </c>
      <c r="C76" s="57" t="s">
        <v>70</v>
      </c>
      <c r="D76" s="57" t="s">
        <v>135</v>
      </c>
      <c r="E76" s="57" t="s">
        <v>47</v>
      </c>
      <c r="F76" s="57" t="s">
        <v>288</v>
      </c>
      <c r="G76" s="57" t="s">
        <v>289</v>
      </c>
      <c r="H76" s="57" t="s">
        <v>74</v>
      </c>
      <c r="I76" s="57" t="s">
        <v>75</v>
      </c>
      <c r="J76" s="102">
        <v>46125.487500000003</v>
      </c>
      <c r="K76" s="102">
        <v>46189.42083333333</v>
      </c>
      <c r="L76" s="102">
        <v>46189.421527777777</v>
      </c>
      <c r="M76" s="107" t="s">
        <v>76</v>
      </c>
      <c r="N76" s="59" t="str">
        <f>IF(ISBLANK(J76),"",IF(OR(M76="Completed",M76="Closed"),"",IF(H76="Issue",IF(I76="High",WORKDAY(J76,2,DATA!A75:A103),IF(I76="Medium",WORKDAY(J76,14,DATA!A75:A103),IF(OR(I76="Low"),WORKDAY(J76,30,DATA!A75:A103),""))),
"")
))</f>
        <v/>
      </c>
      <c r="O76" s="60" t="str">
        <f ca="1">IF(OR(ISBLANK(#REF!), M76="Completed", M76="Closed", H76&lt;&gt;"Issue"), "",
   (NETWORKDAYS.INTL(TODAY(), N76, 1, DATA!A75:A103) - 1))</f>
        <v/>
      </c>
      <c r="P76" s="61" t="str">
        <f t="shared" ca="1" si="2"/>
        <v/>
      </c>
      <c r="Q76" s="61" t="str">
        <f t="shared" ca="1" si="3"/>
        <v/>
      </c>
    </row>
    <row r="77" spans="1:17" ht="41.4" x14ac:dyDescent="0.3">
      <c r="A77" s="98">
        <v>75</v>
      </c>
      <c r="B77" s="57" t="s">
        <v>290</v>
      </c>
      <c r="C77" s="57" t="s">
        <v>70</v>
      </c>
      <c r="D77" s="57" t="s">
        <v>135</v>
      </c>
      <c r="E77" s="57" t="s">
        <v>47</v>
      </c>
      <c r="F77" s="57" t="s">
        <v>291</v>
      </c>
      <c r="G77" s="57" t="s">
        <v>292</v>
      </c>
      <c r="H77" s="57" t="s">
        <v>74</v>
      </c>
      <c r="I77" s="57" t="s">
        <v>75</v>
      </c>
      <c r="J77" s="102">
        <v>46126.424305555556</v>
      </c>
      <c r="K77" s="102">
        <v>46183.476388888892</v>
      </c>
      <c r="L77" s="102">
        <v>46183.477083333331</v>
      </c>
      <c r="M77" s="107" t="s">
        <v>76</v>
      </c>
      <c r="N77" s="59" t="str">
        <f>IF(ISBLANK(J77),"",IF(OR(M77="Completed",M77="Closed"),"",IF(H77="Issue",IF(I77="High",WORKDAY(J77,2,DATA!A76:A104),IF(I77="Medium",WORKDAY(J77,14,DATA!A76:A104),IF(OR(I77="Low"),WORKDAY(J77,30,DATA!A76:A104),""))),
"")
))</f>
        <v/>
      </c>
      <c r="O77" s="60" t="str">
        <f ca="1">IF(OR(ISBLANK(#REF!), M77="Completed", M77="Closed", H77&lt;&gt;"Issue"), "",
   (NETWORKDAYS.INTL(TODAY(), N77, 1, DATA!A76:A104) - 1))</f>
        <v/>
      </c>
      <c r="P77" s="61" t="str">
        <f t="shared" ca="1" si="2"/>
        <v/>
      </c>
      <c r="Q77" s="61" t="str">
        <f t="shared" ca="1" si="3"/>
        <v/>
      </c>
    </row>
    <row r="78" spans="1:17" ht="69" x14ac:dyDescent="0.3">
      <c r="A78" s="98">
        <v>76</v>
      </c>
      <c r="B78" s="57" t="s">
        <v>293</v>
      </c>
      <c r="C78" s="57" t="s">
        <v>70</v>
      </c>
      <c r="D78" s="57" t="s">
        <v>104</v>
      </c>
      <c r="E78" s="57" t="s">
        <v>47</v>
      </c>
      <c r="F78" s="57" t="s">
        <v>294</v>
      </c>
      <c r="G78" s="57" t="s">
        <v>295</v>
      </c>
      <c r="H78" s="57" t="s">
        <v>74</v>
      </c>
      <c r="I78" s="57" t="s">
        <v>75</v>
      </c>
      <c r="J78" s="102">
        <v>46126.48333333333</v>
      </c>
      <c r="K78" s="102">
        <v>46135.694444444445</v>
      </c>
      <c r="L78" s="103"/>
      <c r="M78" s="107" t="s">
        <v>85</v>
      </c>
      <c r="N78" s="59" t="str">
        <f>IF(ISBLANK(J78),"",IF(OR(M78="Completed",M78="Closed"),"",IF(H78="Issue",IF(I78="High",WORKDAY(J78,2,DATA!A77:A105),IF(I78="Medium",WORKDAY(J78,14,DATA!A77:A105),IF(OR(I78="Low"),WORKDAY(J78,30,DATA!A77:A105),""))),
"")
))</f>
        <v/>
      </c>
      <c r="O78" s="60" t="str">
        <f ca="1">IF(OR(ISBLANK(#REF!), M78="Completed", M78="Closed", H78&lt;&gt;"Issue"), "",
   (NETWORKDAYS.INTL(TODAY(), N78, 1, DATA!A77:A105) - 1))</f>
        <v/>
      </c>
      <c r="P78" s="61" t="str">
        <f t="shared" ca="1" si="2"/>
        <v/>
      </c>
      <c r="Q78" s="61" t="str">
        <f t="shared" ca="1" si="3"/>
        <v/>
      </c>
    </row>
    <row r="79" spans="1:17" ht="41.4" x14ac:dyDescent="0.3">
      <c r="A79" s="98">
        <v>77</v>
      </c>
      <c r="B79" s="57" t="s">
        <v>296</v>
      </c>
      <c r="C79" s="57" t="s">
        <v>70</v>
      </c>
      <c r="D79" s="57" t="s">
        <v>104</v>
      </c>
      <c r="E79" s="57" t="s">
        <v>47</v>
      </c>
      <c r="F79" s="57" t="s">
        <v>297</v>
      </c>
      <c r="G79" s="57" t="s">
        <v>298</v>
      </c>
      <c r="H79" s="57" t="s">
        <v>74</v>
      </c>
      <c r="I79" s="57" t="s">
        <v>75</v>
      </c>
      <c r="J79" s="102">
        <v>46128.691666666666</v>
      </c>
      <c r="K79" s="102">
        <v>46142.646527777775</v>
      </c>
      <c r="L79" s="102">
        <v>46159.953472222223</v>
      </c>
      <c r="M79" s="107" t="s">
        <v>76</v>
      </c>
      <c r="N79" s="59" t="str">
        <f>IF(ISBLANK(J79),"",IF(OR(M79="Completed",M79="Closed"),"",IF(H79="Issue",IF(I79="High",WORKDAY(J79,2,DATA!A78:A106),IF(I79="Medium",WORKDAY(J79,14,DATA!A78:A106),IF(OR(I79="Low"),WORKDAY(J79,30,DATA!A78:A106),""))),
"")
))</f>
        <v/>
      </c>
      <c r="O79" s="60" t="str">
        <f ca="1">IF(OR(ISBLANK(#REF!), M79="Completed", M79="Closed", H79&lt;&gt;"Issue"), "",
   (NETWORKDAYS.INTL(TODAY(), N79, 1, DATA!A78:A106) - 1))</f>
        <v/>
      </c>
      <c r="P79" s="61" t="str">
        <f t="shared" ca="1" si="2"/>
        <v/>
      </c>
      <c r="Q79" s="61" t="str">
        <f t="shared" ca="1" si="3"/>
        <v/>
      </c>
    </row>
    <row r="80" spans="1:17" ht="41.4" x14ac:dyDescent="0.3">
      <c r="A80" s="98">
        <v>78</v>
      </c>
      <c r="B80" s="57" t="s">
        <v>299</v>
      </c>
      <c r="C80" s="57" t="s">
        <v>70</v>
      </c>
      <c r="D80" s="57" t="s">
        <v>104</v>
      </c>
      <c r="E80" s="57" t="s">
        <v>47</v>
      </c>
      <c r="F80" s="57" t="s">
        <v>300</v>
      </c>
      <c r="G80" s="57" t="s">
        <v>301</v>
      </c>
      <c r="H80" s="57" t="s">
        <v>74</v>
      </c>
      <c r="I80" s="57" t="s">
        <v>75</v>
      </c>
      <c r="J80" s="102">
        <v>46128.692361111112</v>
      </c>
      <c r="K80" s="102">
        <v>46135.697916666664</v>
      </c>
      <c r="L80" s="102">
        <v>46135.698611111111</v>
      </c>
      <c r="M80" s="107" t="s">
        <v>76</v>
      </c>
      <c r="N80" s="59" t="str">
        <f>IF(ISBLANK(J80),"",IF(OR(M80="Completed",M80="Closed"),"",IF(H80="Issue",IF(I80="High",WORKDAY(J80,2,DATA!A79:A107),IF(I80="Medium",WORKDAY(J80,14,DATA!A79:A107),IF(OR(I80="Low"),WORKDAY(J80,30,DATA!A79:A107),""))),
"")
))</f>
        <v/>
      </c>
      <c r="O80" s="60" t="str">
        <f ca="1">IF(OR(ISBLANK(#REF!), M80="Completed", M80="Closed", H80&lt;&gt;"Issue"), "",
   (NETWORKDAYS.INTL(TODAY(), N80, 1, DATA!A79:A107) - 1))</f>
        <v/>
      </c>
      <c r="P80" s="61" t="str">
        <f t="shared" ref="P80:P143" ca="1" si="4">IF(O80="","",LEFT(O80,10)*(-1))</f>
        <v/>
      </c>
      <c r="Q80" s="61" t="str">
        <f t="shared" ca="1" si="3"/>
        <v/>
      </c>
    </row>
    <row r="81" spans="1:17" ht="55.2" x14ac:dyDescent="0.3">
      <c r="A81" s="98">
        <v>79</v>
      </c>
      <c r="B81" s="57" t="s">
        <v>302</v>
      </c>
      <c r="C81" s="57" t="s">
        <v>70</v>
      </c>
      <c r="D81" s="57" t="s">
        <v>104</v>
      </c>
      <c r="E81" s="57" t="s">
        <v>47</v>
      </c>
      <c r="F81" s="57" t="s">
        <v>303</v>
      </c>
      <c r="G81" s="57" t="s">
        <v>304</v>
      </c>
      <c r="H81" s="57" t="s">
        <v>74</v>
      </c>
      <c r="I81" s="57" t="s">
        <v>75</v>
      </c>
      <c r="J81" s="102">
        <v>46134.691666666666</v>
      </c>
      <c r="K81" s="102">
        <v>46142.509722222225</v>
      </c>
      <c r="L81" s="102">
        <v>46159.960416666669</v>
      </c>
      <c r="M81" s="107" t="s">
        <v>76</v>
      </c>
      <c r="N81" s="59" t="str">
        <f>IF(ISBLANK(J81),"",IF(OR(M81="Completed",M81="Closed"),"",IF(H81="Issue",IF(I81="High",WORKDAY(J81,2,DATA!A80:A108),IF(I81="Medium",WORKDAY(J81,14,DATA!A80:A108),IF(OR(I81="Low"),WORKDAY(J81,30,DATA!A80:A108),""))),
"")
))</f>
        <v/>
      </c>
      <c r="O81" s="60" t="str">
        <f ca="1">IF(OR(ISBLANK(#REF!), M81="Completed", M81="Closed", H81&lt;&gt;"Issue"), "",
   (NETWORKDAYS.INTL(TODAY(), N81, 1, DATA!A80:A108) - 1))</f>
        <v/>
      </c>
      <c r="P81" s="61" t="str">
        <f t="shared" ca="1" si="4"/>
        <v/>
      </c>
      <c r="Q81" s="61" t="str">
        <f t="shared" ca="1" si="3"/>
        <v/>
      </c>
    </row>
    <row r="82" spans="1:17" ht="41.4" x14ac:dyDescent="0.3">
      <c r="A82" s="98">
        <v>80</v>
      </c>
      <c r="B82" s="57" t="s">
        <v>305</v>
      </c>
      <c r="C82" s="57" t="s">
        <v>70</v>
      </c>
      <c r="D82" s="57" t="s">
        <v>104</v>
      </c>
      <c r="E82" s="57" t="s">
        <v>47</v>
      </c>
      <c r="F82" s="57" t="s">
        <v>151</v>
      </c>
      <c r="G82" s="57" t="s">
        <v>306</v>
      </c>
      <c r="H82" s="57" t="s">
        <v>74</v>
      </c>
      <c r="I82" s="57" t="s">
        <v>75</v>
      </c>
      <c r="J82" s="102">
        <v>46135.54791666667</v>
      </c>
      <c r="K82" s="102">
        <v>46160.664583333331</v>
      </c>
      <c r="L82" s="102">
        <v>46167.370833333334</v>
      </c>
      <c r="M82" s="107" t="s">
        <v>76</v>
      </c>
      <c r="N82" s="59" t="str">
        <f>IF(ISBLANK(J82),"",IF(OR(M82="Completed",M82="Closed"),"",IF(H82="Issue",IF(I82="High",WORKDAY(J82,2,DATA!A81:A109),IF(I82="Medium",WORKDAY(J82,14,DATA!A81:A109),IF(OR(I82="Low"),WORKDAY(J82,30,DATA!A81:A109),""))),
"")
))</f>
        <v/>
      </c>
      <c r="O82" s="60" t="str">
        <f ca="1">IF(OR(ISBLANK(#REF!), M82="Completed", M82="Closed", H82&lt;&gt;"Issue"), "",
   (NETWORKDAYS.INTL(TODAY(), N82, 1, DATA!A81:A109) - 1))</f>
        <v/>
      </c>
      <c r="P82" s="61" t="str">
        <f t="shared" ca="1" si="4"/>
        <v/>
      </c>
      <c r="Q82" s="61" t="str">
        <f t="shared" ca="1" si="3"/>
        <v/>
      </c>
    </row>
    <row r="83" spans="1:17" ht="27.6" x14ac:dyDescent="0.3">
      <c r="A83" s="98">
        <v>81</v>
      </c>
      <c r="B83" s="57" t="s">
        <v>307</v>
      </c>
      <c r="C83" s="57" t="s">
        <v>70</v>
      </c>
      <c r="D83" s="57" t="s">
        <v>110</v>
      </c>
      <c r="E83" s="57" t="s">
        <v>47</v>
      </c>
      <c r="F83" s="57" t="s">
        <v>308</v>
      </c>
      <c r="G83" s="57" t="s">
        <v>309</v>
      </c>
      <c r="H83" s="57" t="s">
        <v>74</v>
      </c>
      <c r="I83" s="57" t="s">
        <v>75</v>
      </c>
      <c r="J83" s="102">
        <v>46135.548611111109</v>
      </c>
      <c r="K83" s="102">
        <v>46135.622916666667</v>
      </c>
      <c r="L83" s="102">
        <v>46135.623611111114</v>
      </c>
      <c r="M83" s="107" t="s">
        <v>76</v>
      </c>
      <c r="N83" s="59" t="str">
        <f>IF(ISBLANK(J83),"",IF(OR(M83="Completed",M83="Closed"),"",IF(H83="Issue",IF(I83="High",WORKDAY(J83,2,DATA!A82:A110),IF(I83="Medium",WORKDAY(J83,14,DATA!A82:A110),IF(OR(I83="Low"),WORKDAY(J83,30,DATA!A82:A110),""))),
"")
))</f>
        <v/>
      </c>
      <c r="O83" s="60" t="str">
        <f ca="1">IF(OR(ISBLANK(#REF!), M83="Completed", M83="Closed", H83&lt;&gt;"Issue"), "",
   (NETWORKDAYS.INTL(TODAY(), N83, 1, DATA!A82:A110) - 1))</f>
        <v/>
      </c>
      <c r="P83" s="61" t="str">
        <f t="shared" ca="1" si="4"/>
        <v/>
      </c>
      <c r="Q83" s="61" t="str">
        <f t="shared" ca="1" si="3"/>
        <v/>
      </c>
    </row>
    <row r="84" spans="1:17" ht="41.4" x14ac:dyDescent="0.3">
      <c r="A84" s="98">
        <v>82</v>
      </c>
      <c r="B84" s="57" t="s">
        <v>310</v>
      </c>
      <c r="C84" s="57" t="s">
        <v>70</v>
      </c>
      <c r="D84" s="57" t="s">
        <v>104</v>
      </c>
      <c r="E84" s="57" t="s">
        <v>47</v>
      </c>
      <c r="F84" s="57" t="s">
        <v>311</v>
      </c>
      <c r="G84" s="57" t="s">
        <v>312</v>
      </c>
      <c r="H84" s="57" t="s">
        <v>74</v>
      </c>
      <c r="I84" s="57" t="s">
        <v>75</v>
      </c>
      <c r="J84" s="102">
        <v>46140.67083333333</v>
      </c>
      <c r="K84" s="102">
        <v>46206.628472222219</v>
      </c>
      <c r="L84" s="103"/>
      <c r="M84" s="107" t="s">
        <v>85</v>
      </c>
      <c r="N84" s="59" t="str">
        <f>IF(ISBLANK(J84),"",IF(OR(M84="Completed",M84="Closed"),"",IF(H84="Issue",IF(I84="High",WORKDAY(J84,2,DATA!A83:A111),IF(I84="Medium",WORKDAY(J84,14,DATA!A83:A111),IF(OR(I84="Low"),WORKDAY(J84,30,DATA!A83:A111),""))),
"")
))</f>
        <v/>
      </c>
      <c r="O84" s="60" t="str">
        <f ca="1">IF(OR(ISBLANK(#REF!), M84="Completed", M84="Closed", H84&lt;&gt;"Issue"), "",
   (NETWORKDAYS.INTL(TODAY(), N84, 1, DATA!A83:A111) - 1))</f>
        <v/>
      </c>
      <c r="P84" s="61" t="str">
        <f t="shared" ca="1" si="4"/>
        <v/>
      </c>
      <c r="Q84" s="61" t="str">
        <f t="shared" ca="1" si="3"/>
        <v/>
      </c>
    </row>
    <row r="85" spans="1:17" ht="27.6" x14ac:dyDescent="0.3">
      <c r="A85" s="98">
        <v>83</v>
      </c>
      <c r="B85" s="57" t="s">
        <v>313</v>
      </c>
      <c r="C85" s="57" t="s">
        <v>70</v>
      </c>
      <c r="D85" s="57" t="s">
        <v>104</v>
      </c>
      <c r="E85" s="57" t="s">
        <v>47</v>
      </c>
      <c r="F85" s="57" t="s">
        <v>314</v>
      </c>
      <c r="G85" s="57" t="s">
        <v>315</v>
      </c>
      <c r="H85" s="57" t="s">
        <v>74</v>
      </c>
      <c r="I85" s="57" t="s">
        <v>75</v>
      </c>
      <c r="J85" s="102">
        <v>46140.671527777777</v>
      </c>
      <c r="K85" s="102">
        <v>46196.461805555555</v>
      </c>
      <c r="L85" s="103"/>
      <c r="M85" s="107" t="s">
        <v>85</v>
      </c>
      <c r="N85" s="59" t="str">
        <f>IF(ISBLANK(J85),"",IF(OR(M85="Completed",M85="Closed"),"",IF(H85="Issue",IF(I85="High",WORKDAY(J85,2,DATA!A84:A112),IF(I85="Medium",WORKDAY(J85,14,DATA!A84:A112),IF(OR(I85="Low"),WORKDAY(J85,30,DATA!A84:A112),""))),
"")
))</f>
        <v/>
      </c>
      <c r="O85" s="60" t="str">
        <f ca="1">IF(OR(ISBLANK(#REF!), M85="Completed", M85="Closed", H85&lt;&gt;"Issue"), "",
   (NETWORKDAYS.INTL(TODAY(), N85, 1, DATA!A84:A112) - 1))</f>
        <v/>
      </c>
      <c r="P85" s="61" t="str">
        <f t="shared" ca="1" si="4"/>
        <v/>
      </c>
      <c r="Q85" s="61" t="str">
        <f t="shared" ca="1" si="3"/>
        <v/>
      </c>
    </row>
    <row r="86" spans="1:17" ht="55.2" x14ac:dyDescent="0.3">
      <c r="A86" s="98">
        <v>84</v>
      </c>
      <c r="B86" s="57" t="s">
        <v>316</v>
      </c>
      <c r="C86" s="57" t="s">
        <v>70</v>
      </c>
      <c r="D86" s="57" t="s">
        <v>104</v>
      </c>
      <c r="E86" s="57" t="s">
        <v>47</v>
      </c>
      <c r="F86" s="57" t="s">
        <v>317</v>
      </c>
      <c r="G86" s="57" t="s">
        <v>318</v>
      </c>
      <c r="H86" s="57" t="s">
        <v>74</v>
      </c>
      <c r="I86" s="57" t="s">
        <v>75</v>
      </c>
      <c r="J86" s="102">
        <v>46140.672222222223</v>
      </c>
      <c r="K86" s="103"/>
      <c r="L86" s="103"/>
      <c r="M86" s="107" t="s">
        <v>77</v>
      </c>
      <c r="N86" s="59">
        <f>IF(ISBLANK(J86),"",IF(OR(M86="Completed",M86="Closed"),"",IF(H86="Issue",IF(I86="High",WORKDAY(J86,2,DATA!A85:A113),IF(I86="Medium",WORKDAY(J86,14,DATA!A85:A113),IF(OR(I86="Low"),WORKDAY(J86,30,DATA!A85:A113),""))),
"")
))</f>
        <v>46160</v>
      </c>
      <c r="O86" s="60">
        <f ca="1">IF(OR(ISBLANK(#REF!), M86="Completed", M86="Closed", H86&lt;&gt;"Issue"), "",
   (NETWORKDAYS.INTL(TODAY(), N86, 1, DATA!A85:A113) - 1))</f>
        <v>-49</v>
      </c>
      <c r="P86" s="61">
        <f t="shared" ca="1" si="4"/>
        <v>49</v>
      </c>
      <c r="Q86" s="61" t="str">
        <f t="shared" ca="1" si="3"/>
        <v>31-60 Days</v>
      </c>
    </row>
    <row r="87" spans="1:17" ht="96.6" x14ac:dyDescent="0.3">
      <c r="A87" s="98">
        <v>85</v>
      </c>
      <c r="B87" s="57" t="s">
        <v>319</v>
      </c>
      <c r="C87" s="57" t="s">
        <v>70</v>
      </c>
      <c r="D87" s="57" t="s">
        <v>199</v>
      </c>
      <c r="E87" s="57" t="s">
        <v>47</v>
      </c>
      <c r="F87" s="57" t="s">
        <v>320</v>
      </c>
      <c r="G87" s="57" t="s">
        <v>321</v>
      </c>
      <c r="H87" s="57" t="s">
        <v>74</v>
      </c>
      <c r="I87" s="57" t="s">
        <v>75</v>
      </c>
      <c r="J87" s="102">
        <v>46140.674305555556</v>
      </c>
      <c r="K87" s="103"/>
      <c r="L87" s="103"/>
      <c r="M87" s="107" t="s">
        <v>77</v>
      </c>
      <c r="N87" s="59">
        <f>IF(ISBLANK(J87),"",IF(OR(M87="Completed",M87="Closed"),"",IF(H87="Issue",IF(I87="High",WORKDAY(J87,2,DATA!A86:A114),IF(I87="Medium",WORKDAY(J87,14,DATA!A86:A114),IF(OR(I87="Low"),WORKDAY(J87,30,DATA!A86:A114),""))),
"")
))</f>
        <v>46160</v>
      </c>
      <c r="O87" s="60">
        <f ca="1">IF(OR(ISBLANK(#REF!), M87="Completed", M87="Closed", H87&lt;&gt;"Issue"), "",
   (NETWORKDAYS.INTL(TODAY(), N87, 1, DATA!A86:A114) - 1))</f>
        <v>-49</v>
      </c>
      <c r="P87" s="61">
        <f t="shared" ca="1" si="4"/>
        <v>49</v>
      </c>
      <c r="Q87" s="61" t="str">
        <f t="shared" ca="1" si="3"/>
        <v>31-60 Days</v>
      </c>
    </row>
    <row r="88" spans="1:17" ht="55.2" x14ac:dyDescent="0.3">
      <c r="A88" s="98">
        <v>86</v>
      </c>
      <c r="B88" s="57" t="s">
        <v>322</v>
      </c>
      <c r="C88" s="57" t="s">
        <v>70</v>
      </c>
      <c r="D88" s="57" t="s">
        <v>104</v>
      </c>
      <c r="E88" s="57" t="s">
        <v>47</v>
      </c>
      <c r="F88" s="57" t="s">
        <v>323</v>
      </c>
      <c r="G88" s="57" t="s">
        <v>324</v>
      </c>
      <c r="H88" s="57" t="s">
        <v>74</v>
      </c>
      <c r="I88" s="57" t="s">
        <v>75</v>
      </c>
      <c r="J88" s="102">
        <v>46140.679861111108</v>
      </c>
      <c r="K88" s="102">
        <v>46168.414583333331</v>
      </c>
      <c r="L88" s="103"/>
      <c r="M88" s="107" t="s">
        <v>85</v>
      </c>
      <c r="N88" s="59" t="str">
        <f>IF(ISBLANK(J88),"",IF(OR(M88="Completed",M88="Closed"),"",IF(H88="Issue",IF(I88="High",WORKDAY(J88,2,DATA!A87:A115),IF(I88="Medium",WORKDAY(J88,14,DATA!A87:A115),IF(OR(I88="Low"),WORKDAY(J88,30,DATA!A87:A115),""))),
"")
))</f>
        <v/>
      </c>
      <c r="O88" s="60" t="str">
        <f ca="1">IF(OR(ISBLANK(#REF!), M88="Completed", M88="Closed", H88&lt;&gt;"Issue"), "",
   (NETWORKDAYS.INTL(TODAY(), N88, 1, DATA!A87:A115) - 1))</f>
        <v/>
      </c>
      <c r="P88" s="61" t="str">
        <f t="shared" ca="1" si="4"/>
        <v/>
      </c>
      <c r="Q88" s="61" t="str">
        <f t="shared" ca="1" si="3"/>
        <v/>
      </c>
    </row>
    <row r="89" spans="1:17" ht="55.2" x14ac:dyDescent="0.3">
      <c r="A89" s="98">
        <v>87</v>
      </c>
      <c r="B89" s="57" t="s">
        <v>325</v>
      </c>
      <c r="C89" s="57" t="s">
        <v>70</v>
      </c>
      <c r="D89" s="57" t="s">
        <v>71</v>
      </c>
      <c r="E89" s="57" t="s">
        <v>47</v>
      </c>
      <c r="F89" s="57" t="s">
        <v>326</v>
      </c>
      <c r="G89" s="57" t="s">
        <v>327</v>
      </c>
      <c r="H89" s="57" t="s">
        <v>74</v>
      </c>
      <c r="I89" s="57" t="s">
        <v>75</v>
      </c>
      <c r="J89" s="102">
        <v>46140.718055555553</v>
      </c>
      <c r="K89" s="103"/>
      <c r="L89" s="103"/>
      <c r="M89" s="107" t="s">
        <v>77</v>
      </c>
      <c r="N89" s="59">
        <f>IF(ISBLANK(J89),"",IF(OR(M89="Completed",M89="Closed"),"",IF(H89="Issue",IF(I89="High",WORKDAY(J89,2,DATA!A88:A116),IF(I89="Medium",WORKDAY(J89,14,DATA!A88:A116),IF(OR(I89="Low"),WORKDAY(J89,30,DATA!A88:A116),""))),
"")
))</f>
        <v>46160</v>
      </c>
      <c r="O89" s="60">
        <f ca="1">IF(OR(ISBLANK(#REF!), M89="Completed", M89="Closed", H89&lt;&gt;"Issue"), "",
   (NETWORKDAYS.INTL(TODAY(), N89, 1, DATA!A88:A116) - 1))</f>
        <v>-49</v>
      </c>
      <c r="P89" s="61">
        <f t="shared" ca="1" si="4"/>
        <v>49</v>
      </c>
      <c r="Q89" s="61" t="str">
        <f t="shared" ca="1" si="3"/>
        <v>31-60 Days</v>
      </c>
    </row>
    <row r="90" spans="1:17" ht="55.2" x14ac:dyDescent="0.3">
      <c r="A90" s="98">
        <v>88</v>
      </c>
      <c r="B90" s="57" t="s">
        <v>328</v>
      </c>
      <c r="C90" s="57" t="s">
        <v>70</v>
      </c>
      <c r="D90" s="57" t="s">
        <v>199</v>
      </c>
      <c r="E90" s="57" t="s">
        <v>47</v>
      </c>
      <c r="F90" s="57" t="s">
        <v>329</v>
      </c>
      <c r="G90" s="57" t="s">
        <v>330</v>
      </c>
      <c r="H90" s="57" t="s">
        <v>74</v>
      </c>
      <c r="I90" s="57" t="s">
        <v>75</v>
      </c>
      <c r="J90" s="102">
        <v>46148.588194444441</v>
      </c>
      <c r="K90" s="102">
        <v>46183.478472222225</v>
      </c>
      <c r="L90" s="102">
        <v>46183.478472222225</v>
      </c>
      <c r="M90" s="107" t="s">
        <v>76</v>
      </c>
      <c r="N90" s="59" t="str">
        <f>IF(ISBLANK(J90),"",IF(OR(M90="Completed",M90="Closed"),"",IF(H90="Issue",IF(I90="High",WORKDAY(J90,2,DATA!A89:A117),IF(I90="Medium",WORKDAY(J90,14,DATA!A89:A117),IF(OR(I90="Low"),WORKDAY(J90,30,DATA!A89:A117),""))),
"")
))</f>
        <v/>
      </c>
      <c r="O90" s="60" t="str">
        <f ca="1">IF(OR(ISBLANK(#REF!), M90="Completed", M90="Closed", H90&lt;&gt;"Issue"), "",
   (NETWORKDAYS.INTL(TODAY(), N90, 1, DATA!A89:A117) - 1))</f>
        <v/>
      </c>
      <c r="P90" s="61" t="str">
        <f t="shared" ca="1" si="4"/>
        <v/>
      </c>
      <c r="Q90" s="61" t="str">
        <f t="shared" ca="1" si="3"/>
        <v/>
      </c>
    </row>
    <row r="91" spans="1:17" ht="82.8" x14ac:dyDescent="0.3">
      <c r="A91" s="98">
        <v>89</v>
      </c>
      <c r="B91" s="57" t="s">
        <v>331</v>
      </c>
      <c r="C91" s="57" t="s">
        <v>70</v>
      </c>
      <c r="D91" s="57" t="s">
        <v>199</v>
      </c>
      <c r="E91" s="57" t="s">
        <v>47</v>
      </c>
      <c r="F91" s="57" t="s">
        <v>332</v>
      </c>
      <c r="G91" s="57" t="s">
        <v>333</v>
      </c>
      <c r="H91" s="57" t="s">
        <v>74</v>
      </c>
      <c r="I91" s="57" t="s">
        <v>75</v>
      </c>
      <c r="J91" s="102">
        <v>46148.590277777781</v>
      </c>
      <c r="K91" s="103"/>
      <c r="L91" s="103"/>
      <c r="M91" s="107" t="s">
        <v>77</v>
      </c>
      <c r="N91" s="59">
        <f>IF(ISBLANK(J91),"",IF(OR(M91="Completed",M91="Closed"),"",IF(H91="Issue",IF(I91="High",WORKDAY(J91,2,DATA!A90:A118),IF(I91="Medium",WORKDAY(J91,14,DATA!A90:A118),IF(OR(I91="Low"),WORKDAY(J91,30,DATA!A90:A118),""))),
"")
))</f>
        <v>46168</v>
      </c>
      <c r="O91" s="60">
        <f ca="1">IF(OR(ISBLANK(#REF!), M91="Completed", M91="Closed", H91&lt;&gt;"Issue"), "",
   (NETWORKDAYS.INTL(TODAY(), N91, 1, DATA!A90:A118) - 1))</f>
        <v>-43</v>
      </c>
      <c r="P91" s="61">
        <f t="shared" ca="1" si="4"/>
        <v>43</v>
      </c>
      <c r="Q91" s="61" t="str">
        <f t="shared" ca="1" si="3"/>
        <v>31-60 Days</v>
      </c>
    </row>
    <row r="92" spans="1:17" ht="27.6" x14ac:dyDescent="0.3">
      <c r="A92" s="98">
        <v>90</v>
      </c>
      <c r="B92" s="57" t="s">
        <v>334</v>
      </c>
      <c r="C92" s="57" t="s">
        <v>70</v>
      </c>
      <c r="D92" s="57" t="s">
        <v>104</v>
      </c>
      <c r="E92" s="57" t="s">
        <v>47</v>
      </c>
      <c r="F92" s="57" t="s">
        <v>335</v>
      </c>
      <c r="G92" s="57" t="s">
        <v>336</v>
      </c>
      <c r="H92" s="57" t="s">
        <v>74</v>
      </c>
      <c r="I92" s="57" t="s">
        <v>75</v>
      </c>
      <c r="J92" s="102">
        <v>46150.705555555556</v>
      </c>
      <c r="K92" s="102">
        <v>46196.441666666666</v>
      </c>
      <c r="L92" s="103"/>
      <c r="M92" s="107" t="s">
        <v>85</v>
      </c>
      <c r="N92" s="59" t="str">
        <f>IF(ISBLANK(J92),"",IF(OR(M92="Completed",M92="Closed"),"",IF(H92="Issue",IF(I92="High",WORKDAY(J92,2,DATA!A91:A119),IF(I92="Medium",WORKDAY(J92,14,DATA!A91:A119),IF(OR(I92="Low"),WORKDAY(J92,30,DATA!A91:A119),""))),
"")
))</f>
        <v/>
      </c>
      <c r="O92" s="60" t="str">
        <f ca="1">IF(OR(ISBLANK(#REF!), M92="Completed", M92="Closed", H92&lt;&gt;"Issue"), "",
   (NETWORKDAYS.INTL(TODAY(), N92, 1, DATA!A91:A119) - 1))</f>
        <v/>
      </c>
      <c r="P92" s="61" t="str">
        <f t="shared" ca="1" si="4"/>
        <v/>
      </c>
      <c r="Q92" s="61" t="str">
        <f t="shared" ca="1" si="3"/>
        <v/>
      </c>
    </row>
    <row r="93" spans="1:17" ht="82.8" x14ac:dyDescent="0.3">
      <c r="A93" s="98">
        <v>91</v>
      </c>
      <c r="B93" s="57" t="s">
        <v>337</v>
      </c>
      <c r="C93" s="57" t="s">
        <v>70</v>
      </c>
      <c r="D93" s="57" t="s">
        <v>87</v>
      </c>
      <c r="E93" s="57" t="s">
        <v>47</v>
      </c>
      <c r="F93" s="57" t="s">
        <v>338</v>
      </c>
      <c r="G93" s="57" t="s">
        <v>339</v>
      </c>
      <c r="H93" s="57" t="s">
        <v>74</v>
      </c>
      <c r="I93" s="57" t="s">
        <v>75</v>
      </c>
      <c r="J93" s="102">
        <v>46154.606944444444</v>
      </c>
      <c r="K93" s="102">
        <v>46164.480555555558</v>
      </c>
      <c r="L93" s="103"/>
      <c r="M93" s="107" t="s">
        <v>85</v>
      </c>
      <c r="N93" s="59" t="str">
        <f>IF(ISBLANK(J93),"",IF(OR(M93="Completed",M93="Closed"),"",IF(H93="Issue",IF(I93="High",WORKDAY(J93,2,DATA!A92:A120),IF(I93="Medium",WORKDAY(J93,14,DATA!A92:A120),IF(OR(I93="Low"),WORKDAY(J93,30,DATA!A92:A120),""))),
"")
))</f>
        <v/>
      </c>
      <c r="O93" s="60" t="str">
        <f ca="1">IF(OR(ISBLANK(#REF!), M93="Completed", M93="Closed", H93&lt;&gt;"Issue"), "",
   (NETWORKDAYS.INTL(TODAY(), N93, 1, DATA!A92:A120) - 1))</f>
        <v/>
      </c>
      <c r="P93" s="61" t="str">
        <f t="shared" ca="1" si="4"/>
        <v/>
      </c>
      <c r="Q93" s="61" t="str">
        <f t="shared" ca="1" si="3"/>
        <v/>
      </c>
    </row>
    <row r="94" spans="1:17" ht="69" x14ac:dyDescent="0.3">
      <c r="A94" s="98">
        <v>92</v>
      </c>
      <c r="B94" s="57" t="s">
        <v>340</v>
      </c>
      <c r="C94" s="57" t="s">
        <v>70</v>
      </c>
      <c r="D94" s="57" t="s">
        <v>87</v>
      </c>
      <c r="E94" s="57" t="s">
        <v>47</v>
      </c>
      <c r="F94" s="57" t="s">
        <v>341</v>
      </c>
      <c r="G94" s="57" t="s">
        <v>342</v>
      </c>
      <c r="H94" s="57" t="s">
        <v>74</v>
      </c>
      <c r="I94" s="57" t="s">
        <v>75</v>
      </c>
      <c r="J94" s="102">
        <v>46160.395833333336</v>
      </c>
      <c r="K94" s="103"/>
      <c r="L94" s="103"/>
      <c r="M94" s="107" t="s">
        <v>77</v>
      </c>
      <c r="N94" s="59">
        <f>IF(ISBLANK(J94),"",IF(OR(M94="Completed",M94="Closed"),"",IF(H94="Issue",IF(I94="High",WORKDAY(J94,2,DATA!A93:A121),IF(I94="Medium",WORKDAY(J94,14,DATA!A93:A121),IF(OR(I94="Low"),WORKDAY(J94,30,DATA!A93:A121),""))),
"")
))</f>
        <v>46178</v>
      </c>
      <c r="O94" s="60">
        <f ca="1">IF(OR(ISBLANK(#REF!), M94="Completed", M94="Closed", H94&lt;&gt;"Issue"), "",
   (NETWORKDAYS.INTL(TODAY(), N94, 1, DATA!A93:A121) - 1))</f>
        <v>-35</v>
      </c>
      <c r="P94" s="61">
        <f t="shared" ca="1" si="4"/>
        <v>35</v>
      </c>
      <c r="Q94" s="61" t="str">
        <f t="shared" ca="1" si="3"/>
        <v>31-60 Days</v>
      </c>
    </row>
    <row r="95" spans="1:17" ht="41.4" x14ac:dyDescent="0.3">
      <c r="A95" s="98">
        <v>93</v>
      </c>
      <c r="B95" s="57" t="s">
        <v>343</v>
      </c>
      <c r="C95" s="57" t="s">
        <v>70</v>
      </c>
      <c r="D95" s="57" t="s">
        <v>87</v>
      </c>
      <c r="E95" s="57" t="s">
        <v>47</v>
      </c>
      <c r="F95" s="57" t="s">
        <v>344</v>
      </c>
      <c r="G95" s="57" t="s">
        <v>345</v>
      </c>
      <c r="H95" s="57" t="s">
        <v>74</v>
      </c>
      <c r="I95" s="57" t="s">
        <v>75</v>
      </c>
      <c r="J95" s="102">
        <v>46162.338888888888</v>
      </c>
      <c r="K95" s="102">
        <v>46183.48333333333</v>
      </c>
      <c r="L95" s="102">
        <v>46183.48333333333</v>
      </c>
      <c r="M95" s="107" t="s">
        <v>76</v>
      </c>
      <c r="N95" s="59" t="str">
        <f>IF(ISBLANK(J95),"",IF(OR(M95="Completed",M95="Closed"),"",IF(H95="Issue",IF(I95="High",WORKDAY(J95,2,DATA!A94:A122),IF(I95="Medium",WORKDAY(J95,14,DATA!A94:A122),IF(OR(I95="Low"),WORKDAY(J95,30,DATA!A94:A122),""))),
"")
))</f>
        <v/>
      </c>
      <c r="O95" s="60" t="str">
        <f ca="1">IF(OR(ISBLANK(#REF!), M95="Completed", M95="Closed", H95&lt;&gt;"Issue"), "",
   (NETWORKDAYS.INTL(TODAY(), N95, 1, DATA!A94:A122) - 1))</f>
        <v/>
      </c>
      <c r="P95" s="61" t="str">
        <f t="shared" ca="1" si="4"/>
        <v/>
      </c>
      <c r="Q95" s="61" t="str">
        <f t="shared" ca="1" si="3"/>
        <v/>
      </c>
    </row>
    <row r="96" spans="1:17" ht="41.4" x14ac:dyDescent="0.3">
      <c r="A96" s="98">
        <v>94</v>
      </c>
      <c r="B96" s="57" t="s">
        <v>346</v>
      </c>
      <c r="C96" s="57" t="s">
        <v>70</v>
      </c>
      <c r="D96" s="57" t="s">
        <v>104</v>
      </c>
      <c r="E96" s="57" t="s">
        <v>47</v>
      </c>
      <c r="F96" s="57" t="s">
        <v>347</v>
      </c>
      <c r="G96" s="57" t="s">
        <v>348</v>
      </c>
      <c r="H96" s="57" t="s">
        <v>74</v>
      </c>
      <c r="I96" s="57" t="s">
        <v>75</v>
      </c>
      <c r="J96" s="102">
        <v>46162.352083333331</v>
      </c>
      <c r="K96" s="103"/>
      <c r="L96" s="103"/>
      <c r="M96" s="107" t="s">
        <v>77</v>
      </c>
      <c r="N96" s="59">
        <f>IF(ISBLANK(J96),"",IF(OR(M96="Completed",M96="Closed"),"",IF(H96="Issue",IF(I96="High",WORKDAY(J96,2,DATA!A95:A123),IF(I96="Medium",WORKDAY(J96,14,DATA!A95:A123),IF(OR(I96="Low"),WORKDAY(J96,30,DATA!A95:A123),""))),
"")
))</f>
        <v>46182</v>
      </c>
      <c r="O96" s="60">
        <f ca="1">IF(OR(ISBLANK(#REF!), M96="Completed", M96="Closed", H96&lt;&gt;"Issue"), "",
   (NETWORKDAYS.INTL(TODAY(), N96, 1, DATA!A95:A123) - 1))</f>
        <v>-33</v>
      </c>
      <c r="P96" s="61">
        <f t="shared" ca="1" si="4"/>
        <v>33</v>
      </c>
      <c r="Q96" s="61" t="str">
        <f t="shared" ca="1" si="3"/>
        <v>31-60 Days</v>
      </c>
    </row>
    <row r="97" spans="1:17" ht="41.4" x14ac:dyDescent="0.3">
      <c r="A97" s="98">
        <v>95</v>
      </c>
      <c r="B97" s="82" t="s">
        <v>1337</v>
      </c>
      <c r="C97" s="82" t="s">
        <v>70</v>
      </c>
      <c r="D97" s="82" t="s">
        <v>104</v>
      </c>
      <c r="E97" s="82" t="s">
        <v>47</v>
      </c>
      <c r="F97" s="82" t="s">
        <v>1338</v>
      </c>
      <c r="G97" s="82" t="s">
        <v>1339</v>
      </c>
      <c r="H97" s="57" t="s">
        <v>74</v>
      </c>
      <c r="I97" s="57" t="s">
        <v>75</v>
      </c>
      <c r="J97" s="102">
        <v>46167.362500000003</v>
      </c>
      <c r="K97" s="102">
        <v>46206.4375</v>
      </c>
      <c r="L97" s="103"/>
      <c r="M97" s="107" t="s">
        <v>85</v>
      </c>
      <c r="N97" s="59" t="str">
        <f>IF(ISBLANK(J97),"",IF(OR(M97="Completed",M97="Closed"),"",IF(H97="Issue",IF(I97="High",WORKDAY(J97,2,DATA!A96:A124),IF(I97="Medium",WORKDAY(J97,14,DATA!A96:A124),IF(OR(I97="Low"),WORKDAY(J97,30,DATA!A96:A124),""))),
"")
))</f>
        <v/>
      </c>
      <c r="O97" s="60" t="str">
        <f ca="1">IF(OR(ISBLANK(#REF!), M97="Completed", M97="Closed", H97&lt;&gt;"Issue"), "",
   (NETWORKDAYS.INTL(TODAY(), N97, 1, DATA!A96:A124) - 1))</f>
        <v/>
      </c>
      <c r="P97" s="61" t="str">
        <f t="shared" ca="1" si="4"/>
        <v/>
      </c>
      <c r="Q97" s="61" t="str">
        <f t="shared" ca="1" si="3"/>
        <v/>
      </c>
    </row>
    <row r="98" spans="1:17" ht="41.4" x14ac:dyDescent="0.3">
      <c r="A98" s="98">
        <v>96</v>
      </c>
      <c r="B98" s="82" t="s">
        <v>1340</v>
      </c>
      <c r="C98" s="82" t="s">
        <v>70</v>
      </c>
      <c r="D98" s="82" t="s">
        <v>104</v>
      </c>
      <c r="E98" s="82" t="s">
        <v>47</v>
      </c>
      <c r="F98" s="82" t="s">
        <v>1341</v>
      </c>
      <c r="G98" s="82" t="s">
        <v>1342</v>
      </c>
      <c r="H98" s="57" t="s">
        <v>74</v>
      </c>
      <c r="I98" s="57" t="s">
        <v>75</v>
      </c>
      <c r="J98" s="102">
        <v>46168.800694444442</v>
      </c>
      <c r="K98" s="102">
        <v>46206.46597222222</v>
      </c>
      <c r="L98" s="103"/>
      <c r="M98" s="107" t="s">
        <v>85</v>
      </c>
      <c r="N98" s="59" t="str">
        <f>IF(ISBLANK(J98),"",IF(OR(M98="Completed",M98="Closed"),"",IF(H98="Issue",IF(I98="High",WORKDAY(J98,2,DATA!A97:A125),IF(I98="Medium",WORKDAY(J98,14,DATA!A97:A125),IF(OR(I98="Low"),WORKDAY(J98,30,DATA!A97:A125),""))),
"")
))</f>
        <v/>
      </c>
      <c r="O98" s="60" t="str">
        <f ca="1">IF(OR(ISBLANK(#REF!), M98="Completed", M98="Closed", H98&lt;&gt;"Issue"), "",
   (NETWORKDAYS.INTL(TODAY(), N98, 1, DATA!A97:A125) - 1))</f>
        <v/>
      </c>
      <c r="P98" s="61" t="str">
        <f t="shared" ca="1" si="4"/>
        <v/>
      </c>
      <c r="Q98" s="61" t="str">
        <f t="shared" ca="1" si="3"/>
        <v/>
      </c>
    </row>
    <row r="99" spans="1:17" ht="82.8" x14ac:dyDescent="0.3">
      <c r="A99" s="98">
        <v>97</v>
      </c>
      <c r="B99" s="82" t="s">
        <v>1343</v>
      </c>
      <c r="C99" s="84"/>
      <c r="D99" s="82" t="s">
        <v>87</v>
      </c>
      <c r="E99" s="82" t="s">
        <v>47</v>
      </c>
      <c r="F99" s="82" t="s">
        <v>1344</v>
      </c>
      <c r="G99" s="82" t="s">
        <v>1345</v>
      </c>
      <c r="H99" s="57" t="s">
        <v>74</v>
      </c>
      <c r="I99" s="57" t="s">
        <v>75</v>
      </c>
      <c r="J99" s="102">
        <v>46178.392361111109</v>
      </c>
      <c r="K99" s="103"/>
      <c r="L99" s="103"/>
      <c r="M99" s="107" t="s">
        <v>77</v>
      </c>
      <c r="N99" s="59">
        <f>IF(ISBLANK(J99),"",IF(OR(M99="Completed",M99="Closed"),"",IF(H99="Issue",IF(I99="High",WORKDAY(J99,2,DATA!A98:A126),IF(I99="Medium",WORKDAY(J99,14,DATA!A98:A126),IF(OR(I99="Low"),WORKDAY(J99,30,DATA!A98:A126),""))),
"")
))</f>
        <v>46198</v>
      </c>
      <c r="O99" s="60">
        <f ca="1">IF(OR(ISBLANK(#REF!), M99="Completed", M99="Closed", H99&lt;&gt;"Issue"), "",
   (NETWORKDAYS.INTL(TODAY(), N99, 1, DATA!A98:A126) - 1))</f>
        <v>-21</v>
      </c>
      <c r="P99" s="61">
        <f t="shared" ca="1" si="4"/>
        <v>21</v>
      </c>
      <c r="Q99" s="61" t="str">
        <f t="shared" ca="1" si="3"/>
        <v>1-30 Days</v>
      </c>
    </row>
    <row r="100" spans="1:17" ht="96.6" x14ac:dyDescent="0.3">
      <c r="A100" s="98">
        <v>98</v>
      </c>
      <c r="B100" s="82" t="s">
        <v>1346</v>
      </c>
      <c r="C100" s="84"/>
      <c r="D100" s="82" t="s">
        <v>104</v>
      </c>
      <c r="E100" s="82" t="s">
        <v>47</v>
      </c>
      <c r="F100" s="82" t="s">
        <v>1347</v>
      </c>
      <c r="G100" s="82" t="s">
        <v>1348</v>
      </c>
      <c r="H100" s="57" t="s">
        <v>74</v>
      </c>
      <c r="I100" s="57" t="s">
        <v>75</v>
      </c>
      <c r="J100" s="102">
        <v>46178.397916666669</v>
      </c>
      <c r="K100" s="103"/>
      <c r="L100" s="103"/>
      <c r="M100" s="107" t="s">
        <v>77</v>
      </c>
      <c r="N100" s="59">
        <f>IF(ISBLANK(J100),"",IF(OR(M100="Completed",M100="Closed"),"",IF(H100="Issue",IF(I100="High",WORKDAY(J100,2,DATA!A99:A127),IF(I100="Medium",WORKDAY(J100,14,DATA!A99:A127),IF(OR(I100="Low"),WORKDAY(J100,30,DATA!A99:A127),""))),
"")
))</f>
        <v>46198</v>
      </c>
      <c r="O100" s="60">
        <f ca="1">IF(OR(ISBLANK(#REF!), M100="Completed", M100="Closed", H100&lt;&gt;"Issue"), "",
   (NETWORKDAYS.INTL(TODAY(), N100, 1, DATA!A99:A127) - 1))</f>
        <v>-21</v>
      </c>
      <c r="P100" s="61">
        <f t="shared" ca="1" si="4"/>
        <v>21</v>
      </c>
      <c r="Q100" s="61" t="str">
        <f t="shared" ca="1" si="3"/>
        <v>1-30 Days</v>
      </c>
    </row>
    <row r="101" spans="1:17" ht="69" x14ac:dyDescent="0.3">
      <c r="A101" s="98">
        <v>99</v>
      </c>
      <c r="B101" s="82" t="s">
        <v>1349</v>
      </c>
      <c r="C101" s="82" t="s">
        <v>70</v>
      </c>
      <c r="D101" s="82" t="s">
        <v>135</v>
      </c>
      <c r="E101" s="82" t="s">
        <v>47</v>
      </c>
      <c r="F101" s="82" t="s">
        <v>1350</v>
      </c>
      <c r="G101" s="82" t="s">
        <v>1351</v>
      </c>
      <c r="H101" s="57" t="s">
        <v>74</v>
      </c>
      <c r="I101" s="57" t="s">
        <v>75</v>
      </c>
      <c r="J101" s="102">
        <v>46178.400694444441</v>
      </c>
      <c r="K101" s="102">
        <v>46183.511111111111</v>
      </c>
      <c r="L101" s="102">
        <v>46189.618750000001</v>
      </c>
      <c r="M101" s="107" t="s">
        <v>76</v>
      </c>
      <c r="N101" s="59" t="str">
        <f>IF(ISBLANK(J101),"",IF(OR(M101="Completed",M101="Closed"),"",IF(H101="Issue",IF(I101="High",WORKDAY(J101,2,DATA!A100:A128),IF(I101="Medium",WORKDAY(J101,14,DATA!A100:A128),IF(OR(I101="Low"),WORKDAY(J101,30,DATA!A100:A128),""))),
"")
))</f>
        <v/>
      </c>
      <c r="O101" s="60" t="str">
        <f ca="1">IF(OR(ISBLANK(#REF!), M101="Completed", M101="Closed", H101&lt;&gt;"Issue"), "",
   (NETWORKDAYS.INTL(TODAY(), N101, 1, DATA!A100:A128) - 1))</f>
        <v/>
      </c>
      <c r="P101" s="61" t="str">
        <f t="shared" ca="1" si="4"/>
        <v/>
      </c>
      <c r="Q101" s="61" t="str">
        <f t="shared" ca="1" si="3"/>
        <v/>
      </c>
    </row>
    <row r="102" spans="1:17" ht="55.2" x14ac:dyDescent="0.3">
      <c r="A102" s="98">
        <v>100</v>
      </c>
      <c r="B102" s="82" t="s">
        <v>1352</v>
      </c>
      <c r="C102" s="84"/>
      <c r="D102" s="82" t="s">
        <v>104</v>
      </c>
      <c r="E102" s="82" t="s">
        <v>47</v>
      </c>
      <c r="F102" s="82" t="s">
        <v>1353</v>
      </c>
      <c r="G102" s="82" t="s">
        <v>1354</v>
      </c>
      <c r="H102" s="57" t="s">
        <v>74</v>
      </c>
      <c r="I102" s="57" t="s">
        <v>75</v>
      </c>
      <c r="J102" s="102">
        <v>46181.377083333333</v>
      </c>
      <c r="K102" s="103"/>
      <c r="L102" s="103"/>
      <c r="M102" s="107" t="s">
        <v>77</v>
      </c>
      <c r="N102" s="59">
        <f>IF(ISBLANK(J102),"",IF(OR(M102="Completed",M102="Closed"),"",IF(H102="Issue",IF(I102="High",WORKDAY(J102,2,DATA!A101:A129),IF(I102="Medium",WORKDAY(J102,14,DATA!A101:A129),IF(OR(I102="Low"),WORKDAY(J102,30,DATA!A101:A129),""))),
"")
))</f>
        <v>46199</v>
      </c>
      <c r="O102" s="60">
        <f ca="1">IF(OR(ISBLANK(#REF!), M102="Completed", M102="Closed", H102&lt;&gt;"Issue"), "",
   (NETWORKDAYS.INTL(TODAY(), N102, 1, DATA!A101:A129) - 1))</f>
        <v>-20</v>
      </c>
      <c r="P102" s="61">
        <f t="shared" ca="1" si="4"/>
        <v>20</v>
      </c>
      <c r="Q102" s="61" t="str">
        <f t="shared" ca="1" si="3"/>
        <v>1-30 Days</v>
      </c>
    </row>
    <row r="103" spans="1:17" ht="41.4" x14ac:dyDescent="0.3">
      <c r="A103" s="98">
        <v>101</v>
      </c>
      <c r="B103" s="82" t="s">
        <v>1355</v>
      </c>
      <c r="C103" s="84"/>
      <c r="D103" s="82" t="s">
        <v>104</v>
      </c>
      <c r="E103" s="82" t="s">
        <v>47</v>
      </c>
      <c r="F103" s="82" t="s">
        <v>1356</v>
      </c>
      <c r="G103" s="82" t="s">
        <v>1357</v>
      </c>
      <c r="H103" s="57" t="s">
        <v>74</v>
      </c>
      <c r="I103" s="57" t="s">
        <v>75</v>
      </c>
      <c r="J103" s="102">
        <v>46185.699305555558</v>
      </c>
      <c r="K103" s="103"/>
      <c r="L103" s="103"/>
      <c r="M103" s="107" t="s">
        <v>77</v>
      </c>
      <c r="N103" s="59">
        <f>IF(ISBLANK(J103),"",IF(OR(M103="Completed",M103="Closed"),"",IF(H103="Issue",IF(I103="High",WORKDAY(J103,2,DATA!A102:A130),IF(I103="Medium",WORKDAY(J103,14,DATA!A102:A130),IF(OR(I103="Low"),WORKDAY(J103,30,DATA!A102:A130),""))),
"")
))</f>
        <v>46205</v>
      </c>
      <c r="O103" s="60">
        <f ca="1">IF(OR(ISBLANK(#REF!), M103="Completed", M103="Closed", H103&lt;&gt;"Issue"), "",
   (NETWORKDAYS.INTL(TODAY(), N103, 1, DATA!A102:A130) - 1))</f>
        <v>-16</v>
      </c>
      <c r="P103" s="61">
        <f t="shared" ca="1" si="4"/>
        <v>16</v>
      </c>
      <c r="Q103" s="61" t="str">
        <f t="shared" ca="1" si="3"/>
        <v>1-30 Days</v>
      </c>
    </row>
    <row r="104" spans="1:17" ht="41.4" x14ac:dyDescent="0.3">
      <c r="A104" s="98">
        <v>102</v>
      </c>
      <c r="B104" s="82" t="s">
        <v>1358</v>
      </c>
      <c r="C104" s="84"/>
      <c r="D104" s="82" t="s">
        <v>104</v>
      </c>
      <c r="E104" s="82" t="s">
        <v>47</v>
      </c>
      <c r="F104" s="82" t="s">
        <v>1359</v>
      </c>
      <c r="G104" s="82" t="s">
        <v>1360</v>
      </c>
      <c r="H104" s="57" t="s">
        <v>74</v>
      </c>
      <c r="I104" s="57" t="s">
        <v>75</v>
      </c>
      <c r="J104" s="102">
        <v>46185.700694444444</v>
      </c>
      <c r="K104" s="103"/>
      <c r="L104" s="103"/>
      <c r="M104" s="107" t="s">
        <v>77</v>
      </c>
      <c r="N104" s="59">
        <f>IF(ISBLANK(J104),"",IF(OR(M104="Completed",M104="Closed"),"",IF(H104="Issue",IF(I104="High",WORKDAY(J104,2,DATA!A103:A131),IF(I104="Medium",WORKDAY(J104,14,DATA!A103:A131),IF(OR(I104="Low"),WORKDAY(J104,30,DATA!A103:A131),""))),
"")
))</f>
        <v>46205</v>
      </c>
      <c r="O104" s="60">
        <f ca="1">IF(OR(ISBLANK(#REF!), M104="Completed", M104="Closed", H104&lt;&gt;"Issue"), "",
   (NETWORKDAYS.INTL(TODAY(), N104, 1, DATA!A103:A131) - 1))</f>
        <v>-16</v>
      </c>
      <c r="P104" s="61">
        <f t="shared" ca="1" si="4"/>
        <v>16</v>
      </c>
      <c r="Q104" s="61" t="str">
        <f t="shared" ca="1" si="3"/>
        <v>1-30 Days</v>
      </c>
    </row>
    <row r="105" spans="1:17" ht="82.8" x14ac:dyDescent="0.3">
      <c r="A105" s="98">
        <v>103</v>
      </c>
      <c r="B105" s="82" t="s">
        <v>1361</v>
      </c>
      <c r="C105" s="84"/>
      <c r="D105" s="82" t="s">
        <v>199</v>
      </c>
      <c r="E105" s="82" t="s">
        <v>47</v>
      </c>
      <c r="F105" s="82" t="s">
        <v>1362</v>
      </c>
      <c r="G105" s="82" t="s">
        <v>1363</v>
      </c>
      <c r="H105" s="57" t="s">
        <v>74</v>
      </c>
      <c r="I105" s="57" t="s">
        <v>75</v>
      </c>
      <c r="J105" s="102">
        <v>46195.448611111111</v>
      </c>
      <c r="K105" s="103"/>
      <c r="L105" s="103"/>
      <c r="M105" s="107" t="s">
        <v>77</v>
      </c>
      <c r="N105" s="59">
        <f>IF(ISBLANK(J105),"",IF(OR(M105="Completed",M105="Closed"),"",IF(H105="Issue",IF(I105="High",WORKDAY(J105,2,DATA!A104:A132),IF(I105="Medium",WORKDAY(J105,14,DATA!A104:A132),IF(OR(I105="Low"),WORKDAY(J105,30,DATA!A104:A132),""))),
"")
))</f>
        <v>46213</v>
      </c>
      <c r="O105" s="60">
        <f ca="1">IF(OR(ISBLANK(#REF!), M105="Completed", M105="Closed", H105&lt;&gt;"Issue"), "",
   (NETWORKDAYS.INTL(TODAY(), N105, 1, DATA!A104:A132) - 1))</f>
        <v>-10</v>
      </c>
      <c r="P105" s="61">
        <f t="shared" ca="1" si="4"/>
        <v>10</v>
      </c>
      <c r="Q105" s="61" t="str">
        <f t="shared" ca="1" si="3"/>
        <v>1-30 Days</v>
      </c>
    </row>
    <row r="106" spans="1:17" ht="96.6" x14ac:dyDescent="0.3">
      <c r="A106" s="98">
        <v>104</v>
      </c>
      <c r="B106" s="82" t="s">
        <v>1364</v>
      </c>
      <c r="C106" s="84"/>
      <c r="D106" s="82" t="s">
        <v>71</v>
      </c>
      <c r="E106" s="82" t="s">
        <v>47</v>
      </c>
      <c r="F106" s="82" t="s">
        <v>1365</v>
      </c>
      <c r="G106" s="82" t="s">
        <v>1366</v>
      </c>
      <c r="H106" s="57" t="s">
        <v>74</v>
      </c>
      <c r="I106" s="57" t="s">
        <v>75</v>
      </c>
      <c r="J106" s="102">
        <v>46202.685416666667</v>
      </c>
      <c r="K106" s="103"/>
      <c r="L106" s="103"/>
      <c r="M106" s="107" t="s">
        <v>77</v>
      </c>
      <c r="N106" s="59">
        <f>IF(ISBLANK(J106),"",IF(OR(M106="Completed",M106="Closed"),"",IF(H106="Issue",IF(I106="High",WORKDAY(J106,2,DATA!A105:A133),IF(I106="Medium",WORKDAY(J106,14,DATA!A105:A133),IF(OR(I106="Low"),WORKDAY(J106,30,DATA!A105:A133),""))),
"")
))</f>
        <v>46220</v>
      </c>
      <c r="O106" s="60">
        <f ca="1">IF(OR(ISBLANK(#REF!), M106="Completed", M106="Closed", H106&lt;&gt;"Issue"), "",
   (NETWORKDAYS.INTL(TODAY(), N106, 1, DATA!A105:A133) - 1))</f>
        <v>-5</v>
      </c>
      <c r="P106" s="61">
        <f t="shared" ca="1" si="4"/>
        <v>5</v>
      </c>
      <c r="Q106" s="61" t="str">
        <f t="shared" ca="1" si="3"/>
        <v>1-30 Days</v>
      </c>
    </row>
    <row r="107" spans="1:17" x14ac:dyDescent="0.3">
      <c r="A107" s="98">
        <v>105</v>
      </c>
      <c r="J107" s="104"/>
      <c r="K107" s="104"/>
      <c r="L107" s="104"/>
      <c r="P107" s="61" t="str">
        <f t="shared" si="4"/>
        <v/>
      </c>
      <c r="Q107" s="61" t="str">
        <f t="shared" si="3"/>
        <v/>
      </c>
    </row>
    <row r="108" spans="1:17" x14ac:dyDescent="0.3">
      <c r="A108" s="98">
        <v>106</v>
      </c>
      <c r="J108" s="104"/>
      <c r="K108" s="104"/>
      <c r="L108" s="104"/>
      <c r="P108" s="61" t="str">
        <f t="shared" si="4"/>
        <v/>
      </c>
      <c r="Q108" s="61" t="str">
        <f t="shared" si="3"/>
        <v/>
      </c>
    </row>
    <row r="109" spans="1:17" x14ac:dyDescent="0.3">
      <c r="A109" s="98">
        <v>107</v>
      </c>
      <c r="J109" s="104"/>
      <c r="K109" s="104"/>
      <c r="L109" s="104"/>
      <c r="P109" s="61" t="str">
        <f t="shared" si="4"/>
        <v/>
      </c>
      <c r="Q109" s="61" t="str">
        <f t="shared" si="3"/>
        <v/>
      </c>
    </row>
    <row r="110" spans="1:17" x14ac:dyDescent="0.3">
      <c r="A110" s="98">
        <v>108</v>
      </c>
      <c r="J110" s="104"/>
      <c r="K110" s="104"/>
      <c r="L110" s="104"/>
      <c r="P110" s="61" t="str">
        <f t="shared" si="4"/>
        <v/>
      </c>
      <c r="Q110" s="61" t="str">
        <f t="shared" si="3"/>
        <v/>
      </c>
    </row>
    <row r="111" spans="1:17" x14ac:dyDescent="0.3">
      <c r="A111" s="98">
        <v>109</v>
      </c>
      <c r="J111" s="104"/>
      <c r="K111" s="104"/>
      <c r="L111" s="104"/>
      <c r="P111" s="61" t="str">
        <f t="shared" si="4"/>
        <v/>
      </c>
      <c r="Q111" s="61" t="str">
        <f t="shared" si="3"/>
        <v/>
      </c>
    </row>
    <row r="112" spans="1:17" x14ac:dyDescent="0.3">
      <c r="A112" s="98">
        <v>110</v>
      </c>
      <c r="J112" s="104"/>
      <c r="K112" s="104"/>
      <c r="L112" s="104"/>
      <c r="P112" s="61" t="str">
        <f t="shared" si="4"/>
        <v/>
      </c>
      <c r="Q112" s="61" t="str">
        <f t="shared" si="3"/>
        <v/>
      </c>
    </row>
    <row r="113" spans="1:17" x14ac:dyDescent="0.3">
      <c r="A113" s="98">
        <v>111</v>
      </c>
      <c r="J113" s="104"/>
      <c r="K113" s="104"/>
      <c r="L113" s="104"/>
      <c r="P113" s="61" t="str">
        <f t="shared" si="4"/>
        <v/>
      </c>
      <c r="Q113" s="61" t="str">
        <f t="shared" si="3"/>
        <v/>
      </c>
    </row>
    <row r="114" spans="1:17" x14ac:dyDescent="0.3">
      <c r="A114" s="98">
        <v>112</v>
      </c>
      <c r="J114" s="104"/>
      <c r="K114" s="104"/>
      <c r="L114" s="104"/>
      <c r="P114" s="61" t="str">
        <f t="shared" si="4"/>
        <v/>
      </c>
      <c r="Q114" s="61" t="str">
        <f t="shared" si="3"/>
        <v/>
      </c>
    </row>
    <row r="115" spans="1:17" x14ac:dyDescent="0.3">
      <c r="A115" s="98">
        <v>113</v>
      </c>
      <c r="J115" s="104"/>
      <c r="K115" s="104"/>
      <c r="L115" s="104"/>
      <c r="P115" s="61" t="str">
        <f t="shared" si="4"/>
        <v/>
      </c>
      <c r="Q115" s="61" t="str">
        <f t="shared" si="3"/>
        <v/>
      </c>
    </row>
    <row r="116" spans="1:17" x14ac:dyDescent="0.3">
      <c r="A116" s="98">
        <v>114</v>
      </c>
      <c r="J116" s="104"/>
      <c r="K116" s="104"/>
      <c r="L116" s="104"/>
      <c r="P116" s="61" t="str">
        <f t="shared" si="4"/>
        <v/>
      </c>
      <c r="Q116" s="61" t="str">
        <f t="shared" si="3"/>
        <v/>
      </c>
    </row>
    <row r="117" spans="1:17" x14ac:dyDescent="0.3">
      <c r="A117" s="98">
        <v>115</v>
      </c>
      <c r="J117" s="104"/>
      <c r="K117" s="104"/>
      <c r="L117" s="104"/>
      <c r="P117" s="61" t="str">
        <f t="shared" si="4"/>
        <v/>
      </c>
      <c r="Q117" s="61" t="str">
        <f t="shared" si="3"/>
        <v/>
      </c>
    </row>
    <row r="118" spans="1:17" x14ac:dyDescent="0.3">
      <c r="A118" s="98">
        <v>116</v>
      </c>
      <c r="J118" s="104"/>
      <c r="K118" s="104"/>
      <c r="L118" s="104"/>
      <c r="P118" s="61" t="str">
        <f t="shared" si="4"/>
        <v/>
      </c>
      <c r="Q118" s="61" t="str">
        <f t="shared" si="3"/>
        <v/>
      </c>
    </row>
    <row r="119" spans="1:17" x14ac:dyDescent="0.3">
      <c r="A119" s="98">
        <v>117</v>
      </c>
      <c r="J119" s="104"/>
      <c r="K119" s="104"/>
      <c r="L119" s="104"/>
      <c r="P119" s="61" t="str">
        <f t="shared" si="4"/>
        <v/>
      </c>
      <c r="Q119" s="61" t="str">
        <f t="shared" si="3"/>
        <v/>
      </c>
    </row>
    <row r="120" spans="1:17" x14ac:dyDescent="0.3">
      <c r="A120" s="98">
        <v>118</v>
      </c>
      <c r="J120" s="104"/>
      <c r="K120" s="104"/>
      <c r="L120" s="104"/>
      <c r="P120" s="61" t="str">
        <f t="shared" si="4"/>
        <v/>
      </c>
      <c r="Q120" s="61" t="str">
        <f t="shared" si="3"/>
        <v/>
      </c>
    </row>
    <row r="121" spans="1:17" x14ac:dyDescent="0.3">
      <c r="A121" s="98">
        <v>119</v>
      </c>
      <c r="J121" s="104"/>
      <c r="K121" s="104"/>
      <c r="L121" s="104"/>
      <c r="P121" s="61" t="str">
        <f t="shared" si="4"/>
        <v/>
      </c>
      <c r="Q121" s="61" t="str">
        <f t="shared" si="3"/>
        <v/>
      </c>
    </row>
    <row r="122" spans="1:17" x14ac:dyDescent="0.3">
      <c r="A122" s="98">
        <v>120</v>
      </c>
      <c r="J122" s="104"/>
      <c r="K122" s="104"/>
      <c r="L122" s="104"/>
      <c r="P122" s="61" t="str">
        <f t="shared" si="4"/>
        <v/>
      </c>
      <c r="Q122" s="61" t="str">
        <f t="shared" si="3"/>
        <v/>
      </c>
    </row>
    <row r="123" spans="1:17" x14ac:dyDescent="0.3">
      <c r="A123" s="98">
        <v>121</v>
      </c>
      <c r="J123" s="104"/>
      <c r="K123" s="104"/>
      <c r="L123" s="104"/>
      <c r="P123" s="61" t="str">
        <f t="shared" si="4"/>
        <v/>
      </c>
      <c r="Q123" s="61" t="str">
        <f t="shared" si="3"/>
        <v/>
      </c>
    </row>
    <row r="124" spans="1:17" x14ac:dyDescent="0.3">
      <c r="A124" s="98">
        <v>122</v>
      </c>
      <c r="J124" s="104"/>
      <c r="K124" s="104"/>
      <c r="L124" s="104"/>
      <c r="P124" s="61" t="str">
        <f t="shared" si="4"/>
        <v/>
      </c>
      <c r="Q124" s="61" t="str">
        <f t="shared" si="3"/>
        <v/>
      </c>
    </row>
    <row r="125" spans="1:17" x14ac:dyDescent="0.3">
      <c r="A125" s="98">
        <v>123</v>
      </c>
      <c r="J125" s="104"/>
      <c r="K125" s="104"/>
      <c r="L125" s="104"/>
      <c r="P125" s="61" t="str">
        <f t="shared" si="4"/>
        <v/>
      </c>
      <c r="Q125" s="61" t="str">
        <f t="shared" si="3"/>
        <v/>
      </c>
    </row>
    <row r="126" spans="1:17" x14ac:dyDescent="0.3">
      <c r="A126" s="98">
        <v>124</v>
      </c>
      <c r="J126" s="104"/>
      <c r="K126" s="104"/>
      <c r="L126" s="104"/>
      <c r="P126" s="61" t="str">
        <f t="shared" si="4"/>
        <v/>
      </c>
      <c r="Q126" s="61" t="str">
        <f t="shared" si="3"/>
        <v/>
      </c>
    </row>
    <row r="127" spans="1:17" x14ac:dyDescent="0.3">
      <c r="A127" s="98">
        <v>125</v>
      </c>
      <c r="J127" s="104"/>
      <c r="K127" s="104"/>
      <c r="L127" s="104"/>
      <c r="P127" s="61" t="str">
        <f t="shared" si="4"/>
        <v/>
      </c>
      <c r="Q127" s="61" t="str">
        <f t="shared" si="3"/>
        <v/>
      </c>
    </row>
    <row r="128" spans="1:17" x14ac:dyDescent="0.3">
      <c r="A128" s="98">
        <v>126</v>
      </c>
      <c r="J128" s="104"/>
      <c r="K128" s="104"/>
      <c r="L128" s="104"/>
      <c r="P128" s="61" t="str">
        <f t="shared" si="4"/>
        <v/>
      </c>
      <c r="Q128" s="61" t="str">
        <f t="shared" si="3"/>
        <v/>
      </c>
    </row>
    <row r="129" spans="1:17" x14ac:dyDescent="0.3">
      <c r="A129" s="98">
        <v>127</v>
      </c>
      <c r="J129" s="104"/>
      <c r="K129" s="104"/>
      <c r="L129" s="104"/>
      <c r="P129" s="61" t="str">
        <f t="shared" si="4"/>
        <v/>
      </c>
      <c r="Q129" s="61" t="str">
        <f t="shared" si="3"/>
        <v/>
      </c>
    </row>
    <row r="130" spans="1:17" x14ac:dyDescent="0.3">
      <c r="A130" s="98">
        <v>128</v>
      </c>
      <c r="J130" s="104"/>
      <c r="K130" s="104"/>
      <c r="L130" s="104"/>
      <c r="P130" s="61" t="str">
        <f t="shared" si="4"/>
        <v/>
      </c>
      <c r="Q130" s="61" t="str">
        <f t="shared" si="3"/>
        <v/>
      </c>
    </row>
    <row r="131" spans="1:17" x14ac:dyDescent="0.3">
      <c r="A131" s="98">
        <v>129</v>
      </c>
      <c r="J131" s="104"/>
      <c r="K131" s="104"/>
      <c r="L131" s="104"/>
      <c r="P131" s="61" t="str">
        <f t="shared" si="4"/>
        <v/>
      </c>
      <c r="Q131" s="61" t="str">
        <f t="shared" si="3"/>
        <v/>
      </c>
    </row>
    <row r="132" spans="1:17" x14ac:dyDescent="0.3">
      <c r="A132" s="98">
        <v>130</v>
      </c>
      <c r="J132" s="104"/>
      <c r="K132" s="104"/>
      <c r="L132" s="104"/>
      <c r="P132" s="61" t="str">
        <f t="shared" si="4"/>
        <v/>
      </c>
      <c r="Q132" s="61" t="str">
        <f t="shared" ref="Q132:Q195" si="5">IF(P132="","",
IF(P132&lt;=0,"Not Due",
IF(P132&lt;=30,"1-30 Days",
IF(P132&lt;=60,"31-60 Days",
"&gt;60 Days"))))</f>
        <v/>
      </c>
    </row>
    <row r="133" spans="1:17" x14ac:dyDescent="0.3">
      <c r="A133" s="98">
        <v>131</v>
      </c>
      <c r="J133" s="104"/>
      <c r="K133" s="104"/>
      <c r="L133" s="104"/>
      <c r="P133" s="61" t="str">
        <f t="shared" si="4"/>
        <v/>
      </c>
      <c r="Q133" s="61" t="str">
        <f t="shared" si="5"/>
        <v/>
      </c>
    </row>
    <row r="134" spans="1:17" x14ac:dyDescent="0.3">
      <c r="A134" s="98">
        <v>132</v>
      </c>
      <c r="J134" s="104"/>
      <c r="K134" s="104"/>
      <c r="L134" s="104"/>
      <c r="P134" s="61" t="str">
        <f t="shared" si="4"/>
        <v/>
      </c>
      <c r="Q134" s="61" t="str">
        <f t="shared" si="5"/>
        <v/>
      </c>
    </row>
    <row r="135" spans="1:17" x14ac:dyDescent="0.3">
      <c r="A135" s="98">
        <v>133</v>
      </c>
      <c r="J135" s="104"/>
      <c r="K135" s="104"/>
      <c r="L135" s="104"/>
      <c r="P135" s="61" t="str">
        <f t="shared" si="4"/>
        <v/>
      </c>
      <c r="Q135" s="61" t="str">
        <f t="shared" si="5"/>
        <v/>
      </c>
    </row>
    <row r="136" spans="1:17" x14ac:dyDescent="0.3">
      <c r="A136" s="98">
        <v>134</v>
      </c>
      <c r="J136" s="104"/>
      <c r="K136" s="104"/>
      <c r="L136" s="104"/>
      <c r="P136" s="61" t="str">
        <f t="shared" si="4"/>
        <v/>
      </c>
      <c r="Q136" s="61" t="str">
        <f t="shared" si="5"/>
        <v/>
      </c>
    </row>
    <row r="137" spans="1:17" x14ac:dyDescent="0.3">
      <c r="A137" s="98">
        <v>135</v>
      </c>
      <c r="J137" s="104"/>
      <c r="K137" s="104"/>
      <c r="L137" s="104"/>
      <c r="P137" s="61" t="str">
        <f t="shared" si="4"/>
        <v/>
      </c>
      <c r="Q137" s="61" t="str">
        <f t="shared" si="5"/>
        <v/>
      </c>
    </row>
    <row r="138" spans="1:17" x14ac:dyDescent="0.3">
      <c r="A138" s="98">
        <v>136</v>
      </c>
      <c r="J138" s="104"/>
      <c r="K138" s="104"/>
      <c r="L138" s="104"/>
      <c r="P138" s="61" t="str">
        <f t="shared" si="4"/>
        <v/>
      </c>
      <c r="Q138" s="61" t="str">
        <f t="shared" si="5"/>
        <v/>
      </c>
    </row>
    <row r="139" spans="1:17" x14ac:dyDescent="0.3">
      <c r="A139" s="98">
        <v>137</v>
      </c>
      <c r="J139" s="104"/>
      <c r="K139" s="104"/>
      <c r="L139" s="104"/>
      <c r="P139" s="61" t="str">
        <f t="shared" si="4"/>
        <v/>
      </c>
      <c r="Q139" s="61" t="str">
        <f t="shared" si="5"/>
        <v/>
      </c>
    </row>
    <row r="140" spans="1:17" x14ac:dyDescent="0.3">
      <c r="A140" s="98">
        <v>138</v>
      </c>
      <c r="J140" s="104"/>
      <c r="K140" s="104"/>
      <c r="L140" s="104"/>
      <c r="P140" s="61" t="str">
        <f t="shared" si="4"/>
        <v/>
      </c>
      <c r="Q140" s="61" t="str">
        <f t="shared" si="5"/>
        <v/>
      </c>
    </row>
    <row r="141" spans="1:17" x14ac:dyDescent="0.3">
      <c r="A141" s="98">
        <v>139</v>
      </c>
      <c r="J141" s="104"/>
      <c r="K141" s="104"/>
      <c r="L141" s="104"/>
      <c r="P141" s="61" t="str">
        <f t="shared" si="4"/>
        <v/>
      </c>
      <c r="Q141" s="61" t="str">
        <f t="shared" si="5"/>
        <v/>
      </c>
    </row>
    <row r="142" spans="1:17" x14ac:dyDescent="0.3">
      <c r="A142" s="98">
        <v>140</v>
      </c>
      <c r="J142" s="104"/>
      <c r="K142" s="104"/>
      <c r="L142" s="104"/>
      <c r="P142" s="61" t="str">
        <f t="shared" si="4"/>
        <v/>
      </c>
      <c r="Q142" s="61" t="str">
        <f t="shared" si="5"/>
        <v/>
      </c>
    </row>
    <row r="143" spans="1:17" x14ac:dyDescent="0.3">
      <c r="A143" s="98">
        <v>141</v>
      </c>
      <c r="J143" s="104"/>
      <c r="K143" s="104"/>
      <c r="L143" s="104"/>
      <c r="P143" s="61" t="str">
        <f t="shared" si="4"/>
        <v/>
      </c>
      <c r="Q143" s="61" t="str">
        <f t="shared" si="5"/>
        <v/>
      </c>
    </row>
    <row r="144" spans="1:17" x14ac:dyDescent="0.3">
      <c r="A144" s="98">
        <v>142</v>
      </c>
      <c r="J144" s="104"/>
      <c r="K144" s="104"/>
      <c r="L144" s="104"/>
      <c r="P144" s="61" t="str">
        <f t="shared" ref="P144:P207" si="6">IF(O144="","",LEFT(O144,10)*(-1))</f>
        <v/>
      </c>
      <c r="Q144" s="61" t="str">
        <f t="shared" si="5"/>
        <v/>
      </c>
    </row>
    <row r="145" spans="1:17" x14ac:dyDescent="0.3">
      <c r="A145" s="98">
        <v>143</v>
      </c>
      <c r="J145" s="104"/>
      <c r="K145" s="104"/>
      <c r="L145" s="104"/>
      <c r="P145" s="61" t="str">
        <f t="shared" si="6"/>
        <v/>
      </c>
      <c r="Q145" s="61" t="str">
        <f t="shared" si="5"/>
        <v/>
      </c>
    </row>
    <row r="146" spans="1:17" x14ac:dyDescent="0.3">
      <c r="A146" s="98">
        <v>144</v>
      </c>
      <c r="J146" s="104"/>
      <c r="K146" s="104"/>
      <c r="L146" s="104"/>
      <c r="P146" s="61" t="str">
        <f t="shared" si="6"/>
        <v/>
      </c>
      <c r="Q146" s="61" t="str">
        <f t="shared" si="5"/>
        <v/>
      </c>
    </row>
    <row r="147" spans="1:17" x14ac:dyDescent="0.3">
      <c r="A147" s="98">
        <v>145</v>
      </c>
      <c r="J147" s="104"/>
      <c r="K147" s="104"/>
      <c r="L147" s="104"/>
      <c r="P147" s="61" t="str">
        <f t="shared" si="6"/>
        <v/>
      </c>
      <c r="Q147" s="61" t="str">
        <f t="shared" si="5"/>
        <v/>
      </c>
    </row>
    <row r="148" spans="1:17" x14ac:dyDescent="0.3">
      <c r="A148" s="98">
        <v>146</v>
      </c>
      <c r="J148" s="104"/>
      <c r="K148" s="104"/>
      <c r="L148" s="104"/>
      <c r="P148" s="61" t="str">
        <f t="shared" si="6"/>
        <v/>
      </c>
      <c r="Q148" s="61" t="str">
        <f t="shared" si="5"/>
        <v/>
      </c>
    </row>
    <row r="149" spans="1:17" x14ac:dyDescent="0.3">
      <c r="A149" s="98">
        <v>147</v>
      </c>
      <c r="J149" s="104"/>
      <c r="K149" s="104"/>
      <c r="L149" s="104"/>
      <c r="P149" s="61" t="str">
        <f t="shared" si="6"/>
        <v/>
      </c>
      <c r="Q149" s="61" t="str">
        <f t="shared" si="5"/>
        <v/>
      </c>
    </row>
    <row r="150" spans="1:17" x14ac:dyDescent="0.3">
      <c r="A150" s="98">
        <v>148</v>
      </c>
      <c r="J150" s="104"/>
      <c r="K150" s="104"/>
      <c r="L150" s="104"/>
      <c r="P150" s="61" t="str">
        <f t="shared" si="6"/>
        <v/>
      </c>
      <c r="Q150" s="61" t="str">
        <f t="shared" si="5"/>
        <v/>
      </c>
    </row>
    <row r="151" spans="1:17" x14ac:dyDescent="0.3">
      <c r="A151" s="98">
        <v>149</v>
      </c>
      <c r="J151" s="104"/>
      <c r="K151" s="104"/>
      <c r="L151" s="104"/>
      <c r="P151" s="61" t="str">
        <f t="shared" si="6"/>
        <v/>
      </c>
      <c r="Q151" s="61" t="str">
        <f t="shared" si="5"/>
        <v/>
      </c>
    </row>
    <row r="152" spans="1:17" x14ac:dyDescent="0.3">
      <c r="A152" s="98">
        <v>150</v>
      </c>
      <c r="J152" s="104"/>
      <c r="K152" s="104"/>
      <c r="L152" s="104"/>
      <c r="P152" s="61" t="str">
        <f t="shared" si="6"/>
        <v/>
      </c>
      <c r="Q152" s="61" t="str">
        <f t="shared" si="5"/>
        <v/>
      </c>
    </row>
    <row r="153" spans="1:17" x14ac:dyDescent="0.3">
      <c r="A153" s="98">
        <v>151</v>
      </c>
      <c r="J153" s="104"/>
      <c r="K153" s="104"/>
      <c r="L153" s="104"/>
      <c r="P153" s="61" t="str">
        <f t="shared" si="6"/>
        <v/>
      </c>
      <c r="Q153" s="61" t="str">
        <f t="shared" si="5"/>
        <v/>
      </c>
    </row>
    <row r="154" spans="1:17" x14ac:dyDescent="0.3">
      <c r="A154" s="98">
        <v>152</v>
      </c>
      <c r="J154" s="104"/>
      <c r="K154" s="104"/>
      <c r="L154" s="104"/>
      <c r="P154" s="61" t="str">
        <f t="shared" si="6"/>
        <v/>
      </c>
      <c r="Q154" s="61" t="str">
        <f t="shared" si="5"/>
        <v/>
      </c>
    </row>
    <row r="155" spans="1:17" x14ac:dyDescent="0.3">
      <c r="A155" s="98">
        <v>153</v>
      </c>
      <c r="J155" s="104"/>
      <c r="K155" s="104"/>
      <c r="L155" s="104"/>
      <c r="P155" s="61" t="str">
        <f t="shared" si="6"/>
        <v/>
      </c>
      <c r="Q155" s="61" t="str">
        <f t="shared" si="5"/>
        <v/>
      </c>
    </row>
    <row r="156" spans="1:17" x14ac:dyDescent="0.3">
      <c r="A156" s="98">
        <v>154</v>
      </c>
      <c r="J156" s="104"/>
      <c r="K156" s="104"/>
      <c r="L156" s="104"/>
      <c r="P156" s="61" t="str">
        <f t="shared" si="6"/>
        <v/>
      </c>
      <c r="Q156" s="61" t="str">
        <f t="shared" si="5"/>
        <v/>
      </c>
    </row>
    <row r="157" spans="1:17" x14ac:dyDescent="0.3">
      <c r="A157" s="98">
        <v>155</v>
      </c>
      <c r="J157" s="104"/>
      <c r="K157" s="104"/>
      <c r="L157" s="104"/>
      <c r="P157" s="61" t="str">
        <f t="shared" si="6"/>
        <v/>
      </c>
      <c r="Q157" s="61" t="str">
        <f t="shared" si="5"/>
        <v/>
      </c>
    </row>
    <row r="158" spans="1:17" x14ac:dyDescent="0.3">
      <c r="A158" s="98">
        <v>156</v>
      </c>
      <c r="J158" s="104"/>
      <c r="K158" s="104"/>
      <c r="L158" s="104"/>
      <c r="P158" s="61" t="str">
        <f t="shared" si="6"/>
        <v/>
      </c>
      <c r="Q158" s="61" t="str">
        <f t="shared" si="5"/>
        <v/>
      </c>
    </row>
    <row r="159" spans="1:17" x14ac:dyDescent="0.3">
      <c r="A159" s="98">
        <v>157</v>
      </c>
      <c r="J159" s="104"/>
      <c r="K159" s="104"/>
      <c r="L159" s="104"/>
      <c r="P159" s="61" t="str">
        <f t="shared" si="6"/>
        <v/>
      </c>
      <c r="Q159" s="61" t="str">
        <f t="shared" si="5"/>
        <v/>
      </c>
    </row>
    <row r="160" spans="1:17" x14ac:dyDescent="0.3">
      <c r="A160" s="98">
        <v>158</v>
      </c>
      <c r="J160" s="104"/>
      <c r="K160" s="104"/>
      <c r="L160" s="104"/>
      <c r="P160" s="61" t="str">
        <f t="shared" si="6"/>
        <v/>
      </c>
      <c r="Q160" s="61" t="str">
        <f t="shared" si="5"/>
        <v/>
      </c>
    </row>
    <row r="161" spans="1:17" x14ac:dyDescent="0.3">
      <c r="A161" s="98">
        <v>159</v>
      </c>
      <c r="J161" s="104"/>
      <c r="K161" s="104"/>
      <c r="L161" s="104"/>
      <c r="P161" s="61" t="str">
        <f t="shared" si="6"/>
        <v/>
      </c>
      <c r="Q161" s="61" t="str">
        <f t="shared" si="5"/>
        <v/>
      </c>
    </row>
    <row r="162" spans="1:17" x14ac:dyDescent="0.3">
      <c r="A162" s="98">
        <v>160</v>
      </c>
      <c r="J162" s="104"/>
      <c r="K162" s="104"/>
      <c r="L162" s="104"/>
      <c r="P162" s="61" t="str">
        <f t="shared" si="6"/>
        <v/>
      </c>
      <c r="Q162" s="61" t="str">
        <f t="shared" si="5"/>
        <v/>
      </c>
    </row>
    <row r="163" spans="1:17" x14ac:dyDescent="0.3">
      <c r="A163" s="98">
        <v>161</v>
      </c>
      <c r="J163" s="104"/>
      <c r="K163" s="104"/>
      <c r="L163" s="104"/>
      <c r="P163" s="61" t="str">
        <f t="shared" si="6"/>
        <v/>
      </c>
      <c r="Q163" s="61" t="str">
        <f t="shared" si="5"/>
        <v/>
      </c>
    </row>
    <row r="164" spans="1:17" x14ac:dyDescent="0.3">
      <c r="A164" s="98">
        <v>162</v>
      </c>
      <c r="J164" s="104"/>
      <c r="K164" s="104"/>
      <c r="L164" s="104"/>
      <c r="P164" s="61" t="str">
        <f t="shared" si="6"/>
        <v/>
      </c>
      <c r="Q164" s="61" t="str">
        <f t="shared" si="5"/>
        <v/>
      </c>
    </row>
    <row r="165" spans="1:17" x14ac:dyDescent="0.3">
      <c r="A165" s="98">
        <v>163</v>
      </c>
      <c r="J165" s="104"/>
      <c r="K165" s="104"/>
      <c r="L165" s="104"/>
      <c r="P165" s="61" t="str">
        <f t="shared" si="6"/>
        <v/>
      </c>
      <c r="Q165" s="61" t="str">
        <f t="shared" si="5"/>
        <v/>
      </c>
    </row>
    <row r="166" spans="1:17" x14ac:dyDescent="0.3">
      <c r="A166" s="98">
        <v>164</v>
      </c>
      <c r="J166" s="104"/>
      <c r="K166" s="104"/>
      <c r="L166" s="104"/>
      <c r="P166" s="61" t="str">
        <f t="shared" si="6"/>
        <v/>
      </c>
      <c r="Q166" s="61" t="str">
        <f t="shared" si="5"/>
        <v/>
      </c>
    </row>
    <row r="167" spans="1:17" x14ac:dyDescent="0.3">
      <c r="A167" s="98">
        <v>165</v>
      </c>
      <c r="J167" s="104"/>
      <c r="K167" s="104"/>
      <c r="L167" s="104"/>
      <c r="P167" s="61" t="str">
        <f t="shared" si="6"/>
        <v/>
      </c>
      <c r="Q167" s="61" t="str">
        <f t="shared" si="5"/>
        <v/>
      </c>
    </row>
    <row r="168" spans="1:17" x14ac:dyDescent="0.3">
      <c r="A168" s="98">
        <v>166</v>
      </c>
      <c r="J168" s="104"/>
      <c r="K168" s="104"/>
      <c r="L168" s="104"/>
      <c r="P168" s="61" t="str">
        <f t="shared" si="6"/>
        <v/>
      </c>
      <c r="Q168" s="61" t="str">
        <f t="shared" si="5"/>
        <v/>
      </c>
    </row>
    <row r="169" spans="1:17" x14ac:dyDescent="0.3">
      <c r="A169" s="98">
        <v>167</v>
      </c>
      <c r="J169" s="104"/>
      <c r="K169" s="104"/>
      <c r="L169" s="104"/>
      <c r="P169" s="61" t="str">
        <f t="shared" si="6"/>
        <v/>
      </c>
      <c r="Q169" s="61" t="str">
        <f t="shared" si="5"/>
        <v/>
      </c>
    </row>
    <row r="170" spans="1:17" x14ac:dyDescent="0.3">
      <c r="A170" s="98">
        <v>168</v>
      </c>
      <c r="J170" s="104"/>
      <c r="K170" s="104"/>
      <c r="L170" s="104"/>
      <c r="P170" s="61" t="str">
        <f t="shared" si="6"/>
        <v/>
      </c>
      <c r="Q170" s="61" t="str">
        <f t="shared" si="5"/>
        <v/>
      </c>
    </row>
    <row r="171" spans="1:17" x14ac:dyDescent="0.3">
      <c r="A171" s="98">
        <v>169</v>
      </c>
      <c r="J171" s="104"/>
      <c r="K171" s="104"/>
      <c r="L171" s="104"/>
      <c r="P171" s="61" t="str">
        <f t="shared" si="6"/>
        <v/>
      </c>
      <c r="Q171" s="61" t="str">
        <f t="shared" si="5"/>
        <v/>
      </c>
    </row>
    <row r="172" spans="1:17" x14ac:dyDescent="0.3">
      <c r="A172" s="98">
        <v>170</v>
      </c>
      <c r="J172" s="104"/>
      <c r="K172" s="104"/>
      <c r="L172" s="104"/>
      <c r="P172" s="61" t="str">
        <f t="shared" si="6"/>
        <v/>
      </c>
      <c r="Q172" s="61" t="str">
        <f t="shared" si="5"/>
        <v/>
      </c>
    </row>
    <row r="173" spans="1:17" x14ac:dyDescent="0.3">
      <c r="A173" s="98">
        <v>171</v>
      </c>
      <c r="J173" s="104"/>
      <c r="K173" s="104"/>
      <c r="L173" s="104"/>
      <c r="P173" s="61" t="str">
        <f t="shared" si="6"/>
        <v/>
      </c>
      <c r="Q173" s="61" t="str">
        <f t="shared" si="5"/>
        <v/>
      </c>
    </row>
    <row r="174" spans="1:17" x14ac:dyDescent="0.3">
      <c r="A174" s="98">
        <v>172</v>
      </c>
      <c r="J174" s="104"/>
      <c r="K174" s="104"/>
      <c r="L174" s="104"/>
      <c r="P174" s="61" t="str">
        <f t="shared" si="6"/>
        <v/>
      </c>
      <c r="Q174" s="61" t="str">
        <f t="shared" si="5"/>
        <v/>
      </c>
    </row>
    <row r="175" spans="1:17" x14ac:dyDescent="0.3">
      <c r="A175" s="98">
        <v>173</v>
      </c>
      <c r="J175" s="104"/>
      <c r="K175" s="104"/>
      <c r="L175" s="104"/>
      <c r="P175" s="61" t="str">
        <f t="shared" si="6"/>
        <v/>
      </c>
      <c r="Q175" s="61" t="str">
        <f t="shared" si="5"/>
        <v/>
      </c>
    </row>
    <row r="176" spans="1:17" x14ac:dyDescent="0.3">
      <c r="A176" s="98">
        <v>174</v>
      </c>
      <c r="J176" s="104"/>
      <c r="K176" s="104"/>
      <c r="L176" s="104"/>
      <c r="P176" s="61" t="str">
        <f t="shared" si="6"/>
        <v/>
      </c>
      <c r="Q176" s="61" t="str">
        <f t="shared" si="5"/>
        <v/>
      </c>
    </row>
    <row r="177" spans="1:17" x14ac:dyDescent="0.3">
      <c r="A177" s="98">
        <v>175</v>
      </c>
      <c r="J177" s="104"/>
      <c r="K177" s="104"/>
      <c r="L177" s="104"/>
      <c r="P177" s="61" t="str">
        <f t="shared" si="6"/>
        <v/>
      </c>
      <c r="Q177" s="61" t="str">
        <f t="shared" si="5"/>
        <v/>
      </c>
    </row>
    <row r="178" spans="1:17" x14ac:dyDescent="0.3">
      <c r="A178" s="98">
        <v>176</v>
      </c>
      <c r="J178" s="104"/>
      <c r="K178" s="104"/>
      <c r="L178" s="104"/>
      <c r="P178" s="61" t="str">
        <f t="shared" si="6"/>
        <v/>
      </c>
      <c r="Q178" s="61" t="str">
        <f t="shared" si="5"/>
        <v/>
      </c>
    </row>
    <row r="179" spans="1:17" x14ac:dyDescent="0.3">
      <c r="A179" s="98">
        <v>177</v>
      </c>
      <c r="J179" s="104"/>
      <c r="K179" s="104"/>
      <c r="L179" s="104"/>
      <c r="P179" s="61" t="str">
        <f t="shared" si="6"/>
        <v/>
      </c>
      <c r="Q179" s="61" t="str">
        <f t="shared" si="5"/>
        <v/>
      </c>
    </row>
    <row r="180" spans="1:17" x14ac:dyDescent="0.3">
      <c r="A180" s="98">
        <v>178</v>
      </c>
      <c r="J180" s="104"/>
      <c r="K180" s="104"/>
      <c r="L180" s="104"/>
      <c r="P180" s="61" t="str">
        <f t="shared" si="6"/>
        <v/>
      </c>
      <c r="Q180" s="61" t="str">
        <f t="shared" si="5"/>
        <v/>
      </c>
    </row>
    <row r="181" spans="1:17" x14ac:dyDescent="0.3">
      <c r="A181" s="98">
        <v>179</v>
      </c>
      <c r="J181" s="104"/>
      <c r="K181" s="104"/>
      <c r="L181" s="104"/>
      <c r="P181" s="61" t="str">
        <f t="shared" si="6"/>
        <v/>
      </c>
      <c r="Q181" s="61" t="str">
        <f t="shared" si="5"/>
        <v/>
      </c>
    </row>
    <row r="182" spans="1:17" x14ac:dyDescent="0.3">
      <c r="A182" s="98">
        <v>180</v>
      </c>
      <c r="J182" s="104"/>
      <c r="K182" s="104"/>
      <c r="L182" s="104"/>
      <c r="P182" s="61" t="str">
        <f t="shared" si="6"/>
        <v/>
      </c>
      <c r="Q182" s="61" t="str">
        <f t="shared" si="5"/>
        <v/>
      </c>
    </row>
    <row r="183" spans="1:17" x14ac:dyDescent="0.3">
      <c r="A183" s="98">
        <v>181</v>
      </c>
      <c r="J183" s="104"/>
      <c r="K183" s="104"/>
      <c r="L183" s="104"/>
      <c r="P183" s="61" t="str">
        <f t="shared" si="6"/>
        <v/>
      </c>
      <c r="Q183" s="61" t="str">
        <f t="shared" si="5"/>
        <v/>
      </c>
    </row>
    <row r="184" spans="1:17" x14ac:dyDescent="0.3">
      <c r="A184" s="98">
        <v>182</v>
      </c>
      <c r="J184" s="104"/>
      <c r="K184" s="104"/>
      <c r="L184" s="104"/>
      <c r="P184" s="61" t="str">
        <f t="shared" si="6"/>
        <v/>
      </c>
      <c r="Q184" s="61" t="str">
        <f t="shared" si="5"/>
        <v/>
      </c>
    </row>
    <row r="185" spans="1:17" x14ac:dyDescent="0.3">
      <c r="A185" s="98">
        <v>183</v>
      </c>
      <c r="J185" s="104"/>
      <c r="K185" s="104"/>
      <c r="L185" s="104"/>
      <c r="P185" s="61" t="str">
        <f t="shared" si="6"/>
        <v/>
      </c>
      <c r="Q185" s="61" t="str">
        <f t="shared" si="5"/>
        <v/>
      </c>
    </row>
    <row r="186" spans="1:17" x14ac:dyDescent="0.3">
      <c r="A186" s="98">
        <v>184</v>
      </c>
      <c r="J186" s="104"/>
      <c r="K186" s="104"/>
      <c r="L186" s="104"/>
      <c r="P186" s="61" t="str">
        <f t="shared" si="6"/>
        <v/>
      </c>
      <c r="Q186" s="61" t="str">
        <f t="shared" si="5"/>
        <v/>
      </c>
    </row>
    <row r="187" spans="1:17" x14ac:dyDescent="0.3">
      <c r="A187" s="98">
        <v>185</v>
      </c>
      <c r="J187" s="104"/>
      <c r="K187" s="104"/>
      <c r="L187" s="104"/>
      <c r="P187" s="61" t="str">
        <f t="shared" si="6"/>
        <v/>
      </c>
      <c r="Q187" s="61" t="str">
        <f t="shared" si="5"/>
        <v/>
      </c>
    </row>
    <row r="188" spans="1:17" x14ac:dyDescent="0.3">
      <c r="A188" s="98">
        <v>186</v>
      </c>
      <c r="J188" s="104"/>
      <c r="K188" s="104"/>
      <c r="L188" s="104"/>
      <c r="P188" s="61" t="str">
        <f t="shared" si="6"/>
        <v/>
      </c>
      <c r="Q188" s="61" t="str">
        <f t="shared" si="5"/>
        <v/>
      </c>
    </row>
    <row r="189" spans="1:17" x14ac:dyDescent="0.3">
      <c r="A189" s="98">
        <v>187</v>
      </c>
      <c r="J189" s="104"/>
      <c r="K189" s="104"/>
      <c r="L189" s="104"/>
      <c r="P189" s="61" t="str">
        <f t="shared" si="6"/>
        <v/>
      </c>
      <c r="Q189" s="61" t="str">
        <f t="shared" si="5"/>
        <v/>
      </c>
    </row>
    <row r="190" spans="1:17" x14ac:dyDescent="0.3">
      <c r="A190" s="98">
        <v>188</v>
      </c>
      <c r="J190" s="104"/>
      <c r="K190" s="104"/>
      <c r="L190" s="104"/>
      <c r="P190" s="61" t="str">
        <f t="shared" si="6"/>
        <v/>
      </c>
      <c r="Q190" s="61" t="str">
        <f t="shared" si="5"/>
        <v/>
      </c>
    </row>
    <row r="191" spans="1:17" x14ac:dyDescent="0.3">
      <c r="A191" s="98">
        <v>189</v>
      </c>
      <c r="J191" s="104"/>
      <c r="K191" s="104"/>
      <c r="L191" s="104"/>
      <c r="P191" s="61" t="str">
        <f t="shared" si="6"/>
        <v/>
      </c>
      <c r="Q191" s="61" t="str">
        <f t="shared" si="5"/>
        <v/>
      </c>
    </row>
    <row r="192" spans="1:17" x14ac:dyDescent="0.3">
      <c r="A192" s="98">
        <v>190</v>
      </c>
      <c r="J192" s="104"/>
      <c r="K192" s="104"/>
      <c r="L192" s="104"/>
      <c r="P192" s="61" t="str">
        <f t="shared" si="6"/>
        <v/>
      </c>
      <c r="Q192" s="61" t="str">
        <f t="shared" si="5"/>
        <v/>
      </c>
    </row>
    <row r="193" spans="1:17" x14ac:dyDescent="0.3">
      <c r="A193" s="98">
        <v>191</v>
      </c>
      <c r="J193" s="104"/>
      <c r="K193" s="104"/>
      <c r="L193" s="104"/>
      <c r="P193" s="61" t="str">
        <f t="shared" si="6"/>
        <v/>
      </c>
      <c r="Q193" s="61" t="str">
        <f t="shared" si="5"/>
        <v/>
      </c>
    </row>
    <row r="194" spans="1:17" x14ac:dyDescent="0.3">
      <c r="A194" s="98">
        <v>192</v>
      </c>
      <c r="J194" s="104"/>
      <c r="K194" s="104"/>
      <c r="L194" s="104"/>
      <c r="P194" s="61" t="str">
        <f t="shared" si="6"/>
        <v/>
      </c>
      <c r="Q194" s="61" t="str">
        <f t="shared" si="5"/>
        <v/>
      </c>
    </row>
    <row r="195" spans="1:17" x14ac:dyDescent="0.3">
      <c r="A195" s="98">
        <v>193</v>
      </c>
      <c r="J195" s="104"/>
      <c r="K195" s="104"/>
      <c r="L195" s="104"/>
      <c r="P195" s="61" t="str">
        <f t="shared" si="6"/>
        <v/>
      </c>
      <c r="Q195" s="61" t="str">
        <f t="shared" si="5"/>
        <v/>
      </c>
    </row>
    <row r="196" spans="1:17" x14ac:dyDescent="0.3">
      <c r="A196" s="98">
        <v>194</v>
      </c>
      <c r="J196" s="104"/>
      <c r="K196" s="104"/>
      <c r="L196" s="104"/>
      <c r="P196" s="61" t="str">
        <f t="shared" si="6"/>
        <v/>
      </c>
      <c r="Q196" s="61" t="str">
        <f t="shared" ref="Q196:Q259" si="7">IF(P196="","",
IF(P196&lt;=0,"Not Due",
IF(P196&lt;=30,"1-30 Days",
IF(P196&lt;=60,"31-60 Days",
"&gt;60 Days"))))</f>
        <v/>
      </c>
    </row>
    <row r="197" spans="1:17" x14ac:dyDescent="0.3">
      <c r="A197" s="98">
        <v>195</v>
      </c>
      <c r="J197" s="104"/>
      <c r="K197" s="104"/>
      <c r="L197" s="104"/>
      <c r="P197" s="61" t="str">
        <f t="shared" si="6"/>
        <v/>
      </c>
      <c r="Q197" s="61" t="str">
        <f t="shared" si="7"/>
        <v/>
      </c>
    </row>
    <row r="198" spans="1:17" x14ac:dyDescent="0.3">
      <c r="A198" s="98">
        <v>196</v>
      </c>
      <c r="J198" s="104"/>
      <c r="K198" s="104"/>
      <c r="L198" s="104"/>
      <c r="P198" s="61" t="str">
        <f t="shared" si="6"/>
        <v/>
      </c>
      <c r="Q198" s="61" t="str">
        <f t="shared" si="7"/>
        <v/>
      </c>
    </row>
    <row r="199" spans="1:17" x14ac:dyDescent="0.3">
      <c r="A199" s="98">
        <v>197</v>
      </c>
      <c r="J199" s="104"/>
      <c r="K199" s="104"/>
      <c r="L199" s="104"/>
      <c r="P199" s="61" t="str">
        <f t="shared" si="6"/>
        <v/>
      </c>
      <c r="Q199" s="61" t="str">
        <f t="shared" si="7"/>
        <v/>
      </c>
    </row>
    <row r="200" spans="1:17" x14ac:dyDescent="0.3">
      <c r="A200" s="98">
        <v>198</v>
      </c>
      <c r="J200" s="104"/>
      <c r="K200" s="104"/>
      <c r="L200" s="104"/>
      <c r="P200" s="61" t="str">
        <f t="shared" si="6"/>
        <v/>
      </c>
      <c r="Q200" s="61" t="str">
        <f t="shared" si="7"/>
        <v/>
      </c>
    </row>
    <row r="201" spans="1:17" x14ac:dyDescent="0.3">
      <c r="A201" s="98">
        <v>199</v>
      </c>
      <c r="J201" s="104"/>
      <c r="K201" s="104"/>
      <c r="L201" s="104"/>
      <c r="P201" s="61" t="str">
        <f t="shared" si="6"/>
        <v/>
      </c>
      <c r="Q201" s="61" t="str">
        <f t="shared" si="7"/>
        <v/>
      </c>
    </row>
    <row r="202" spans="1:17" x14ac:dyDescent="0.3">
      <c r="A202" s="98">
        <v>200</v>
      </c>
      <c r="J202" s="104"/>
      <c r="K202" s="104"/>
      <c r="L202" s="104"/>
      <c r="P202" s="61" t="str">
        <f t="shared" si="6"/>
        <v/>
      </c>
      <c r="Q202" s="61" t="str">
        <f t="shared" si="7"/>
        <v/>
      </c>
    </row>
    <row r="203" spans="1:17" x14ac:dyDescent="0.3">
      <c r="A203" s="98">
        <v>201</v>
      </c>
      <c r="J203" s="104"/>
      <c r="K203" s="104"/>
      <c r="L203" s="104"/>
      <c r="P203" s="61" t="str">
        <f t="shared" si="6"/>
        <v/>
      </c>
      <c r="Q203" s="61" t="str">
        <f t="shared" si="7"/>
        <v/>
      </c>
    </row>
    <row r="204" spans="1:17" x14ac:dyDescent="0.3">
      <c r="A204" s="98">
        <v>202</v>
      </c>
      <c r="J204" s="104"/>
      <c r="K204" s="104"/>
      <c r="L204" s="104"/>
      <c r="P204" s="61" t="str">
        <f t="shared" si="6"/>
        <v/>
      </c>
      <c r="Q204" s="61" t="str">
        <f t="shared" si="7"/>
        <v/>
      </c>
    </row>
    <row r="205" spans="1:17" x14ac:dyDescent="0.3">
      <c r="A205" s="98">
        <v>203</v>
      </c>
      <c r="J205" s="104"/>
      <c r="K205" s="104"/>
      <c r="L205" s="104"/>
      <c r="P205" s="61" t="str">
        <f t="shared" si="6"/>
        <v/>
      </c>
      <c r="Q205" s="61" t="str">
        <f t="shared" si="7"/>
        <v/>
      </c>
    </row>
    <row r="206" spans="1:17" x14ac:dyDescent="0.3">
      <c r="A206" s="98">
        <v>204</v>
      </c>
      <c r="J206" s="104"/>
      <c r="K206" s="104"/>
      <c r="L206" s="104"/>
      <c r="P206" s="61" t="str">
        <f t="shared" si="6"/>
        <v/>
      </c>
      <c r="Q206" s="61" t="str">
        <f t="shared" si="7"/>
        <v/>
      </c>
    </row>
    <row r="207" spans="1:17" x14ac:dyDescent="0.3">
      <c r="A207" s="98">
        <v>205</v>
      </c>
      <c r="J207" s="104"/>
      <c r="K207" s="104"/>
      <c r="L207" s="104"/>
      <c r="P207" s="61" t="str">
        <f t="shared" si="6"/>
        <v/>
      </c>
      <c r="Q207" s="61" t="str">
        <f t="shared" si="7"/>
        <v/>
      </c>
    </row>
    <row r="208" spans="1:17" x14ac:dyDescent="0.3">
      <c r="A208" s="98">
        <v>206</v>
      </c>
      <c r="J208" s="104"/>
      <c r="K208" s="104"/>
      <c r="L208" s="104"/>
      <c r="P208" s="61" t="str">
        <f t="shared" ref="P208:P271" si="8">IF(O208="","",LEFT(O208,10)*(-1))</f>
        <v/>
      </c>
      <c r="Q208" s="61" t="str">
        <f t="shared" si="7"/>
        <v/>
      </c>
    </row>
    <row r="209" spans="1:17" x14ac:dyDescent="0.3">
      <c r="A209" s="98">
        <v>207</v>
      </c>
      <c r="J209" s="104"/>
      <c r="K209" s="104"/>
      <c r="L209" s="104"/>
      <c r="P209" s="61" t="str">
        <f t="shared" si="8"/>
        <v/>
      </c>
      <c r="Q209" s="61" t="str">
        <f t="shared" si="7"/>
        <v/>
      </c>
    </row>
    <row r="210" spans="1:17" x14ac:dyDescent="0.3">
      <c r="A210" s="98">
        <v>208</v>
      </c>
      <c r="J210" s="104"/>
      <c r="K210" s="104"/>
      <c r="L210" s="104"/>
      <c r="P210" s="61" t="str">
        <f t="shared" si="8"/>
        <v/>
      </c>
      <c r="Q210" s="61" t="str">
        <f t="shared" si="7"/>
        <v/>
      </c>
    </row>
    <row r="211" spans="1:17" x14ac:dyDescent="0.3">
      <c r="A211" s="98">
        <v>209</v>
      </c>
      <c r="J211" s="104"/>
      <c r="K211" s="104"/>
      <c r="L211" s="104"/>
      <c r="P211" s="61" t="str">
        <f t="shared" si="8"/>
        <v/>
      </c>
      <c r="Q211" s="61" t="str">
        <f t="shared" si="7"/>
        <v/>
      </c>
    </row>
    <row r="212" spans="1:17" x14ac:dyDescent="0.3">
      <c r="A212" s="98">
        <v>210</v>
      </c>
      <c r="J212" s="104"/>
      <c r="K212" s="104"/>
      <c r="L212" s="104"/>
      <c r="P212" s="61" t="str">
        <f t="shared" si="8"/>
        <v/>
      </c>
      <c r="Q212" s="61" t="str">
        <f t="shared" si="7"/>
        <v/>
      </c>
    </row>
    <row r="213" spans="1:17" x14ac:dyDescent="0.3">
      <c r="A213" s="98">
        <v>211</v>
      </c>
      <c r="J213" s="104"/>
      <c r="K213" s="104"/>
      <c r="L213" s="104"/>
      <c r="P213" s="61" t="str">
        <f t="shared" si="8"/>
        <v/>
      </c>
      <c r="Q213" s="61" t="str">
        <f t="shared" si="7"/>
        <v/>
      </c>
    </row>
    <row r="214" spans="1:17" x14ac:dyDescent="0.3">
      <c r="A214" s="98">
        <v>212</v>
      </c>
      <c r="J214" s="104"/>
      <c r="K214" s="104"/>
      <c r="L214" s="104"/>
      <c r="P214" s="61" t="str">
        <f t="shared" si="8"/>
        <v/>
      </c>
      <c r="Q214" s="61" t="str">
        <f t="shared" si="7"/>
        <v/>
      </c>
    </row>
    <row r="215" spans="1:17" x14ac:dyDescent="0.3">
      <c r="A215" s="98">
        <v>213</v>
      </c>
      <c r="J215" s="104"/>
      <c r="K215" s="104"/>
      <c r="L215" s="104"/>
      <c r="P215" s="61" t="str">
        <f t="shared" si="8"/>
        <v/>
      </c>
      <c r="Q215" s="61" t="str">
        <f t="shared" si="7"/>
        <v/>
      </c>
    </row>
    <row r="216" spans="1:17" x14ac:dyDescent="0.3">
      <c r="A216" s="98">
        <v>214</v>
      </c>
      <c r="J216" s="104"/>
      <c r="K216" s="104"/>
      <c r="L216" s="104"/>
      <c r="P216" s="61" t="str">
        <f t="shared" si="8"/>
        <v/>
      </c>
      <c r="Q216" s="61" t="str">
        <f t="shared" si="7"/>
        <v/>
      </c>
    </row>
    <row r="217" spans="1:17" x14ac:dyDescent="0.3">
      <c r="A217" s="98">
        <v>215</v>
      </c>
      <c r="J217" s="104"/>
      <c r="K217" s="104"/>
      <c r="L217" s="104"/>
      <c r="P217" s="61" t="str">
        <f t="shared" si="8"/>
        <v/>
      </c>
      <c r="Q217" s="61" t="str">
        <f t="shared" si="7"/>
        <v/>
      </c>
    </row>
    <row r="218" spans="1:17" x14ac:dyDescent="0.3">
      <c r="A218" s="98">
        <v>216</v>
      </c>
      <c r="J218" s="104"/>
      <c r="K218" s="104"/>
      <c r="L218" s="104"/>
      <c r="P218" s="61" t="str">
        <f t="shared" si="8"/>
        <v/>
      </c>
      <c r="Q218" s="61" t="str">
        <f t="shared" si="7"/>
        <v/>
      </c>
    </row>
    <row r="219" spans="1:17" x14ac:dyDescent="0.3">
      <c r="A219" s="98">
        <v>217</v>
      </c>
      <c r="J219" s="104"/>
      <c r="K219" s="104"/>
      <c r="L219" s="104"/>
      <c r="P219" s="61" t="str">
        <f t="shared" si="8"/>
        <v/>
      </c>
      <c r="Q219" s="61" t="str">
        <f t="shared" si="7"/>
        <v/>
      </c>
    </row>
    <row r="220" spans="1:17" x14ac:dyDescent="0.3">
      <c r="A220" s="98">
        <v>218</v>
      </c>
      <c r="J220" s="104"/>
      <c r="K220" s="104"/>
      <c r="L220" s="104"/>
      <c r="P220" s="61" t="str">
        <f t="shared" si="8"/>
        <v/>
      </c>
      <c r="Q220" s="61" t="str">
        <f t="shared" si="7"/>
        <v/>
      </c>
    </row>
    <row r="221" spans="1:17" x14ac:dyDescent="0.3">
      <c r="A221" s="98">
        <v>219</v>
      </c>
      <c r="J221" s="104"/>
      <c r="K221" s="104"/>
      <c r="L221" s="104"/>
      <c r="P221" s="61" t="str">
        <f t="shared" si="8"/>
        <v/>
      </c>
      <c r="Q221" s="61" t="str">
        <f t="shared" si="7"/>
        <v/>
      </c>
    </row>
    <row r="222" spans="1:17" x14ac:dyDescent="0.3">
      <c r="A222" s="98">
        <v>220</v>
      </c>
      <c r="J222" s="104"/>
      <c r="K222" s="104"/>
      <c r="L222" s="104"/>
      <c r="P222" s="61" t="str">
        <f t="shared" si="8"/>
        <v/>
      </c>
      <c r="Q222" s="61" t="str">
        <f t="shared" si="7"/>
        <v/>
      </c>
    </row>
    <row r="223" spans="1:17" x14ac:dyDescent="0.3">
      <c r="A223" s="98">
        <v>221</v>
      </c>
      <c r="J223" s="104"/>
      <c r="K223" s="104"/>
      <c r="L223" s="104"/>
      <c r="P223" s="61" t="str">
        <f t="shared" si="8"/>
        <v/>
      </c>
      <c r="Q223" s="61" t="str">
        <f t="shared" si="7"/>
        <v/>
      </c>
    </row>
    <row r="224" spans="1:17" x14ac:dyDescent="0.3">
      <c r="A224" s="98">
        <v>222</v>
      </c>
      <c r="J224" s="104"/>
      <c r="K224" s="104"/>
      <c r="L224" s="104"/>
      <c r="P224" s="61" t="str">
        <f t="shared" si="8"/>
        <v/>
      </c>
      <c r="Q224" s="61" t="str">
        <f t="shared" si="7"/>
        <v/>
      </c>
    </row>
    <row r="225" spans="1:17" x14ac:dyDescent="0.3">
      <c r="A225" s="98">
        <v>223</v>
      </c>
      <c r="J225" s="104"/>
      <c r="K225" s="104"/>
      <c r="L225" s="104"/>
      <c r="P225" s="61" t="str">
        <f t="shared" si="8"/>
        <v/>
      </c>
      <c r="Q225" s="61" t="str">
        <f t="shared" si="7"/>
        <v/>
      </c>
    </row>
    <row r="226" spans="1:17" x14ac:dyDescent="0.3">
      <c r="A226" s="98">
        <v>224</v>
      </c>
      <c r="J226" s="104"/>
      <c r="K226" s="104"/>
      <c r="L226" s="104"/>
      <c r="P226" s="61" t="str">
        <f t="shared" si="8"/>
        <v/>
      </c>
      <c r="Q226" s="61" t="str">
        <f t="shared" si="7"/>
        <v/>
      </c>
    </row>
    <row r="227" spans="1:17" x14ac:dyDescent="0.3">
      <c r="A227" s="98">
        <v>225</v>
      </c>
      <c r="J227" s="104"/>
      <c r="K227" s="104"/>
      <c r="L227" s="104"/>
      <c r="P227" s="61" t="str">
        <f t="shared" si="8"/>
        <v/>
      </c>
      <c r="Q227" s="61" t="str">
        <f t="shared" si="7"/>
        <v/>
      </c>
    </row>
    <row r="228" spans="1:17" x14ac:dyDescent="0.3">
      <c r="A228" s="98">
        <v>226</v>
      </c>
      <c r="J228" s="104"/>
      <c r="K228" s="104"/>
      <c r="L228" s="104"/>
      <c r="P228" s="61" t="str">
        <f t="shared" si="8"/>
        <v/>
      </c>
      <c r="Q228" s="61" t="str">
        <f t="shared" si="7"/>
        <v/>
      </c>
    </row>
    <row r="229" spans="1:17" x14ac:dyDescent="0.3">
      <c r="A229" s="98">
        <v>227</v>
      </c>
      <c r="J229" s="104"/>
      <c r="K229" s="104"/>
      <c r="L229" s="104"/>
      <c r="P229" s="61" t="str">
        <f t="shared" si="8"/>
        <v/>
      </c>
      <c r="Q229" s="61" t="str">
        <f t="shared" si="7"/>
        <v/>
      </c>
    </row>
    <row r="230" spans="1:17" x14ac:dyDescent="0.3">
      <c r="A230" s="98">
        <v>228</v>
      </c>
      <c r="J230" s="104"/>
      <c r="K230" s="104"/>
      <c r="L230" s="104"/>
      <c r="P230" s="61" t="str">
        <f t="shared" si="8"/>
        <v/>
      </c>
      <c r="Q230" s="61" t="str">
        <f t="shared" si="7"/>
        <v/>
      </c>
    </row>
    <row r="231" spans="1:17" x14ac:dyDescent="0.3">
      <c r="A231" s="98">
        <v>229</v>
      </c>
      <c r="J231" s="104"/>
      <c r="K231" s="104"/>
      <c r="L231" s="104"/>
      <c r="P231" s="61" t="str">
        <f t="shared" si="8"/>
        <v/>
      </c>
      <c r="Q231" s="61" t="str">
        <f t="shared" si="7"/>
        <v/>
      </c>
    </row>
    <row r="232" spans="1:17" x14ac:dyDescent="0.3">
      <c r="A232" s="98">
        <v>230</v>
      </c>
      <c r="J232" s="104"/>
      <c r="K232" s="104"/>
      <c r="L232" s="104"/>
      <c r="P232" s="61" t="str">
        <f t="shared" si="8"/>
        <v/>
      </c>
      <c r="Q232" s="61" t="str">
        <f t="shared" si="7"/>
        <v/>
      </c>
    </row>
    <row r="233" spans="1:17" x14ac:dyDescent="0.3">
      <c r="A233" s="98">
        <v>231</v>
      </c>
      <c r="J233" s="104"/>
      <c r="K233" s="104"/>
      <c r="L233" s="104"/>
      <c r="P233" s="61" t="str">
        <f t="shared" si="8"/>
        <v/>
      </c>
      <c r="Q233" s="61" t="str">
        <f t="shared" si="7"/>
        <v/>
      </c>
    </row>
    <row r="234" spans="1:17" x14ac:dyDescent="0.3">
      <c r="A234" s="98">
        <v>232</v>
      </c>
      <c r="J234" s="104"/>
      <c r="K234" s="104"/>
      <c r="L234" s="104"/>
      <c r="P234" s="61" t="str">
        <f t="shared" si="8"/>
        <v/>
      </c>
      <c r="Q234" s="61" t="str">
        <f t="shared" si="7"/>
        <v/>
      </c>
    </row>
    <row r="235" spans="1:17" x14ac:dyDescent="0.3">
      <c r="A235" s="98">
        <v>233</v>
      </c>
      <c r="J235" s="104"/>
      <c r="K235" s="104"/>
      <c r="L235" s="104"/>
      <c r="P235" s="61" t="str">
        <f t="shared" si="8"/>
        <v/>
      </c>
      <c r="Q235" s="61" t="str">
        <f t="shared" si="7"/>
        <v/>
      </c>
    </row>
    <row r="236" spans="1:17" x14ac:dyDescent="0.3">
      <c r="A236" s="98">
        <v>234</v>
      </c>
      <c r="J236" s="104"/>
      <c r="K236" s="104"/>
      <c r="L236" s="104"/>
      <c r="P236" s="61" t="str">
        <f t="shared" si="8"/>
        <v/>
      </c>
      <c r="Q236" s="61" t="str">
        <f t="shared" si="7"/>
        <v/>
      </c>
    </row>
    <row r="237" spans="1:17" x14ac:dyDescent="0.3">
      <c r="A237" s="98">
        <v>235</v>
      </c>
      <c r="J237" s="104"/>
      <c r="K237" s="104"/>
      <c r="L237" s="104"/>
      <c r="P237" s="61" t="str">
        <f t="shared" si="8"/>
        <v/>
      </c>
      <c r="Q237" s="61" t="str">
        <f t="shared" si="7"/>
        <v/>
      </c>
    </row>
    <row r="238" spans="1:17" x14ac:dyDescent="0.3">
      <c r="A238" s="98">
        <v>236</v>
      </c>
      <c r="J238" s="104"/>
      <c r="K238" s="104"/>
      <c r="L238" s="104"/>
      <c r="P238" s="61" t="str">
        <f t="shared" si="8"/>
        <v/>
      </c>
      <c r="Q238" s="61" t="str">
        <f t="shared" si="7"/>
        <v/>
      </c>
    </row>
    <row r="239" spans="1:17" x14ac:dyDescent="0.3">
      <c r="A239" s="98">
        <v>237</v>
      </c>
      <c r="J239" s="104"/>
      <c r="K239" s="104"/>
      <c r="L239" s="104"/>
      <c r="P239" s="61" t="str">
        <f t="shared" si="8"/>
        <v/>
      </c>
      <c r="Q239" s="61" t="str">
        <f t="shared" si="7"/>
        <v/>
      </c>
    </row>
    <row r="240" spans="1:17" x14ac:dyDescent="0.3">
      <c r="A240" s="98">
        <v>238</v>
      </c>
      <c r="J240" s="104"/>
      <c r="K240" s="104"/>
      <c r="L240" s="104"/>
      <c r="P240" s="61" t="str">
        <f t="shared" si="8"/>
        <v/>
      </c>
      <c r="Q240" s="61" t="str">
        <f t="shared" si="7"/>
        <v/>
      </c>
    </row>
    <row r="241" spans="1:17" x14ac:dyDescent="0.3">
      <c r="A241" s="98">
        <v>239</v>
      </c>
      <c r="J241" s="104"/>
      <c r="K241" s="104"/>
      <c r="L241" s="104"/>
      <c r="P241" s="61" t="str">
        <f t="shared" si="8"/>
        <v/>
      </c>
      <c r="Q241" s="61" t="str">
        <f t="shared" si="7"/>
        <v/>
      </c>
    </row>
    <row r="242" spans="1:17" x14ac:dyDescent="0.3">
      <c r="A242" s="98">
        <v>240</v>
      </c>
      <c r="J242" s="104"/>
      <c r="K242" s="104"/>
      <c r="L242" s="104"/>
      <c r="P242" s="61" t="str">
        <f t="shared" si="8"/>
        <v/>
      </c>
      <c r="Q242" s="61" t="str">
        <f t="shared" si="7"/>
        <v/>
      </c>
    </row>
    <row r="243" spans="1:17" x14ac:dyDescent="0.3">
      <c r="A243" s="98">
        <v>241</v>
      </c>
      <c r="J243" s="104"/>
      <c r="K243" s="104"/>
      <c r="L243" s="104"/>
      <c r="P243" s="61" t="str">
        <f t="shared" si="8"/>
        <v/>
      </c>
      <c r="Q243" s="61" t="str">
        <f t="shared" si="7"/>
        <v/>
      </c>
    </row>
    <row r="244" spans="1:17" x14ac:dyDescent="0.3">
      <c r="A244" s="98">
        <v>242</v>
      </c>
      <c r="J244" s="104"/>
      <c r="K244" s="104"/>
      <c r="L244" s="104"/>
      <c r="P244" s="61" t="str">
        <f t="shared" si="8"/>
        <v/>
      </c>
      <c r="Q244" s="61" t="str">
        <f t="shared" si="7"/>
        <v/>
      </c>
    </row>
    <row r="245" spans="1:17" x14ac:dyDescent="0.3">
      <c r="A245" s="98">
        <v>243</v>
      </c>
      <c r="J245" s="104"/>
      <c r="K245" s="104"/>
      <c r="L245" s="104"/>
      <c r="P245" s="61" t="str">
        <f t="shared" si="8"/>
        <v/>
      </c>
      <c r="Q245" s="61" t="str">
        <f t="shared" si="7"/>
        <v/>
      </c>
    </row>
    <row r="246" spans="1:17" x14ac:dyDescent="0.3">
      <c r="A246" s="98">
        <v>244</v>
      </c>
      <c r="J246" s="104"/>
      <c r="K246" s="104"/>
      <c r="L246" s="104"/>
      <c r="P246" s="61" t="str">
        <f t="shared" si="8"/>
        <v/>
      </c>
      <c r="Q246" s="61" t="str">
        <f t="shared" si="7"/>
        <v/>
      </c>
    </row>
    <row r="247" spans="1:17" x14ac:dyDescent="0.3">
      <c r="A247" s="98">
        <v>245</v>
      </c>
      <c r="J247" s="104"/>
      <c r="K247" s="104"/>
      <c r="L247" s="104"/>
      <c r="P247" s="61" t="str">
        <f t="shared" si="8"/>
        <v/>
      </c>
      <c r="Q247" s="61" t="str">
        <f t="shared" si="7"/>
        <v/>
      </c>
    </row>
    <row r="248" spans="1:17" x14ac:dyDescent="0.3">
      <c r="A248" s="98">
        <v>246</v>
      </c>
      <c r="J248" s="104"/>
      <c r="K248" s="104"/>
      <c r="L248" s="104"/>
      <c r="P248" s="61" t="str">
        <f t="shared" si="8"/>
        <v/>
      </c>
      <c r="Q248" s="61" t="str">
        <f t="shared" si="7"/>
        <v/>
      </c>
    </row>
    <row r="249" spans="1:17" x14ac:dyDescent="0.3">
      <c r="A249" s="98">
        <v>247</v>
      </c>
      <c r="J249" s="104"/>
      <c r="K249" s="104"/>
      <c r="L249" s="104"/>
      <c r="P249" s="61" t="str">
        <f t="shared" si="8"/>
        <v/>
      </c>
      <c r="Q249" s="61" t="str">
        <f t="shared" si="7"/>
        <v/>
      </c>
    </row>
    <row r="250" spans="1:17" x14ac:dyDescent="0.3">
      <c r="A250" s="98">
        <v>248</v>
      </c>
      <c r="J250" s="104"/>
      <c r="K250" s="104"/>
      <c r="L250" s="104"/>
      <c r="P250" s="61" t="str">
        <f t="shared" si="8"/>
        <v/>
      </c>
      <c r="Q250" s="61" t="str">
        <f t="shared" si="7"/>
        <v/>
      </c>
    </row>
    <row r="251" spans="1:17" x14ac:dyDescent="0.3">
      <c r="A251" s="98">
        <v>249</v>
      </c>
      <c r="J251" s="104"/>
      <c r="K251" s="104"/>
      <c r="L251" s="104"/>
      <c r="P251" s="61" t="str">
        <f t="shared" si="8"/>
        <v/>
      </c>
      <c r="Q251" s="61" t="str">
        <f t="shared" si="7"/>
        <v/>
      </c>
    </row>
    <row r="252" spans="1:17" x14ac:dyDescent="0.3">
      <c r="A252" s="98">
        <v>250</v>
      </c>
      <c r="J252" s="104"/>
      <c r="K252" s="104"/>
      <c r="L252" s="104"/>
      <c r="P252" s="61" t="str">
        <f t="shared" si="8"/>
        <v/>
      </c>
      <c r="Q252" s="61" t="str">
        <f t="shared" si="7"/>
        <v/>
      </c>
    </row>
    <row r="253" spans="1:17" x14ac:dyDescent="0.3">
      <c r="A253" s="98">
        <v>251</v>
      </c>
      <c r="J253" s="104"/>
      <c r="K253" s="104"/>
      <c r="L253" s="104"/>
      <c r="P253" s="61" t="str">
        <f t="shared" si="8"/>
        <v/>
      </c>
      <c r="Q253" s="61" t="str">
        <f t="shared" si="7"/>
        <v/>
      </c>
    </row>
    <row r="254" spans="1:17" x14ac:dyDescent="0.3">
      <c r="A254" s="98">
        <v>252</v>
      </c>
      <c r="J254" s="104"/>
      <c r="K254" s="104"/>
      <c r="L254" s="104"/>
      <c r="P254" s="61" t="str">
        <f t="shared" si="8"/>
        <v/>
      </c>
      <c r="Q254" s="61" t="str">
        <f t="shared" si="7"/>
        <v/>
      </c>
    </row>
    <row r="255" spans="1:17" x14ac:dyDescent="0.3">
      <c r="A255" s="98">
        <v>253</v>
      </c>
      <c r="J255" s="104"/>
      <c r="K255" s="104"/>
      <c r="L255" s="104"/>
      <c r="P255" s="61" t="str">
        <f t="shared" si="8"/>
        <v/>
      </c>
      <c r="Q255" s="61" t="str">
        <f t="shared" si="7"/>
        <v/>
      </c>
    </row>
    <row r="256" spans="1:17" x14ac:dyDescent="0.3">
      <c r="A256" s="98">
        <v>254</v>
      </c>
      <c r="J256" s="104"/>
      <c r="K256" s="104"/>
      <c r="L256" s="104"/>
      <c r="P256" s="61" t="str">
        <f t="shared" si="8"/>
        <v/>
      </c>
      <c r="Q256" s="61" t="str">
        <f t="shared" si="7"/>
        <v/>
      </c>
    </row>
    <row r="257" spans="1:17" x14ac:dyDescent="0.3">
      <c r="A257" s="98">
        <v>255</v>
      </c>
      <c r="J257" s="104"/>
      <c r="K257" s="104"/>
      <c r="L257" s="104"/>
      <c r="P257" s="61" t="str">
        <f t="shared" si="8"/>
        <v/>
      </c>
      <c r="Q257" s="61" t="str">
        <f t="shared" si="7"/>
        <v/>
      </c>
    </row>
    <row r="258" spans="1:17" x14ac:dyDescent="0.3">
      <c r="A258" s="98">
        <v>256</v>
      </c>
      <c r="J258" s="104"/>
      <c r="K258" s="104"/>
      <c r="L258" s="104"/>
      <c r="P258" s="61" t="str">
        <f t="shared" si="8"/>
        <v/>
      </c>
      <c r="Q258" s="61" t="str">
        <f t="shared" si="7"/>
        <v/>
      </c>
    </row>
    <row r="259" spans="1:17" x14ac:dyDescent="0.3">
      <c r="A259" s="98">
        <v>257</v>
      </c>
      <c r="J259" s="104"/>
      <c r="K259" s="104"/>
      <c r="L259" s="104"/>
      <c r="P259" s="61" t="str">
        <f t="shared" si="8"/>
        <v/>
      </c>
      <c r="Q259" s="61" t="str">
        <f t="shared" si="7"/>
        <v/>
      </c>
    </row>
    <row r="260" spans="1:17" x14ac:dyDescent="0.3">
      <c r="A260" s="98">
        <v>258</v>
      </c>
      <c r="J260" s="104"/>
      <c r="K260" s="104"/>
      <c r="L260" s="104"/>
      <c r="P260" s="61" t="str">
        <f t="shared" si="8"/>
        <v/>
      </c>
      <c r="Q260" s="61" t="str">
        <f t="shared" ref="Q260:Q277" si="9">IF(P260="","",
IF(P260&lt;=0,"Not Due",
IF(P260&lt;=30,"1-30 Days",
IF(P260&lt;=60,"31-60 Days",
"&gt;60 Days"))))</f>
        <v/>
      </c>
    </row>
    <row r="261" spans="1:17" x14ac:dyDescent="0.3">
      <c r="A261" s="98">
        <v>259</v>
      </c>
      <c r="J261" s="104"/>
      <c r="K261" s="104"/>
      <c r="L261" s="104"/>
      <c r="P261" s="61" t="str">
        <f t="shared" si="8"/>
        <v/>
      </c>
      <c r="Q261" s="61" t="str">
        <f t="shared" si="9"/>
        <v/>
      </c>
    </row>
    <row r="262" spans="1:17" x14ac:dyDescent="0.3">
      <c r="A262" s="98">
        <v>260</v>
      </c>
      <c r="J262" s="104"/>
      <c r="K262" s="104"/>
      <c r="L262" s="104"/>
      <c r="P262" s="61" t="str">
        <f t="shared" si="8"/>
        <v/>
      </c>
      <c r="Q262" s="61" t="str">
        <f t="shared" si="9"/>
        <v/>
      </c>
    </row>
    <row r="263" spans="1:17" x14ac:dyDescent="0.3">
      <c r="A263" s="98">
        <v>261</v>
      </c>
      <c r="J263" s="104"/>
      <c r="K263" s="104"/>
      <c r="L263" s="104"/>
      <c r="P263" s="61" t="str">
        <f t="shared" si="8"/>
        <v/>
      </c>
      <c r="Q263" s="61" t="str">
        <f t="shared" si="9"/>
        <v/>
      </c>
    </row>
    <row r="264" spans="1:17" x14ac:dyDescent="0.3">
      <c r="A264" s="98">
        <v>262</v>
      </c>
      <c r="J264" s="104"/>
      <c r="K264" s="104"/>
      <c r="L264" s="104"/>
      <c r="P264" s="61" t="str">
        <f t="shared" si="8"/>
        <v/>
      </c>
      <c r="Q264" s="61" t="str">
        <f t="shared" si="9"/>
        <v/>
      </c>
    </row>
    <row r="265" spans="1:17" x14ac:dyDescent="0.3">
      <c r="A265" s="98">
        <v>263</v>
      </c>
      <c r="J265" s="104"/>
      <c r="K265" s="104"/>
      <c r="L265" s="104"/>
      <c r="P265" s="61" t="str">
        <f t="shared" si="8"/>
        <v/>
      </c>
      <c r="Q265" s="61" t="str">
        <f t="shared" si="9"/>
        <v/>
      </c>
    </row>
    <row r="266" spans="1:17" x14ac:dyDescent="0.3">
      <c r="A266" s="98">
        <v>264</v>
      </c>
      <c r="J266" s="104"/>
      <c r="K266" s="104"/>
      <c r="L266" s="104"/>
      <c r="P266" s="61" t="str">
        <f t="shared" si="8"/>
        <v/>
      </c>
      <c r="Q266" s="61" t="str">
        <f t="shared" si="9"/>
        <v/>
      </c>
    </row>
    <row r="267" spans="1:17" x14ac:dyDescent="0.3">
      <c r="A267" s="98">
        <v>265</v>
      </c>
      <c r="J267" s="104"/>
      <c r="K267" s="104"/>
      <c r="L267" s="104"/>
      <c r="P267" s="61" t="str">
        <f t="shared" si="8"/>
        <v/>
      </c>
      <c r="Q267" s="61" t="str">
        <f t="shared" si="9"/>
        <v/>
      </c>
    </row>
    <row r="268" spans="1:17" x14ac:dyDescent="0.3">
      <c r="A268" s="98">
        <v>266</v>
      </c>
      <c r="J268" s="104"/>
      <c r="K268" s="104"/>
      <c r="L268" s="104"/>
      <c r="P268" s="61" t="str">
        <f t="shared" si="8"/>
        <v/>
      </c>
      <c r="Q268" s="61" t="str">
        <f t="shared" si="9"/>
        <v/>
      </c>
    </row>
    <row r="269" spans="1:17" x14ac:dyDescent="0.3">
      <c r="A269" s="98">
        <v>267</v>
      </c>
      <c r="J269" s="104"/>
      <c r="K269" s="104"/>
      <c r="L269" s="104"/>
      <c r="P269" s="61" t="str">
        <f t="shared" si="8"/>
        <v/>
      </c>
      <c r="Q269" s="61" t="str">
        <f t="shared" si="9"/>
        <v/>
      </c>
    </row>
    <row r="270" spans="1:17" x14ac:dyDescent="0.3">
      <c r="A270" s="98">
        <v>268</v>
      </c>
      <c r="J270" s="104"/>
      <c r="K270" s="104"/>
      <c r="L270" s="104"/>
      <c r="P270" s="61" t="str">
        <f t="shared" si="8"/>
        <v/>
      </c>
      <c r="Q270" s="61" t="str">
        <f t="shared" si="9"/>
        <v/>
      </c>
    </row>
    <row r="271" spans="1:17" x14ac:dyDescent="0.3">
      <c r="A271" s="98">
        <v>269</v>
      </c>
      <c r="J271" s="104"/>
      <c r="K271" s="104"/>
      <c r="L271" s="104"/>
      <c r="P271" s="61" t="str">
        <f t="shared" si="8"/>
        <v/>
      </c>
      <c r="Q271" s="61" t="str">
        <f t="shared" si="9"/>
        <v/>
      </c>
    </row>
    <row r="272" spans="1:17" x14ac:dyDescent="0.3">
      <c r="A272" s="98">
        <v>270</v>
      </c>
      <c r="J272" s="104"/>
      <c r="K272" s="104"/>
      <c r="L272" s="104"/>
      <c r="P272" s="61" t="str">
        <f t="shared" ref="P272:P277" si="10">IF(O272="","",LEFT(O272,10)*(-1))</f>
        <v/>
      </c>
      <c r="Q272" s="61" t="str">
        <f t="shared" si="9"/>
        <v/>
      </c>
    </row>
    <row r="273" spans="1:17" x14ac:dyDescent="0.3">
      <c r="A273" s="98">
        <v>271</v>
      </c>
      <c r="J273" s="104"/>
      <c r="K273" s="104"/>
      <c r="L273" s="104"/>
      <c r="P273" s="61" t="str">
        <f t="shared" si="10"/>
        <v/>
      </c>
      <c r="Q273" s="61" t="str">
        <f t="shared" si="9"/>
        <v/>
      </c>
    </row>
    <row r="274" spans="1:17" x14ac:dyDescent="0.3">
      <c r="A274" s="98">
        <v>272</v>
      </c>
      <c r="J274" s="104"/>
      <c r="K274" s="104"/>
      <c r="L274" s="104"/>
      <c r="P274" s="61" t="str">
        <f t="shared" si="10"/>
        <v/>
      </c>
      <c r="Q274" s="61" t="str">
        <f t="shared" si="9"/>
        <v/>
      </c>
    </row>
    <row r="275" spans="1:17" x14ac:dyDescent="0.3">
      <c r="A275" s="98">
        <v>273</v>
      </c>
      <c r="J275" s="104"/>
      <c r="K275" s="104"/>
      <c r="L275" s="104"/>
      <c r="P275" s="61" t="str">
        <f t="shared" si="10"/>
        <v/>
      </c>
      <c r="Q275" s="61" t="str">
        <f t="shared" si="9"/>
        <v/>
      </c>
    </row>
    <row r="276" spans="1:17" x14ac:dyDescent="0.3">
      <c r="A276" s="98">
        <v>274</v>
      </c>
      <c r="J276" s="104"/>
      <c r="K276" s="104"/>
      <c r="L276" s="104"/>
      <c r="P276" s="61" t="str">
        <f t="shared" si="10"/>
        <v/>
      </c>
      <c r="Q276" s="61" t="str">
        <f t="shared" si="9"/>
        <v/>
      </c>
    </row>
    <row r="277" spans="1:17" x14ac:dyDescent="0.3">
      <c r="A277" s="98">
        <v>275</v>
      </c>
      <c r="J277" s="104"/>
      <c r="K277" s="104"/>
      <c r="L277" s="104"/>
      <c r="P277" s="61" t="str">
        <f t="shared" si="10"/>
        <v/>
      </c>
      <c r="Q277" s="61" t="str">
        <f t="shared" si="9"/>
        <v/>
      </c>
    </row>
  </sheetData>
  <mergeCells count="1">
    <mergeCell ref="S8:S9"/>
  </mergeCells>
  <dataValidations count="3">
    <dataValidation type="list" allowBlank="1" showInputMessage="1" showErrorMessage="1" sqref="M3:M96" xr:uid="{CF30C7B0-41AC-43A7-9F68-424231BD9AE5}">
      <formula1>"Pending, InProgress, Completed, Closed"</formula1>
    </dataValidation>
    <dataValidation type="list" allowBlank="1" showInputMessage="1" showErrorMessage="1" sqref="I3:I106" xr:uid="{525DAABC-51F9-423B-83FF-435E5544D955}">
      <formula1>"High, Medium, Low"</formula1>
    </dataValidation>
    <dataValidation type="list" allowBlank="1" showInputMessage="1" showErrorMessage="1" sqref="H3" xr:uid="{76BE2B0C-40BA-4986-892F-790F05292C53}">
      <formula1>"Issue, Modification, Information, Change Request, Quotation"</formula1>
    </dataValidation>
  </dataValidations>
  <hyperlinks>
    <hyperlink ref="A1" location="'All clients'!A1" display="&lt;---" xr:uid="{51579EBD-5782-4C22-A624-5FE1DE809BA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EBD8D-9CE5-4DDE-81F2-045257628C8D}">
  <dimension ref="A1:V195"/>
  <sheetViews>
    <sheetView topLeftCell="F1" zoomScale="80" zoomScaleNormal="80" workbookViewId="0">
      <selection activeCell="K60" sqref="K60"/>
    </sheetView>
  </sheetViews>
  <sheetFormatPr defaultColWidth="8" defaultRowHeight="15.6" x14ac:dyDescent="0.3"/>
  <cols>
    <col min="1" max="1" width="4.8984375" style="62" customWidth="1"/>
    <col min="2" max="2" width="11.19921875" style="62" bestFit="1" customWidth="1"/>
    <col min="3" max="3" width="10" style="62" bestFit="1" customWidth="1"/>
    <col min="4" max="4" width="19" style="62" customWidth="1"/>
    <col min="5" max="5" width="9.5" style="62" customWidth="1"/>
    <col min="6" max="6" width="23.796875" style="62" customWidth="1"/>
    <col min="7" max="7" width="60.59765625" style="62" customWidth="1"/>
    <col min="8" max="8" width="11.59765625" style="62" bestFit="1" customWidth="1"/>
    <col min="9" max="9" width="11.59765625" style="62" customWidth="1"/>
    <col min="10" max="10" width="14.5" style="62" bestFit="1" customWidth="1"/>
    <col min="11" max="11" width="16.796875" style="62" bestFit="1" customWidth="1"/>
    <col min="12" max="12" width="16.09765625" style="62" bestFit="1" customWidth="1"/>
    <col min="13" max="13" width="9.796875" style="62" bestFit="1" customWidth="1"/>
    <col min="14" max="14" width="16.59765625" style="62" customWidth="1"/>
    <col min="15" max="15" width="16.19921875" style="62" customWidth="1"/>
    <col min="16" max="16" width="8.796875" style="62" customWidth="1"/>
    <col min="17" max="17" width="10" style="62" customWidth="1"/>
    <col min="18" max="18" width="8" style="62"/>
    <col min="19" max="19" width="9" style="62" customWidth="1"/>
    <col min="20" max="20" width="11.296875" style="62" customWidth="1"/>
    <col min="21" max="16384" width="8" style="62"/>
  </cols>
  <sheetData>
    <row r="1" spans="1:22" s="53" customFormat="1" ht="26.4" customHeight="1" x14ac:dyDescent="0.3">
      <c r="A1" s="45" t="s">
        <v>48</v>
      </c>
      <c r="B1" s="46" t="s">
        <v>49</v>
      </c>
      <c r="C1" s="46">
        <f>T7</f>
        <v>52</v>
      </c>
      <c r="D1" s="47" t="s">
        <v>50</v>
      </c>
      <c r="E1" s="48">
        <f>SUM(T3:T4)</f>
        <v>16</v>
      </c>
      <c r="F1" s="49" t="s">
        <v>51</v>
      </c>
      <c r="G1" s="50">
        <f>SUM(T5:T6)</f>
        <v>36</v>
      </c>
      <c r="H1" s="51"/>
      <c r="I1" s="51"/>
      <c r="J1" s="51"/>
      <c r="K1" s="51"/>
      <c r="L1" s="51"/>
      <c r="M1" s="51"/>
      <c r="N1" s="51"/>
      <c r="O1" s="51"/>
    </row>
    <row r="2" spans="1:22" s="56" customFormat="1" ht="27.6" x14ac:dyDescent="0.3">
      <c r="A2" s="81" t="s">
        <v>52</v>
      </c>
      <c r="B2" s="81" t="s">
        <v>53</v>
      </c>
      <c r="C2" s="81" t="s">
        <v>54</v>
      </c>
      <c r="D2" s="81" t="s">
        <v>55</v>
      </c>
      <c r="E2" s="81" t="s">
        <v>56</v>
      </c>
      <c r="F2" s="81" t="s">
        <v>57</v>
      </c>
      <c r="G2" s="81" t="s">
        <v>58</v>
      </c>
      <c r="H2" s="81" t="s">
        <v>59</v>
      </c>
      <c r="I2" s="81" t="s">
        <v>60</v>
      </c>
      <c r="J2" s="81" t="s">
        <v>61</v>
      </c>
      <c r="K2" s="81" t="s">
        <v>62</v>
      </c>
      <c r="L2" s="81" t="s">
        <v>63</v>
      </c>
      <c r="M2" s="81" t="s">
        <v>64</v>
      </c>
      <c r="N2" s="81" t="s">
        <v>65</v>
      </c>
      <c r="O2" s="81" t="s">
        <v>66</v>
      </c>
      <c r="P2" s="56" t="s">
        <v>67</v>
      </c>
      <c r="Q2" s="56" t="s">
        <v>68</v>
      </c>
    </row>
    <row r="3" spans="1:22" s="64" customFormat="1" ht="41.4" x14ac:dyDescent="0.3">
      <c r="A3" s="82">
        <v>1</v>
      </c>
      <c r="B3" s="93" t="s">
        <v>1025</v>
      </c>
      <c r="C3" s="93" t="s">
        <v>70</v>
      </c>
      <c r="D3" s="93" t="s">
        <v>238</v>
      </c>
      <c r="E3" s="93" t="s">
        <v>357</v>
      </c>
      <c r="F3" s="93" t="s">
        <v>1026</v>
      </c>
      <c r="G3" s="93" t="s">
        <v>1027</v>
      </c>
      <c r="H3" s="93" t="s">
        <v>74</v>
      </c>
      <c r="I3" s="57" t="s">
        <v>75</v>
      </c>
      <c r="J3" s="94">
        <v>45988.450694444444</v>
      </c>
      <c r="K3" s="94">
        <v>46113.657638888886</v>
      </c>
      <c r="L3" s="79"/>
      <c r="M3" s="93" t="s">
        <v>85</v>
      </c>
      <c r="N3" s="59" t="str">
        <f>IF(ISBLANK(J3),"",IF(OR(M3="Completed",M3="Closed"),"",IF(H3="Issue",IF(I3="High",WORKDAY(J3,2,DATA!A2:A30),IF(I3="Medium",WORKDAY(J3,14,DATA!A2:A30),IF(OR(I3="Low"),WORKDAY(J3,30,DATA!A2:A30),""))),
"")
))</f>
        <v/>
      </c>
      <c r="O3" s="60" t="str">
        <f ca="1">IF(OR(ISBLANK(#REF!), M3="Completed", M3="Closed", H3&lt;&gt;"Issue"), "",
   (NETWORKDAYS.INTL(TODAY(), N3, 1, DATA!A2:A30) - 1))</f>
        <v/>
      </c>
      <c r="P3" s="64" t="str">
        <f ca="1">IF(O3="","",LEFT(O3,10)*(-1))</f>
        <v/>
      </c>
      <c r="Q3" s="64" t="str">
        <f ca="1">IF(P3="","",
IF(P3&lt;=0,"Not Due",
IF(P3&lt;=30,"1-30 Days",
IF(P3&lt;=60,"31-60 Days",
"&gt;60 Days"))))</f>
        <v/>
      </c>
      <c r="S3" s="63" t="s">
        <v>77</v>
      </c>
      <c r="T3" s="64">
        <f>COUNTIF(M3:M299, "Pending")</f>
        <v>15</v>
      </c>
    </row>
    <row r="4" spans="1:22" s="64" customFormat="1" ht="41.4" x14ac:dyDescent="0.3">
      <c r="A4" s="82">
        <v>2</v>
      </c>
      <c r="B4" s="93" t="s">
        <v>1028</v>
      </c>
      <c r="C4" s="79"/>
      <c r="D4" s="93" t="s">
        <v>500</v>
      </c>
      <c r="E4" s="93" t="s">
        <v>357</v>
      </c>
      <c r="F4" s="93" t="s">
        <v>1029</v>
      </c>
      <c r="G4" s="93" t="s">
        <v>1030</v>
      </c>
      <c r="H4" s="93" t="s">
        <v>74</v>
      </c>
      <c r="I4" s="57" t="s">
        <v>75</v>
      </c>
      <c r="J4" s="94">
        <v>45988.45208333333</v>
      </c>
      <c r="K4" s="79"/>
      <c r="L4" s="79"/>
      <c r="M4" s="93" t="s">
        <v>77</v>
      </c>
      <c r="N4" s="59">
        <f>IF(ISBLANK(J4),"",IF(OR(M4="Completed",M4="Closed"),"",IF(H4="Issue",IF(I4="High",WORKDAY(J4,2,DATA!A3:A31),IF(I4="Medium",WORKDAY(J4,14,DATA!A3:A31),IF(OR(I4="Low"),WORKDAY(J4,30,DATA!A3:A31),""))),
"")
))</f>
        <v>46008</v>
      </c>
      <c r="O4" s="60">
        <f ca="1">IF(OR(ISBLANK(#REF!), M4="Completed", M4="Closed", H4&lt;&gt;"Issue"), "",
   (NETWORKDAYS.INTL(TODAY(), N4, 1, DATA!A3:A31) - 1))</f>
        <v>-147</v>
      </c>
      <c r="P4" s="64">
        <f t="shared" ref="P4:P67" ca="1" si="0">IF(O4="","",LEFT(O4,10)*(-1))</f>
        <v>147</v>
      </c>
      <c r="Q4" s="64" t="str">
        <f t="shared" ref="Q4:Q62" ca="1" si="1">IF(P4="","",
IF(P4&lt;=0,"Not Due",
IF(P4&lt;=30,"1-30 Days",
IF(P4&lt;=60,"31-60 Days",
"&gt;60 Days"))))</f>
        <v>&gt;60 Days</v>
      </c>
      <c r="S4" s="63" t="s">
        <v>80</v>
      </c>
      <c r="T4" s="64">
        <f>COUNTIF(M3:M299, "InProgress")</f>
        <v>1</v>
      </c>
    </row>
    <row r="5" spans="1:22" s="64" customFormat="1" ht="27.6" x14ac:dyDescent="0.3">
      <c r="A5" s="82">
        <v>3</v>
      </c>
      <c r="B5" s="93" t="s">
        <v>1031</v>
      </c>
      <c r="C5" s="79"/>
      <c r="D5" s="93" t="s">
        <v>238</v>
      </c>
      <c r="E5" s="93" t="s">
        <v>357</v>
      </c>
      <c r="F5" s="93" t="s">
        <v>1032</v>
      </c>
      <c r="G5" s="93" t="s">
        <v>1033</v>
      </c>
      <c r="H5" s="93" t="s">
        <v>74</v>
      </c>
      <c r="I5" s="57" t="s">
        <v>75</v>
      </c>
      <c r="J5" s="94">
        <v>45992.390972222223</v>
      </c>
      <c r="K5" s="79"/>
      <c r="L5" s="79"/>
      <c r="M5" s="93" t="s">
        <v>77</v>
      </c>
      <c r="N5" s="59">
        <f>IF(ISBLANK(J5),"",IF(OR(M5="Completed",M5="Closed"),"",IF(H5="Issue",IF(I5="High",WORKDAY(J5,2,DATA!A4:A32),IF(I5="Medium",WORKDAY(J5,14,DATA!A4:A32),IF(OR(I5="Low"),WORKDAY(J5,30,DATA!A4:A32),""))),
"")
))</f>
        <v>46010</v>
      </c>
      <c r="O5" s="60">
        <f ca="1">IF(OR(ISBLANK(#REF!), M5="Completed", M5="Closed", H5&lt;&gt;"Issue"), "",
   (NETWORKDAYS.INTL(TODAY(), N5, 1, DATA!A4:A32) - 1))</f>
        <v>-146</v>
      </c>
      <c r="P5" s="64">
        <f t="shared" ca="1" si="0"/>
        <v>146</v>
      </c>
      <c r="Q5" s="64" t="str">
        <f t="shared" ca="1" si="1"/>
        <v>&gt;60 Days</v>
      </c>
      <c r="S5" s="65" t="s">
        <v>85</v>
      </c>
      <c r="T5" s="64">
        <f>COUNTIF(M3:M299, "Completed")</f>
        <v>8</v>
      </c>
    </row>
    <row r="6" spans="1:22" s="64" customFormat="1" ht="41.4" x14ac:dyDescent="0.3">
      <c r="A6" s="82">
        <v>4</v>
      </c>
      <c r="B6" s="93" t="s">
        <v>1034</v>
      </c>
      <c r="C6" s="93" t="s">
        <v>70</v>
      </c>
      <c r="D6" s="93" t="s">
        <v>238</v>
      </c>
      <c r="E6" s="93" t="s">
        <v>357</v>
      </c>
      <c r="F6" s="93" t="s">
        <v>1035</v>
      </c>
      <c r="G6" s="93" t="s">
        <v>1036</v>
      </c>
      <c r="H6" s="93" t="s">
        <v>74</v>
      </c>
      <c r="I6" s="57" t="s">
        <v>75</v>
      </c>
      <c r="J6" s="94">
        <v>45992.422222222223</v>
      </c>
      <c r="K6" s="94">
        <v>46209.441666666666</v>
      </c>
      <c r="L6" s="94">
        <v>46209.442361111112</v>
      </c>
      <c r="M6" s="93" t="s">
        <v>76</v>
      </c>
      <c r="N6" s="59" t="str">
        <f>IF(ISBLANK(J6),"",IF(OR(M6="Completed",M6="Closed"),"",IF(H6="Issue",IF(I6="High",WORKDAY(J6,2,DATA!A5:A33),IF(I6="Medium",WORKDAY(J6,14,DATA!A5:A33),IF(OR(I6="Low"),WORKDAY(J6,30,DATA!A5:A33),""))),
"")
))</f>
        <v/>
      </c>
      <c r="O6" s="60" t="str">
        <f ca="1">IF(OR(ISBLANK(#REF!), M6="Completed", M6="Closed", H6&lt;&gt;"Issue"), "",
   (NETWORKDAYS.INTL(TODAY(), N6, 1, DATA!A5:A33) - 1))</f>
        <v/>
      </c>
      <c r="P6" s="64" t="str">
        <f t="shared" ca="1" si="0"/>
        <v/>
      </c>
      <c r="Q6" s="64" t="str">
        <f t="shared" ca="1" si="1"/>
        <v/>
      </c>
      <c r="S6" s="65" t="s">
        <v>76</v>
      </c>
      <c r="T6" s="64">
        <f>COUNTIF(M3:M299, "Closed")</f>
        <v>28</v>
      </c>
    </row>
    <row r="7" spans="1:22" s="64" customFormat="1" ht="41.4" x14ac:dyDescent="0.3">
      <c r="A7" s="82">
        <v>5</v>
      </c>
      <c r="B7" s="93" t="s">
        <v>1037</v>
      </c>
      <c r="C7" s="93" t="s">
        <v>70</v>
      </c>
      <c r="D7" s="93" t="s">
        <v>238</v>
      </c>
      <c r="E7" s="93" t="s">
        <v>357</v>
      </c>
      <c r="F7" s="93" t="s">
        <v>1038</v>
      </c>
      <c r="G7" s="93" t="s">
        <v>1039</v>
      </c>
      <c r="H7" s="93" t="s">
        <v>74</v>
      </c>
      <c r="I7" s="57" t="s">
        <v>75</v>
      </c>
      <c r="J7" s="94">
        <v>45994.727083333331</v>
      </c>
      <c r="K7" s="94">
        <v>46209.434027777781</v>
      </c>
      <c r="L7" s="79"/>
      <c r="M7" s="93" t="s">
        <v>85</v>
      </c>
      <c r="N7" s="59" t="str">
        <f>IF(ISBLANK(J7),"",IF(OR(M7="Completed",M7="Closed"),"",IF(H7="Issue",IF(I7="High",WORKDAY(J7,2,DATA!A6:A34),IF(I7="Medium",WORKDAY(J7,14,DATA!A6:A34),IF(OR(I7="Low"),WORKDAY(J7,30,DATA!A6:A34),""))),
"")
))</f>
        <v/>
      </c>
      <c r="O7" s="60" t="str">
        <f ca="1">IF(OR(ISBLANK(#REF!), M7="Completed", M7="Closed", H7&lt;&gt;"Issue"), "",
   (NETWORKDAYS.INTL(TODAY(), N7, 1, DATA!A6:A34) - 1))</f>
        <v/>
      </c>
      <c r="P7" s="64" t="str">
        <f t="shared" ca="1" si="0"/>
        <v/>
      </c>
      <c r="Q7" s="64" t="str">
        <f t="shared" ca="1" si="1"/>
        <v/>
      </c>
      <c r="S7" s="76" t="s">
        <v>49</v>
      </c>
      <c r="T7" s="64">
        <f>SUM(T3:T6)</f>
        <v>52</v>
      </c>
    </row>
    <row r="8" spans="1:22" s="64" customFormat="1" ht="41.4" x14ac:dyDescent="0.3">
      <c r="A8" s="82">
        <v>6</v>
      </c>
      <c r="B8" s="93" t="s">
        <v>1040</v>
      </c>
      <c r="C8" s="79"/>
      <c r="D8" s="93" t="s">
        <v>238</v>
      </c>
      <c r="E8" s="93" t="s">
        <v>357</v>
      </c>
      <c r="F8" s="93" t="s">
        <v>1041</v>
      </c>
      <c r="G8" s="93" t="s">
        <v>1042</v>
      </c>
      <c r="H8" s="93" t="s">
        <v>74</v>
      </c>
      <c r="I8" s="57" t="s">
        <v>75</v>
      </c>
      <c r="J8" s="94">
        <v>46002.45208333333</v>
      </c>
      <c r="K8" s="79"/>
      <c r="L8" s="79"/>
      <c r="M8" s="93" t="s">
        <v>77</v>
      </c>
      <c r="N8" s="59">
        <f>IF(ISBLANK(J8),"",IF(OR(M8="Completed",M8="Closed"),"",IF(H8="Issue",IF(I8="High",WORKDAY(J8,2,DATA!A7:A35),IF(I8="Medium",WORKDAY(J8,14,DATA!A7:A35),IF(OR(I8="Low"),WORKDAY(J8,30,DATA!A7:A35),""))),
"")
))</f>
        <v>46022</v>
      </c>
      <c r="O8" s="60">
        <f ca="1">IF(OR(ISBLANK(#REF!), M8="Completed", M8="Closed", H8&lt;&gt;"Issue"), "",
   (NETWORKDAYS.INTL(TODAY(), N8, 1, DATA!A7:A35) - 1))</f>
        <v>-141</v>
      </c>
      <c r="P8" s="64">
        <f t="shared" ca="1" si="0"/>
        <v>141</v>
      </c>
      <c r="Q8" s="64" t="str">
        <f t="shared" ca="1" si="1"/>
        <v>&gt;60 Days</v>
      </c>
      <c r="S8" s="139" t="s">
        <v>66</v>
      </c>
      <c r="T8" s="69" t="s">
        <v>94</v>
      </c>
      <c r="U8" s="69" t="s">
        <v>95</v>
      </c>
      <c r="V8" s="69" t="s">
        <v>96</v>
      </c>
    </row>
    <row r="9" spans="1:22" s="64" customFormat="1" ht="27.6" x14ac:dyDescent="0.3">
      <c r="A9" s="82">
        <v>7</v>
      </c>
      <c r="B9" s="93" t="s">
        <v>1043</v>
      </c>
      <c r="C9" s="93" t="s">
        <v>70</v>
      </c>
      <c r="D9" s="93" t="s">
        <v>452</v>
      </c>
      <c r="E9" s="93" t="s">
        <v>357</v>
      </c>
      <c r="F9" s="93" t="s">
        <v>1044</v>
      </c>
      <c r="G9" s="93" t="s">
        <v>1045</v>
      </c>
      <c r="H9" s="93" t="s">
        <v>1046</v>
      </c>
      <c r="I9" s="57" t="s">
        <v>75</v>
      </c>
      <c r="J9" s="94">
        <v>46003.512499999997</v>
      </c>
      <c r="K9" s="79"/>
      <c r="L9" s="79"/>
      <c r="M9" s="93" t="s">
        <v>566</v>
      </c>
      <c r="N9" s="59" t="str">
        <f>IF(ISBLANK(J9),"",IF(OR(M9="Completed",M9="Closed"),"",IF(H9="Issue",IF(I9="High",WORKDAY(J9,2,DATA!A8:A36),IF(I9="Medium",WORKDAY(J9,14,DATA!A8:A36),IF(OR(I9="Low"),WORKDAY(J9,30,DATA!A8:A36),""))),
"")
))</f>
        <v/>
      </c>
      <c r="O9" s="60" t="str">
        <f ca="1">IF(OR(ISBLANK(#REF!), M9="Completed", M9="Closed", H9&lt;&gt;"Issue"), "",
   (NETWORKDAYS.INTL(TODAY(), N9, 1, DATA!A8:A36) - 1))</f>
        <v/>
      </c>
      <c r="P9" s="64" t="str">
        <f t="shared" ca="1" si="0"/>
        <v/>
      </c>
      <c r="Q9" s="64" t="str">
        <f t="shared" ca="1" si="1"/>
        <v/>
      </c>
      <c r="S9" s="139"/>
      <c r="T9" s="70">
        <f ca="1">COUNTIFS(P3:P277,"&gt;=1",P3:P277,"&lt;=30")</f>
        <v>2</v>
      </c>
      <c r="U9" s="70">
        <f ca="1">COUNTIFS(P3:P277,"&gt;=31",P3:P277,"&lt;=60")</f>
        <v>6</v>
      </c>
      <c r="V9" s="70">
        <f ca="1">COUNTIFS(P3:P277,"&gt;60")</f>
        <v>7</v>
      </c>
    </row>
    <row r="10" spans="1:22" s="64" customFormat="1" ht="41.4" x14ac:dyDescent="0.3">
      <c r="A10" s="82">
        <v>8</v>
      </c>
      <c r="B10" s="93" t="s">
        <v>1047</v>
      </c>
      <c r="C10" s="93" t="s">
        <v>70</v>
      </c>
      <c r="D10" s="93" t="s">
        <v>375</v>
      </c>
      <c r="E10" s="93" t="s">
        <v>357</v>
      </c>
      <c r="F10" s="93" t="s">
        <v>1048</v>
      </c>
      <c r="G10" s="93" t="s">
        <v>1049</v>
      </c>
      <c r="H10" s="93" t="s">
        <v>74</v>
      </c>
      <c r="I10" s="57" t="s">
        <v>75</v>
      </c>
      <c r="J10" s="94">
        <v>46010.436111111114</v>
      </c>
      <c r="K10" s="94">
        <v>46010.915972222225</v>
      </c>
      <c r="L10" s="94">
        <v>46069.677777777775</v>
      </c>
      <c r="M10" s="93" t="s">
        <v>76</v>
      </c>
      <c r="N10" s="59" t="str">
        <f>IF(ISBLANK(J10),"",IF(OR(M10="Completed",M10="Closed"),"",IF(H10="Issue",IF(I10="High",WORKDAY(J10,2,DATA!A9:A37),IF(I10="Medium",WORKDAY(J10,14,DATA!A9:A37),IF(OR(I10="Low"),WORKDAY(J10,30,DATA!A9:A37),""))),
"")
))</f>
        <v/>
      </c>
      <c r="O10" s="60" t="str">
        <f ca="1">IF(OR(ISBLANK(#REF!), M10="Completed", M10="Closed", H10&lt;&gt;"Issue"), "",
   (NETWORKDAYS.INTL(TODAY(), N10, 1, DATA!A9:A37) - 1))</f>
        <v/>
      </c>
      <c r="P10" s="64" t="str">
        <f t="shared" ca="1" si="0"/>
        <v/>
      </c>
      <c r="Q10" s="64" t="str">
        <f t="shared" ca="1" si="1"/>
        <v/>
      </c>
    </row>
    <row r="11" spans="1:22" s="64" customFormat="1" ht="41.4" x14ac:dyDescent="0.3">
      <c r="A11" s="82">
        <v>9</v>
      </c>
      <c r="B11" s="93" t="s">
        <v>1050</v>
      </c>
      <c r="C11" s="79"/>
      <c r="D11" s="93" t="s">
        <v>375</v>
      </c>
      <c r="E11" s="93" t="s">
        <v>357</v>
      </c>
      <c r="F11" s="93" t="s">
        <v>1051</v>
      </c>
      <c r="G11" s="93" t="s">
        <v>1052</v>
      </c>
      <c r="H11" s="93" t="s">
        <v>74</v>
      </c>
      <c r="I11" s="57" t="s">
        <v>75</v>
      </c>
      <c r="J11" s="94">
        <v>46010.439583333333</v>
      </c>
      <c r="K11" s="79"/>
      <c r="L11" s="79"/>
      <c r="M11" s="93" t="s">
        <v>77</v>
      </c>
      <c r="N11" s="59">
        <f>IF(ISBLANK(J11),"",IF(OR(M11="Completed",M11="Closed"),"",IF(H11="Issue",IF(I11="High",WORKDAY(J11,2,DATA!A10:A38),IF(I11="Medium",WORKDAY(J11,14,DATA!A10:A38),IF(OR(I11="Low"),WORKDAY(J11,30,DATA!A10:A38),""))),
"")
))</f>
        <v>46031</v>
      </c>
      <c r="O11" s="60">
        <f ca="1">IF(OR(ISBLANK(#REF!), M11="Completed", M11="Closed", H11&lt;&gt;"Issue"), "",
   (NETWORKDAYS.INTL(TODAY(), N11, 1, DATA!A10:A38) - 1))</f>
        <v>-138</v>
      </c>
      <c r="P11" s="64">
        <f t="shared" ca="1" si="0"/>
        <v>138</v>
      </c>
      <c r="Q11" s="64" t="str">
        <f t="shared" ca="1" si="1"/>
        <v>&gt;60 Days</v>
      </c>
    </row>
    <row r="12" spans="1:22" s="64" customFormat="1" ht="55.2" x14ac:dyDescent="0.3">
      <c r="A12" s="82">
        <v>10</v>
      </c>
      <c r="B12" s="93" t="s">
        <v>1053</v>
      </c>
      <c r="C12" s="93" t="s">
        <v>70</v>
      </c>
      <c r="D12" s="93" t="s">
        <v>375</v>
      </c>
      <c r="E12" s="93" t="s">
        <v>357</v>
      </c>
      <c r="F12" s="93" t="s">
        <v>1054</v>
      </c>
      <c r="G12" s="93" t="s">
        <v>1055</v>
      </c>
      <c r="H12" s="93" t="s">
        <v>74</v>
      </c>
      <c r="I12" s="57" t="s">
        <v>75</v>
      </c>
      <c r="J12" s="94">
        <v>46010.445138888892</v>
      </c>
      <c r="K12" s="94">
        <v>46010.896527777775</v>
      </c>
      <c r="L12" s="94">
        <v>46069.586111111108</v>
      </c>
      <c r="M12" s="93" t="s">
        <v>76</v>
      </c>
      <c r="N12" s="59" t="str">
        <f>IF(ISBLANK(J12),"",IF(OR(M12="Completed",M12="Closed"),"",IF(H12="Issue",IF(I12="High",WORKDAY(J12,2,DATA!A11:A39),IF(I12="Medium",WORKDAY(J12,14,DATA!A11:A39),IF(OR(I12="Low"),WORKDAY(J12,30,DATA!A11:A39),""))),
"")
))</f>
        <v/>
      </c>
      <c r="O12" s="60" t="str">
        <f ca="1">IF(OR(ISBLANK(#REF!), M12="Completed", M12="Closed", H12&lt;&gt;"Issue"), "",
   (NETWORKDAYS.INTL(TODAY(), N12, 1, DATA!A11:A39) - 1))</f>
        <v/>
      </c>
      <c r="P12" s="64" t="str">
        <f t="shared" ca="1" si="0"/>
        <v/>
      </c>
      <c r="Q12" s="64" t="str">
        <f t="shared" ca="1" si="1"/>
        <v/>
      </c>
    </row>
    <row r="13" spans="1:22" s="64" customFormat="1" ht="41.4" x14ac:dyDescent="0.3">
      <c r="A13" s="82">
        <v>11</v>
      </c>
      <c r="B13" s="93" t="s">
        <v>1056</v>
      </c>
      <c r="C13" s="93" t="s">
        <v>70</v>
      </c>
      <c r="D13" s="93" t="s">
        <v>375</v>
      </c>
      <c r="E13" s="93" t="s">
        <v>357</v>
      </c>
      <c r="F13" s="93" t="s">
        <v>1057</v>
      </c>
      <c r="G13" s="93" t="s">
        <v>1058</v>
      </c>
      <c r="H13" s="93" t="s">
        <v>74</v>
      </c>
      <c r="I13" s="57" t="s">
        <v>75</v>
      </c>
      <c r="J13" s="94">
        <v>46010.449305555558</v>
      </c>
      <c r="K13" s="94">
        <v>46010.959027777775</v>
      </c>
      <c r="L13" s="94">
        <v>46069.585416666669</v>
      </c>
      <c r="M13" s="93" t="s">
        <v>76</v>
      </c>
      <c r="N13" s="59" t="str">
        <f>IF(ISBLANK(J13),"",IF(OR(M13="Completed",M13="Closed"),"",IF(H13="Issue",IF(I13="High",WORKDAY(J13,2,DATA!A12:A40),IF(I13="Medium",WORKDAY(J13,14,DATA!A12:A40),IF(OR(I13="Low"),WORKDAY(J13,30,DATA!A12:A40),""))),
"")
))</f>
        <v/>
      </c>
      <c r="O13" s="60" t="str">
        <f ca="1">IF(OR(ISBLANK(#REF!), M13="Completed", M13="Closed", H13&lt;&gt;"Issue"), "",
   (NETWORKDAYS.INTL(TODAY(), N13, 1, DATA!A12:A40) - 1))</f>
        <v/>
      </c>
      <c r="P13" s="64" t="str">
        <f t="shared" ca="1" si="0"/>
        <v/>
      </c>
      <c r="Q13" s="64" t="str">
        <f t="shared" ca="1" si="1"/>
        <v/>
      </c>
    </row>
    <row r="14" spans="1:22" s="64" customFormat="1" ht="69" x14ac:dyDescent="0.3">
      <c r="A14" s="82">
        <v>12</v>
      </c>
      <c r="B14" s="93" t="s">
        <v>1059</v>
      </c>
      <c r="C14" s="93" t="s">
        <v>70</v>
      </c>
      <c r="D14" s="93" t="s">
        <v>1060</v>
      </c>
      <c r="E14" s="93" t="s">
        <v>357</v>
      </c>
      <c r="F14" s="93" t="s">
        <v>1061</v>
      </c>
      <c r="G14" s="93" t="s">
        <v>1062</v>
      </c>
      <c r="H14" s="93" t="s">
        <v>74</v>
      </c>
      <c r="I14" s="57" t="s">
        <v>75</v>
      </c>
      <c r="J14" s="94">
        <v>46010.454861111109</v>
      </c>
      <c r="K14" s="94">
        <v>46085.500694444447</v>
      </c>
      <c r="L14" s="94">
        <v>46085.501388888886</v>
      </c>
      <c r="M14" s="93" t="s">
        <v>76</v>
      </c>
      <c r="N14" s="59" t="str">
        <f>IF(ISBLANK(J14),"",IF(OR(M14="Completed",M14="Closed"),"",IF(H14="Issue",IF(I14="High",WORKDAY(J14,2,DATA!A13:A41),IF(I14="Medium",WORKDAY(J14,14,DATA!A13:A41),IF(OR(I14="Low"),WORKDAY(J14,30,DATA!A13:A41),""))),
"")
))</f>
        <v/>
      </c>
      <c r="O14" s="60" t="str">
        <f ca="1">IF(OR(ISBLANK(#REF!), M14="Completed", M14="Closed", H14&lt;&gt;"Issue"), "",
   (NETWORKDAYS.INTL(TODAY(), N14, 1, DATA!A2:A30) - 1))</f>
        <v/>
      </c>
      <c r="P14" s="64" t="str">
        <f t="shared" ca="1" si="0"/>
        <v/>
      </c>
      <c r="Q14" s="64" t="str">
        <f t="shared" ca="1" si="1"/>
        <v/>
      </c>
    </row>
    <row r="15" spans="1:22" s="64" customFormat="1" ht="55.2" x14ac:dyDescent="0.3">
      <c r="A15" s="82">
        <v>13</v>
      </c>
      <c r="B15" s="93" t="s">
        <v>1063</v>
      </c>
      <c r="C15" s="79"/>
      <c r="D15" s="93" t="s">
        <v>238</v>
      </c>
      <c r="E15" s="93" t="s">
        <v>357</v>
      </c>
      <c r="F15" s="93" t="s">
        <v>1064</v>
      </c>
      <c r="G15" s="93" t="s">
        <v>1065</v>
      </c>
      <c r="H15" s="93" t="s">
        <v>74</v>
      </c>
      <c r="I15" s="57" t="s">
        <v>75</v>
      </c>
      <c r="J15" s="94">
        <v>46013.345138888886</v>
      </c>
      <c r="K15" s="79"/>
      <c r="L15" s="79"/>
      <c r="M15" s="93" t="s">
        <v>77</v>
      </c>
      <c r="N15" s="59">
        <f>IF(ISBLANK(J15),"",IF(OR(M15="Completed",M15="Closed"),"",IF(H15="Issue",IF(I15="High",WORKDAY(J15,2,DATA!A14:A42),IF(I15="Medium",WORKDAY(J15,14,DATA!A14:A42),IF(OR(I15="Low"),WORKDAY(J15,30,DATA!A14:A42),""))),
"")
))</f>
        <v>46034</v>
      </c>
      <c r="O15" s="60">
        <f ca="1">IF(OR(ISBLANK(#REF!), M15="Completed", M15="Closed", H15&lt;&gt;"Issue"), "",
   (NETWORKDAYS.INTL(TODAY(), N15, 1, DATA!A14:A42) - 1))</f>
        <v>-139</v>
      </c>
      <c r="P15" s="64">
        <f t="shared" ca="1" si="0"/>
        <v>139</v>
      </c>
      <c r="Q15" s="64" t="str">
        <f t="shared" ca="1" si="1"/>
        <v>&gt;60 Days</v>
      </c>
    </row>
    <row r="16" spans="1:22" s="64" customFormat="1" ht="27.6" x14ac:dyDescent="0.3">
      <c r="A16" s="82">
        <v>14</v>
      </c>
      <c r="B16" s="93" t="s">
        <v>364</v>
      </c>
      <c r="C16" s="93" t="s">
        <v>70</v>
      </c>
      <c r="D16" s="93" t="s">
        <v>238</v>
      </c>
      <c r="E16" s="93" t="s">
        <v>357</v>
      </c>
      <c r="F16" s="93" t="s">
        <v>365</v>
      </c>
      <c r="G16" s="93" t="s">
        <v>366</v>
      </c>
      <c r="H16" s="93" t="s">
        <v>74</v>
      </c>
      <c r="I16" s="57" t="s">
        <v>75</v>
      </c>
      <c r="J16" s="94">
        <v>46030.699305555558</v>
      </c>
      <c r="K16" s="94">
        <v>46077.435416666667</v>
      </c>
      <c r="L16" s="94">
        <v>46086.407638888886</v>
      </c>
      <c r="M16" s="93" t="s">
        <v>76</v>
      </c>
      <c r="N16" s="59" t="str">
        <f>IF(ISBLANK(J16),"",IF(OR(M16="Completed",M16="Closed"),"",IF(H16="Issue",IF(I16="High",WORKDAY(J16,2,DATA!A15:A43),IF(I16="Medium",WORKDAY(J16,14,DATA!A15:A43),IF(OR(I16="Low"),WORKDAY(J16,30,DATA!A15:A43),""))),
"")
))</f>
        <v/>
      </c>
      <c r="O16" s="60" t="str">
        <f ca="1">IF(OR(ISBLANK(#REF!), M16="Completed", M16="Closed", H16&lt;&gt;"Issue"), "",
   (NETWORKDAYS.INTL(TODAY(), N16, 1, DATA!A15:A43) - 1))</f>
        <v/>
      </c>
      <c r="P16" s="64" t="str">
        <f t="shared" ca="1" si="0"/>
        <v/>
      </c>
      <c r="Q16" s="64" t="str">
        <f t="shared" ca="1" si="1"/>
        <v/>
      </c>
    </row>
    <row r="17" spans="1:17" s="64" customFormat="1" ht="234.6" x14ac:dyDescent="0.3">
      <c r="A17" s="82">
        <v>15</v>
      </c>
      <c r="B17" s="93" t="s">
        <v>367</v>
      </c>
      <c r="C17" s="93" t="s">
        <v>70</v>
      </c>
      <c r="D17" s="93" t="s">
        <v>368</v>
      </c>
      <c r="E17" s="93" t="s">
        <v>357</v>
      </c>
      <c r="F17" s="93" t="s">
        <v>369</v>
      </c>
      <c r="G17" s="93" t="s">
        <v>370</v>
      </c>
      <c r="H17" s="93" t="s">
        <v>74</v>
      </c>
      <c r="I17" s="57" t="s">
        <v>75</v>
      </c>
      <c r="J17" s="94">
        <v>46041.433333333334</v>
      </c>
      <c r="K17" s="94">
        <v>46073.430555555555</v>
      </c>
      <c r="L17" s="94">
        <v>46073.606249999997</v>
      </c>
      <c r="M17" s="93" t="s">
        <v>76</v>
      </c>
      <c r="N17" s="59" t="str">
        <f>IF(ISBLANK(J17),"",IF(OR(M17="Completed",M17="Closed"),"",IF(H17="Issue",IF(I17="High",WORKDAY(J17,2,DATA!A16:A44),IF(I17="Medium",WORKDAY(J17,14,DATA!A16:A44),IF(OR(I17="Low"),WORKDAY(J17,30,DATA!A16:A44),""))),
"")
))</f>
        <v/>
      </c>
      <c r="O17" s="60" t="str">
        <f ca="1">IF(OR(ISBLANK(#REF!), M17="Completed", M17="Closed", H17&lt;&gt;"Issue"), "",
   (NETWORKDAYS.INTL(TODAY(), N17, 1, DATA!A16:A44) - 1))</f>
        <v/>
      </c>
      <c r="P17" s="64" t="str">
        <f t="shared" ca="1" si="0"/>
        <v/>
      </c>
      <c r="Q17" s="64" t="str">
        <f t="shared" ca="1" si="1"/>
        <v/>
      </c>
    </row>
    <row r="18" spans="1:17" s="64" customFormat="1" x14ac:dyDescent="0.3">
      <c r="A18" s="82">
        <v>16</v>
      </c>
      <c r="B18" s="93" t="s">
        <v>371</v>
      </c>
      <c r="C18" s="93" t="s">
        <v>70</v>
      </c>
      <c r="D18" s="93" t="s">
        <v>368</v>
      </c>
      <c r="E18" s="93" t="s">
        <v>357</v>
      </c>
      <c r="F18" s="93" t="s">
        <v>372</v>
      </c>
      <c r="G18" s="93" t="s">
        <v>373</v>
      </c>
      <c r="H18" s="93" t="s">
        <v>74</v>
      </c>
      <c r="I18" s="57" t="s">
        <v>75</v>
      </c>
      <c r="J18" s="94">
        <v>46042.675000000003</v>
      </c>
      <c r="K18" s="94">
        <v>46077.71875</v>
      </c>
      <c r="L18" s="94">
        <v>46086.408333333333</v>
      </c>
      <c r="M18" s="93" t="s">
        <v>76</v>
      </c>
      <c r="N18" s="59" t="str">
        <f>IF(ISBLANK(J18),"",IF(OR(M18="Completed",M18="Closed"),"",IF(H18="Issue",IF(I18="High",WORKDAY(J18,2,DATA!A17:A45),IF(I18="Medium",WORKDAY(J18,14,DATA!A17:A45),IF(OR(I18="Low"),WORKDAY(J18,30,DATA!A17:A45),""))),
"")
))</f>
        <v/>
      </c>
      <c r="O18" s="60" t="str">
        <f ca="1">IF(OR(ISBLANK(#REF!), M18="Completed", M18="Closed", H18&lt;&gt;"Issue"), "",
   (NETWORKDAYS.INTL(TODAY(), N18, 1, DATA!A17:A45) - 1))</f>
        <v/>
      </c>
      <c r="P18" s="64" t="str">
        <f t="shared" ca="1" si="0"/>
        <v/>
      </c>
      <c r="Q18" s="64" t="str">
        <f t="shared" ca="1" si="1"/>
        <v/>
      </c>
    </row>
    <row r="19" spans="1:17" s="64" customFormat="1" ht="27.6" x14ac:dyDescent="0.3">
      <c r="A19" s="82">
        <v>17</v>
      </c>
      <c r="B19" s="93" t="s">
        <v>374</v>
      </c>
      <c r="C19" s="93" t="s">
        <v>70</v>
      </c>
      <c r="D19" s="93" t="s">
        <v>375</v>
      </c>
      <c r="E19" s="93" t="s">
        <v>357</v>
      </c>
      <c r="F19" s="93" t="s">
        <v>376</v>
      </c>
      <c r="G19" s="93" t="s">
        <v>377</v>
      </c>
      <c r="H19" s="93" t="s">
        <v>74</v>
      </c>
      <c r="I19" s="57" t="s">
        <v>75</v>
      </c>
      <c r="J19" s="94">
        <v>46045.480555555558</v>
      </c>
      <c r="K19" s="94">
        <v>46045.494444444441</v>
      </c>
      <c r="L19" s="94">
        <v>46050.507638888892</v>
      </c>
      <c r="M19" s="93" t="s">
        <v>76</v>
      </c>
      <c r="N19" s="59" t="str">
        <f>IF(ISBLANK(J19),"",IF(OR(M19="Completed",M19="Closed"),"",IF(H19="Issue",IF(I19="High",WORKDAY(J19,2,DATA!A18:A46),IF(I19="Medium",WORKDAY(J19,14,DATA!A18:A46),IF(OR(I19="Low"),WORKDAY(J19,30,DATA!A18:A46),""))),
"")
))</f>
        <v/>
      </c>
      <c r="O19" s="60" t="str">
        <f ca="1">IF(OR(ISBLANK(#REF!), M19="Completed", M19="Closed", H19&lt;&gt;"Issue"), "",
   (NETWORKDAYS.INTL(TODAY(), N19, 1, DATA!A18:A46) - 1))</f>
        <v/>
      </c>
      <c r="P19" s="64" t="str">
        <f t="shared" ca="1" si="0"/>
        <v/>
      </c>
      <c r="Q19" s="64" t="str">
        <f t="shared" ca="1" si="1"/>
        <v/>
      </c>
    </row>
    <row r="20" spans="1:17" s="64" customFormat="1" ht="41.4" x14ac:dyDescent="0.3">
      <c r="A20" s="82">
        <v>18</v>
      </c>
      <c r="B20" s="93" t="s">
        <v>378</v>
      </c>
      <c r="C20" s="93" t="s">
        <v>70</v>
      </c>
      <c r="D20" s="93" t="s">
        <v>379</v>
      </c>
      <c r="E20" s="93" t="s">
        <v>357</v>
      </c>
      <c r="F20" s="93" t="s">
        <v>380</v>
      </c>
      <c r="G20" s="93" t="s">
        <v>381</v>
      </c>
      <c r="H20" s="93" t="s">
        <v>74</v>
      </c>
      <c r="I20" s="57" t="s">
        <v>75</v>
      </c>
      <c r="J20" s="94">
        <v>46050.392361111109</v>
      </c>
      <c r="K20" s="94">
        <v>46091.633333333331</v>
      </c>
      <c r="L20" s="94">
        <v>46159.845138888886</v>
      </c>
      <c r="M20" s="93" t="s">
        <v>76</v>
      </c>
      <c r="N20" s="59" t="str">
        <f>IF(ISBLANK(J20),"",IF(OR(M20="Completed",M20="Closed"),"",IF(H20="Issue",IF(I20="High",WORKDAY(J20,2,DATA!A19:A47),IF(I20="Medium",WORKDAY(J20,14,DATA!A19:A47),IF(OR(I20="Low"),WORKDAY(J20,30,DATA!A19:A47),""))),
"")
))</f>
        <v/>
      </c>
      <c r="O20" s="60" t="str">
        <f ca="1">IF(OR(ISBLANK(#REF!), M20="Completed", M20="Closed", H20&lt;&gt;"Issue"), "",
   (NETWORKDAYS.INTL(TODAY(), N20, 1, DATA!A19:A47) - 1))</f>
        <v/>
      </c>
      <c r="P20" s="64" t="str">
        <f t="shared" ca="1" si="0"/>
        <v/>
      </c>
      <c r="Q20" s="64" t="str">
        <f t="shared" ca="1" si="1"/>
        <v/>
      </c>
    </row>
    <row r="21" spans="1:17" s="64" customFormat="1" ht="55.2" x14ac:dyDescent="0.3">
      <c r="A21" s="82">
        <v>19</v>
      </c>
      <c r="B21" s="93" t="s">
        <v>382</v>
      </c>
      <c r="C21" s="93" t="s">
        <v>70</v>
      </c>
      <c r="D21" s="93" t="s">
        <v>368</v>
      </c>
      <c r="E21" s="93" t="s">
        <v>357</v>
      </c>
      <c r="F21" s="93" t="s">
        <v>383</v>
      </c>
      <c r="G21" s="93" t="s">
        <v>384</v>
      </c>
      <c r="H21" s="93" t="s">
        <v>74</v>
      </c>
      <c r="I21" s="57" t="s">
        <v>75</v>
      </c>
      <c r="J21" s="94">
        <v>46062.665972222225</v>
      </c>
      <c r="K21" s="94">
        <v>46064.535416666666</v>
      </c>
      <c r="L21" s="94">
        <v>46084.708333333336</v>
      </c>
      <c r="M21" s="93" t="s">
        <v>76</v>
      </c>
      <c r="N21" s="59" t="str">
        <f>IF(ISBLANK(J21),"",IF(OR(M21="Completed",M21="Closed"),"",IF(H21="Issue",IF(I21="High",WORKDAY(J21,2,DATA!A20:A48),IF(I21="Medium",WORKDAY(J21,14,DATA!A20:A48),IF(OR(I21="Low"),WORKDAY(J21,30,DATA!A20:A48),""))),
"")
))</f>
        <v/>
      </c>
      <c r="O21" s="60" t="str">
        <f ca="1">IF(OR(ISBLANK(#REF!), M21="Completed", M21="Closed", H21&lt;&gt;"Issue"), "",
   (NETWORKDAYS.INTL(TODAY(), N21, 1, DATA!A20:A48) - 1))</f>
        <v/>
      </c>
      <c r="P21" s="64" t="str">
        <f t="shared" ca="1" si="0"/>
        <v/>
      </c>
      <c r="Q21" s="64" t="str">
        <f t="shared" ca="1" si="1"/>
        <v/>
      </c>
    </row>
    <row r="22" spans="1:17" s="64" customFormat="1" ht="27.6" x14ac:dyDescent="0.3">
      <c r="A22" s="82">
        <v>20</v>
      </c>
      <c r="B22" s="93" t="s">
        <v>385</v>
      </c>
      <c r="C22" s="93" t="s">
        <v>70</v>
      </c>
      <c r="D22" s="93" t="s">
        <v>238</v>
      </c>
      <c r="E22" s="93" t="s">
        <v>357</v>
      </c>
      <c r="F22" s="93" t="s">
        <v>386</v>
      </c>
      <c r="G22" s="93" t="s">
        <v>387</v>
      </c>
      <c r="H22" s="93" t="s">
        <v>74</v>
      </c>
      <c r="I22" s="57" t="s">
        <v>75</v>
      </c>
      <c r="J22" s="94">
        <v>46064.470833333333</v>
      </c>
      <c r="K22" s="94">
        <v>46076.633333333331</v>
      </c>
      <c r="L22" s="94">
        <v>46085.444444444445</v>
      </c>
      <c r="M22" s="93" t="s">
        <v>76</v>
      </c>
      <c r="N22" s="59" t="str">
        <f>IF(ISBLANK(J22),"",IF(OR(M22="Completed",M22="Closed"),"",IF(H22="Issue",IF(I22="High",WORKDAY(J22,2,DATA!A21:A49),IF(I22="Medium",WORKDAY(J22,14,DATA!A21:A49),IF(OR(I22="Low"),WORKDAY(J22,30,DATA!A21:A49),""))),
"")
))</f>
        <v/>
      </c>
      <c r="O22" s="60" t="str">
        <f ca="1">IF(OR(ISBLANK(#REF!), M22="Completed", M22="Closed", H22&lt;&gt;"Issue"), "",
   (NETWORKDAYS.INTL(TODAY(), N22, 1, DATA!A21:A49) - 1))</f>
        <v/>
      </c>
      <c r="P22" s="64" t="str">
        <f t="shared" ca="1" si="0"/>
        <v/>
      </c>
      <c r="Q22" s="64" t="str">
        <f t="shared" ca="1" si="1"/>
        <v/>
      </c>
    </row>
    <row r="23" spans="1:17" s="64" customFormat="1" ht="110.4" x14ac:dyDescent="0.3">
      <c r="A23" s="82">
        <v>21</v>
      </c>
      <c r="B23" s="93" t="s">
        <v>388</v>
      </c>
      <c r="C23" s="93" t="s">
        <v>70</v>
      </c>
      <c r="D23" s="93" t="s">
        <v>368</v>
      </c>
      <c r="E23" s="93" t="s">
        <v>357</v>
      </c>
      <c r="F23" s="93" t="s">
        <v>389</v>
      </c>
      <c r="G23" s="93" t="s">
        <v>390</v>
      </c>
      <c r="H23" s="93" t="s">
        <v>74</v>
      </c>
      <c r="I23" s="57" t="s">
        <v>75</v>
      </c>
      <c r="J23" s="94">
        <v>46073.398611111108</v>
      </c>
      <c r="K23" s="94">
        <v>46076.606944444444</v>
      </c>
      <c r="L23" s="94">
        <v>46086.40902777778</v>
      </c>
      <c r="M23" s="93" t="s">
        <v>76</v>
      </c>
      <c r="N23" s="59" t="str">
        <f>IF(ISBLANK(J23),"",IF(OR(M23="Completed",M23="Closed"),"",IF(H23="Issue",IF(I23="High",WORKDAY(J23,2,DATA!A22:A50),IF(I23="Medium",WORKDAY(J23,14,DATA!A22:A50),IF(OR(I23="Low"),WORKDAY(J23,30,DATA!A22:A50),""))),
"")
))</f>
        <v/>
      </c>
      <c r="O23" s="60" t="str">
        <f ca="1">IF(OR(ISBLANK(#REF!), M23="Completed", M23="Closed", H23&lt;&gt;"Issue"), "",
   (NETWORKDAYS.INTL(TODAY(), N23, 1, DATA!A22:A50) - 1))</f>
        <v/>
      </c>
      <c r="P23" s="64" t="str">
        <f t="shared" ca="1" si="0"/>
        <v/>
      </c>
      <c r="Q23" s="64" t="str">
        <f t="shared" ca="1" si="1"/>
        <v/>
      </c>
    </row>
    <row r="24" spans="1:17" s="64" customFormat="1" ht="27.6" x14ac:dyDescent="0.3">
      <c r="A24" s="82">
        <v>22</v>
      </c>
      <c r="B24" s="93" t="s">
        <v>391</v>
      </c>
      <c r="C24" s="93" t="s">
        <v>70</v>
      </c>
      <c r="D24" s="93" t="s">
        <v>238</v>
      </c>
      <c r="E24" s="93" t="s">
        <v>357</v>
      </c>
      <c r="F24" s="93" t="s">
        <v>392</v>
      </c>
      <c r="G24" s="93" t="s">
        <v>393</v>
      </c>
      <c r="H24" s="93" t="s">
        <v>74</v>
      </c>
      <c r="I24" s="57" t="s">
        <v>75</v>
      </c>
      <c r="J24" s="94">
        <v>46077.390972222223</v>
      </c>
      <c r="K24" s="94">
        <v>46080.519444444442</v>
      </c>
      <c r="L24" s="94">
        <v>46090.682638888888</v>
      </c>
      <c r="M24" s="93" t="s">
        <v>76</v>
      </c>
      <c r="N24" s="59" t="str">
        <f>IF(ISBLANK(J24),"",IF(OR(M24="Completed",M24="Closed"),"",IF(H24="Issue",IF(I24="High",WORKDAY(J24,2,DATA!A23:A51),IF(I24="Medium",WORKDAY(J24,14,DATA!A23:A51),IF(OR(I24="Low"),WORKDAY(J24,30,DATA!A23:A51),""))),
"")
))</f>
        <v/>
      </c>
      <c r="O24" s="60" t="str">
        <f ca="1">IF(OR(ISBLANK(#REF!), M24="Completed", M24="Closed", H24&lt;&gt;"Issue"), "",
   (NETWORKDAYS.INTL(TODAY(), N24, 1, DATA!A23:A51) - 1))</f>
        <v/>
      </c>
      <c r="P24" s="64" t="str">
        <f t="shared" ca="1" si="0"/>
        <v/>
      </c>
      <c r="Q24" s="64" t="str">
        <f t="shared" ca="1" si="1"/>
        <v/>
      </c>
    </row>
    <row r="25" spans="1:17" s="64" customFormat="1" ht="27.6" x14ac:dyDescent="0.3">
      <c r="A25" s="82">
        <v>23</v>
      </c>
      <c r="B25" s="93" t="s">
        <v>394</v>
      </c>
      <c r="C25" s="79"/>
      <c r="D25" s="93" t="s">
        <v>238</v>
      </c>
      <c r="E25" s="93" t="s">
        <v>357</v>
      </c>
      <c r="F25" s="93" t="s">
        <v>395</v>
      </c>
      <c r="G25" s="93" t="s">
        <v>396</v>
      </c>
      <c r="H25" s="93" t="s">
        <v>74</v>
      </c>
      <c r="I25" s="57" t="s">
        <v>75</v>
      </c>
      <c r="J25" s="94">
        <v>46078.399305555555</v>
      </c>
      <c r="K25" s="79"/>
      <c r="L25" s="79"/>
      <c r="M25" s="93" t="s">
        <v>77</v>
      </c>
      <c r="N25" s="59">
        <f>IF(ISBLANK(J25),"",IF(OR(M25="Completed",M25="Closed"),"",IF(H25="Issue",IF(I25="High",WORKDAY(J25,2,DATA!A24:A52),IF(I25="Medium",WORKDAY(J25,14,DATA!A24:A52),IF(OR(I25="Low"),WORKDAY(J25,30,DATA!A24:A52),""))),
"")
))</f>
        <v>46098</v>
      </c>
      <c r="O25" s="60">
        <f ca="1">IF(OR(ISBLANK(#REF!), M25="Completed", M25="Closed", H25&lt;&gt;"Issue"), "",
   (NETWORKDAYS.INTL(TODAY(), N25, 1, DATA!A24:A52) - 1))</f>
        <v>-93</v>
      </c>
      <c r="P25" s="64">
        <f t="shared" ca="1" si="0"/>
        <v>93</v>
      </c>
      <c r="Q25" s="64" t="str">
        <f t="shared" ca="1" si="1"/>
        <v>&gt;60 Days</v>
      </c>
    </row>
    <row r="26" spans="1:17" s="64" customFormat="1" x14ac:dyDescent="0.3">
      <c r="A26" s="82">
        <v>24</v>
      </c>
      <c r="B26" s="93" t="s">
        <v>397</v>
      </c>
      <c r="C26" s="93" t="s">
        <v>70</v>
      </c>
      <c r="D26" s="93" t="s">
        <v>238</v>
      </c>
      <c r="E26" s="93" t="s">
        <v>357</v>
      </c>
      <c r="F26" s="93" t="s">
        <v>398</v>
      </c>
      <c r="G26" s="93" t="s">
        <v>399</v>
      </c>
      <c r="H26" s="93" t="s">
        <v>74</v>
      </c>
      <c r="I26" s="57" t="s">
        <v>75</v>
      </c>
      <c r="J26" s="94">
        <v>46079.620833333334</v>
      </c>
      <c r="K26" s="94">
        <v>46079.686805555553</v>
      </c>
      <c r="L26" s="94">
        <v>46079.686805555553</v>
      </c>
      <c r="M26" s="93" t="s">
        <v>76</v>
      </c>
      <c r="N26" s="59" t="str">
        <f>IF(ISBLANK(J26),"",IF(OR(M26="Completed",M26="Closed"),"",IF(H26="Issue",IF(I26="High",WORKDAY(J26,2,DATA!A25:A53),IF(I26="Medium",WORKDAY(J26,14,DATA!A25:A53),IF(OR(I26="Low"),WORKDAY(J26,30,DATA!A25:A53),""))),
"")
))</f>
        <v/>
      </c>
      <c r="O26" s="60" t="str">
        <f ca="1">IF(OR(ISBLANK(#REF!), M26="Completed", M26="Closed", H26&lt;&gt;"Issue"), "",
   (NETWORKDAYS.INTL(TODAY(), N26, 1, DATA!A25:A53) - 1))</f>
        <v/>
      </c>
      <c r="P26" s="64" t="str">
        <f t="shared" ca="1" si="0"/>
        <v/>
      </c>
      <c r="Q26" s="64" t="str">
        <f t="shared" ca="1" si="1"/>
        <v/>
      </c>
    </row>
    <row r="27" spans="1:17" s="64" customFormat="1" x14ac:dyDescent="0.3">
      <c r="A27" s="82">
        <v>25</v>
      </c>
      <c r="B27" s="93" t="s">
        <v>400</v>
      </c>
      <c r="C27" s="93" t="s">
        <v>70</v>
      </c>
      <c r="D27" s="93" t="s">
        <v>368</v>
      </c>
      <c r="E27" s="93" t="s">
        <v>357</v>
      </c>
      <c r="F27" s="93" t="s">
        <v>401</v>
      </c>
      <c r="G27" s="93" t="s">
        <v>402</v>
      </c>
      <c r="H27" s="93" t="s">
        <v>74</v>
      </c>
      <c r="I27" s="57" t="s">
        <v>75</v>
      </c>
      <c r="J27" s="94">
        <v>46086.453472222223</v>
      </c>
      <c r="K27" s="94">
        <v>46114.616666666669</v>
      </c>
      <c r="L27" s="94">
        <v>46159.849305555559</v>
      </c>
      <c r="M27" s="93" t="s">
        <v>76</v>
      </c>
      <c r="N27" s="59" t="str">
        <f>IF(ISBLANK(J27),"",IF(OR(M27="Completed",M27="Closed"),"",IF(H27="Issue",IF(I27="High",WORKDAY(J27,2,DATA!A26:A54),IF(I27="Medium",WORKDAY(J27,14,DATA!A26:A54),IF(OR(I27="Low"),WORKDAY(J27,30,DATA!A26:A54),""))),
"")
))</f>
        <v/>
      </c>
      <c r="O27" s="60" t="str">
        <f ca="1">IF(OR(ISBLANK(#REF!), M27="Completed", M27="Closed", H27&lt;&gt;"Issue"), "",
   (NETWORKDAYS.INTL(TODAY(), N27, 1, DATA!A26:A54) - 1))</f>
        <v/>
      </c>
      <c r="P27" s="64" t="str">
        <f t="shared" ca="1" si="0"/>
        <v/>
      </c>
      <c r="Q27" s="64" t="str">
        <f t="shared" ca="1" si="1"/>
        <v/>
      </c>
    </row>
    <row r="28" spans="1:17" s="64" customFormat="1" ht="27.6" x14ac:dyDescent="0.3">
      <c r="A28" s="82">
        <v>26</v>
      </c>
      <c r="B28" s="93" t="s">
        <v>403</v>
      </c>
      <c r="C28" s="93" t="s">
        <v>70</v>
      </c>
      <c r="D28" s="93" t="s">
        <v>368</v>
      </c>
      <c r="E28" s="93" t="s">
        <v>357</v>
      </c>
      <c r="F28" s="93" t="s">
        <v>404</v>
      </c>
      <c r="G28" s="93" t="s">
        <v>405</v>
      </c>
      <c r="H28" s="93" t="s">
        <v>74</v>
      </c>
      <c r="I28" s="57" t="s">
        <v>75</v>
      </c>
      <c r="J28" s="94">
        <v>46086.492361111108</v>
      </c>
      <c r="K28" s="94">
        <v>46114.621527777781</v>
      </c>
      <c r="L28" s="94">
        <v>46159.85</v>
      </c>
      <c r="M28" s="93" t="s">
        <v>76</v>
      </c>
      <c r="N28" s="59" t="str">
        <f>IF(ISBLANK(J28),"",IF(OR(M28="Completed",M28="Closed"),"",IF(H28="Issue",IF(I28="High",WORKDAY(J28,2,DATA!A27:A55),IF(I28="Medium",WORKDAY(J28,14,DATA!A27:A55),IF(OR(I28="Low"),WORKDAY(J28,30,DATA!A27:A55),""))),
"")
))</f>
        <v/>
      </c>
      <c r="O28" s="60" t="str">
        <f ca="1">IF(OR(ISBLANK(#REF!), M28="Completed", M28="Closed", H28&lt;&gt;"Issue"), "",
   (NETWORKDAYS.INTL(TODAY(), N28, 1, DATA!A27:A55) - 1))</f>
        <v/>
      </c>
      <c r="P28" s="64" t="str">
        <f t="shared" ca="1" si="0"/>
        <v/>
      </c>
      <c r="Q28" s="64" t="str">
        <f t="shared" ca="1" si="1"/>
        <v/>
      </c>
    </row>
    <row r="29" spans="1:17" s="64" customFormat="1" ht="41.4" x14ac:dyDescent="0.3">
      <c r="A29" s="82">
        <v>27</v>
      </c>
      <c r="B29" s="93" t="s">
        <v>406</v>
      </c>
      <c r="C29" s="93" t="s">
        <v>70</v>
      </c>
      <c r="D29" s="93" t="s">
        <v>368</v>
      </c>
      <c r="E29" s="93" t="s">
        <v>357</v>
      </c>
      <c r="F29" s="93" t="s">
        <v>407</v>
      </c>
      <c r="G29" s="93" t="s">
        <v>408</v>
      </c>
      <c r="H29" s="93" t="s">
        <v>74</v>
      </c>
      <c r="I29" s="57" t="s">
        <v>75</v>
      </c>
      <c r="J29" s="94">
        <v>46086.515972222223</v>
      </c>
      <c r="K29" s="94">
        <v>46114.656944444447</v>
      </c>
      <c r="L29" s="94">
        <v>46114.657638888886</v>
      </c>
      <c r="M29" s="93" t="s">
        <v>76</v>
      </c>
      <c r="N29" s="59" t="str">
        <f>IF(ISBLANK(J29),"",IF(OR(M29="Completed",M29="Closed"),"",IF(H29="Issue",IF(I29="High",WORKDAY(J29,2,DATA!A28:A56),IF(I29="Medium",WORKDAY(J29,14,DATA!A28:A56),IF(OR(I29="Low"),WORKDAY(J29,30,DATA!A28:A56),""))),
"")
))</f>
        <v/>
      </c>
      <c r="O29" s="60" t="str">
        <f ca="1">IF(OR(ISBLANK(#REF!), M29="Completed", M29="Closed", H29&lt;&gt;"Issue"), "",
   (NETWORKDAYS.INTL(TODAY(), N29, 1, DATA!A28:A56) - 1))</f>
        <v/>
      </c>
      <c r="P29" s="64" t="str">
        <f t="shared" ca="1" si="0"/>
        <v/>
      </c>
      <c r="Q29" s="64" t="str">
        <f t="shared" ca="1" si="1"/>
        <v/>
      </c>
    </row>
    <row r="30" spans="1:17" s="64" customFormat="1" ht="27.6" x14ac:dyDescent="0.3">
      <c r="A30" s="82">
        <v>28</v>
      </c>
      <c r="B30" s="93" t="s">
        <v>409</v>
      </c>
      <c r="C30" s="79"/>
      <c r="D30" s="93" t="s">
        <v>238</v>
      </c>
      <c r="E30" s="93" t="s">
        <v>357</v>
      </c>
      <c r="F30" s="93" t="s">
        <v>410</v>
      </c>
      <c r="G30" s="93" t="s">
        <v>411</v>
      </c>
      <c r="H30" s="93" t="s">
        <v>74</v>
      </c>
      <c r="I30" s="57" t="s">
        <v>75</v>
      </c>
      <c r="J30" s="94">
        <v>46091.655555555553</v>
      </c>
      <c r="K30" s="79"/>
      <c r="L30" s="79"/>
      <c r="M30" s="93" t="s">
        <v>77</v>
      </c>
      <c r="N30" s="59">
        <f>IF(ISBLANK(J30),"",IF(OR(M30="Completed",M30="Closed"),"",IF(H30="Issue",IF(I30="High",WORKDAY(J30,2,DATA!A29:A57),IF(I30="Medium",WORKDAY(J30,14,DATA!A29:A57),IF(OR(I30="Low"),WORKDAY(J30,30,DATA!A29:A57),""))),
"")
))</f>
        <v>46111</v>
      </c>
      <c r="O30" s="60">
        <f ca="1">IF(OR(ISBLANK(#REF!), M30="Completed", M30="Closed", H30&lt;&gt;"Issue"), "",
   (NETWORKDAYS.INTL(TODAY(), N30, 1, DATA!A29:A57) - 1))</f>
        <v>-84</v>
      </c>
      <c r="P30" s="64">
        <f t="shared" ca="1" si="0"/>
        <v>84</v>
      </c>
      <c r="Q30" s="64" t="str">
        <f t="shared" ca="1" si="1"/>
        <v>&gt;60 Days</v>
      </c>
    </row>
    <row r="31" spans="1:17" s="64" customFormat="1" ht="27.6" x14ac:dyDescent="0.3">
      <c r="A31" s="82">
        <v>29</v>
      </c>
      <c r="B31" s="93" t="s">
        <v>412</v>
      </c>
      <c r="C31" s="93" t="s">
        <v>70</v>
      </c>
      <c r="D31" s="93" t="s">
        <v>379</v>
      </c>
      <c r="E31" s="93" t="s">
        <v>357</v>
      </c>
      <c r="F31" s="93" t="s">
        <v>413</v>
      </c>
      <c r="G31" s="93" t="s">
        <v>414</v>
      </c>
      <c r="H31" s="93" t="s">
        <v>74</v>
      </c>
      <c r="I31" s="57" t="s">
        <v>75</v>
      </c>
      <c r="J31" s="94">
        <v>46097.490972222222</v>
      </c>
      <c r="K31" s="94">
        <v>46098.38958333333</v>
      </c>
      <c r="L31" s="94">
        <v>46113.443749999999</v>
      </c>
      <c r="M31" s="93" t="s">
        <v>76</v>
      </c>
      <c r="N31" s="59" t="str">
        <f>IF(ISBLANK(J31),"",IF(OR(M31="Completed",M31="Closed"),"",IF(H31="Issue",IF(I31="High",WORKDAY(J31,2,DATA!A30:A58),IF(I31="Medium",WORKDAY(J31,14,DATA!A30:A58),IF(OR(I31="Low"),WORKDAY(J31,30,DATA!A30:A58),""))),
"")
))</f>
        <v/>
      </c>
      <c r="O31" s="60" t="str">
        <f ca="1">IF(OR(ISBLANK(#REF!), M31="Completed", M31="Closed", H31&lt;&gt;"Issue"), "",
   (NETWORKDAYS.INTL(TODAY(), N31, 1, DATA!A30:A58) - 1))</f>
        <v/>
      </c>
      <c r="P31" s="64" t="str">
        <f t="shared" ca="1" si="0"/>
        <v/>
      </c>
      <c r="Q31" s="64" t="str">
        <f t="shared" ca="1" si="1"/>
        <v/>
      </c>
    </row>
    <row r="32" spans="1:17" s="64" customFormat="1" x14ac:dyDescent="0.3">
      <c r="A32" s="82">
        <v>30</v>
      </c>
      <c r="B32" s="93" t="s">
        <v>415</v>
      </c>
      <c r="C32" s="93" t="s">
        <v>70</v>
      </c>
      <c r="D32" s="93" t="s">
        <v>238</v>
      </c>
      <c r="E32" s="93" t="s">
        <v>357</v>
      </c>
      <c r="F32" s="93" t="s">
        <v>416</v>
      </c>
      <c r="G32" s="93" t="s">
        <v>417</v>
      </c>
      <c r="H32" s="93" t="s">
        <v>74</v>
      </c>
      <c r="I32" s="57" t="s">
        <v>75</v>
      </c>
      <c r="J32" s="94">
        <v>46113.354166666664</v>
      </c>
      <c r="K32" s="94">
        <v>46113.411111111112</v>
      </c>
      <c r="L32" s="94">
        <v>46159.928472222222</v>
      </c>
      <c r="M32" s="93" t="s">
        <v>76</v>
      </c>
      <c r="N32" s="59" t="str">
        <f>IF(ISBLANK(J32),"",IF(OR(M32="Completed",M32="Closed"),"",IF(H32="Issue",IF(I32="High",WORKDAY(J32,2,DATA!A31:A59),IF(I32="Medium",WORKDAY(J32,14,DATA!A31:A59),IF(OR(I32="Low"),WORKDAY(J32,30,DATA!A31:A59),""))),
"")
))</f>
        <v/>
      </c>
      <c r="O32" s="60" t="str">
        <f ca="1">IF(OR(ISBLANK(#REF!), M32="Completed", M32="Closed", H32&lt;&gt;"Issue"), "",
   (NETWORKDAYS.INTL(TODAY(), N32, 1, DATA!A31:A59) - 1))</f>
        <v/>
      </c>
      <c r="P32" s="64" t="str">
        <f t="shared" ca="1" si="0"/>
        <v/>
      </c>
      <c r="Q32" s="64" t="str">
        <f t="shared" ca="1" si="1"/>
        <v/>
      </c>
    </row>
    <row r="33" spans="1:17" s="64" customFormat="1" ht="41.4" x14ac:dyDescent="0.3">
      <c r="A33" s="82">
        <v>31</v>
      </c>
      <c r="B33" s="93" t="s">
        <v>418</v>
      </c>
      <c r="C33" s="93" t="s">
        <v>70</v>
      </c>
      <c r="D33" s="93" t="s">
        <v>238</v>
      </c>
      <c r="E33" s="93" t="s">
        <v>357</v>
      </c>
      <c r="F33" s="93" t="s">
        <v>419</v>
      </c>
      <c r="G33" s="93" t="s">
        <v>420</v>
      </c>
      <c r="H33" s="93" t="s">
        <v>74</v>
      </c>
      <c r="I33" s="57" t="s">
        <v>75</v>
      </c>
      <c r="J33" s="94">
        <v>46115.648611111108</v>
      </c>
      <c r="K33" s="94">
        <v>46119.4375</v>
      </c>
      <c r="L33" s="94">
        <v>46125.45208333333</v>
      </c>
      <c r="M33" s="93" t="s">
        <v>76</v>
      </c>
      <c r="N33" s="59" t="str">
        <f>IF(ISBLANK(J33),"",IF(OR(M33="Completed",M33="Closed"),"",IF(H33="Issue",IF(I33="High",WORKDAY(J33,2,DATA!A32:A60),IF(I33="Medium",WORKDAY(J33,14,DATA!A32:A60),IF(OR(I33="Low"),WORKDAY(J33,30,DATA!A32:A60),""))),
"")
))</f>
        <v/>
      </c>
      <c r="O33" s="60" t="str">
        <f ca="1">IF(OR(ISBLANK(#REF!), M33="Completed", M33="Closed", H33&lt;&gt;"Issue"), "",
   (NETWORKDAYS.INTL(TODAY(), N33, 1, DATA!A32:A60) - 1))</f>
        <v/>
      </c>
      <c r="P33" s="64" t="str">
        <f t="shared" ca="1" si="0"/>
        <v/>
      </c>
      <c r="Q33" s="64" t="str">
        <f t="shared" ca="1" si="1"/>
        <v/>
      </c>
    </row>
    <row r="34" spans="1:17" s="64" customFormat="1" ht="27.6" x14ac:dyDescent="0.3">
      <c r="A34" s="82">
        <v>32</v>
      </c>
      <c r="B34" s="93" t="s">
        <v>421</v>
      </c>
      <c r="C34" s="93" t="s">
        <v>70</v>
      </c>
      <c r="D34" s="93" t="s">
        <v>375</v>
      </c>
      <c r="E34" s="93" t="s">
        <v>357</v>
      </c>
      <c r="F34" s="93" t="s">
        <v>375</v>
      </c>
      <c r="G34" s="93" t="s">
        <v>422</v>
      </c>
      <c r="H34" s="93" t="s">
        <v>74</v>
      </c>
      <c r="I34" s="57" t="s">
        <v>75</v>
      </c>
      <c r="J34" s="94">
        <v>46128.377083333333</v>
      </c>
      <c r="K34" s="94">
        <v>46128.486111111109</v>
      </c>
      <c r="L34" s="94">
        <v>46128.59652777778</v>
      </c>
      <c r="M34" s="93" t="s">
        <v>76</v>
      </c>
      <c r="N34" s="59" t="str">
        <f>IF(ISBLANK(J34),"",IF(OR(M34="Completed",M34="Closed"),"",IF(H34="Issue",IF(I34="High",WORKDAY(J34,2,DATA!A33:A61),IF(I34="Medium",WORKDAY(J34,14,DATA!A33:A61),IF(OR(I34="Low"),WORKDAY(J34,30,DATA!A33:A61),""))),
"")
))</f>
        <v/>
      </c>
      <c r="O34" s="60" t="str">
        <f ca="1">IF(OR(ISBLANK(#REF!), M34="Completed", M34="Closed", H34&lt;&gt;"Issue"), "",
   (NETWORKDAYS.INTL(TODAY(), N34, 1, DATA!A33:A61) - 1))</f>
        <v/>
      </c>
      <c r="P34" s="64" t="str">
        <f t="shared" ca="1" si="0"/>
        <v/>
      </c>
      <c r="Q34" s="64" t="str">
        <f t="shared" ca="1" si="1"/>
        <v/>
      </c>
    </row>
    <row r="35" spans="1:17" s="64" customFormat="1" ht="55.2" x14ac:dyDescent="0.3">
      <c r="A35" s="82">
        <v>33</v>
      </c>
      <c r="B35" s="93" t="s">
        <v>423</v>
      </c>
      <c r="C35" s="93" t="s">
        <v>70</v>
      </c>
      <c r="D35" s="93" t="s">
        <v>238</v>
      </c>
      <c r="E35" s="93" t="s">
        <v>357</v>
      </c>
      <c r="F35" s="93" t="s">
        <v>424</v>
      </c>
      <c r="G35" s="93" t="s">
        <v>425</v>
      </c>
      <c r="H35" s="93" t="s">
        <v>74</v>
      </c>
      <c r="I35" s="57" t="s">
        <v>75</v>
      </c>
      <c r="J35" s="94">
        <v>46128.436805555553</v>
      </c>
      <c r="K35" s="94">
        <v>46129.654166666667</v>
      </c>
      <c r="L35" s="94">
        <v>46129.690972222219</v>
      </c>
      <c r="M35" s="93" t="s">
        <v>76</v>
      </c>
      <c r="N35" s="59" t="str">
        <f>IF(ISBLANK(J35),"",IF(OR(M35="Completed",M35="Closed"),"",IF(H35="Issue",IF(I35="High",WORKDAY(J35,2,DATA!A34:A62),IF(I35="Medium",WORKDAY(J35,14,DATA!A34:A62),IF(OR(I35="Low"),WORKDAY(J35,30,DATA!A34:A62),""))),
"")
))</f>
        <v/>
      </c>
      <c r="O35" s="60" t="str">
        <f ca="1">IF(OR(ISBLANK(#REF!), M35="Completed", M35="Closed", H35&lt;&gt;"Issue"), "",
   (NETWORKDAYS.INTL(TODAY(), N35, 1, DATA!A34:A62) - 1))</f>
        <v/>
      </c>
      <c r="P35" s="64" t="str">
        <f t="shared" ca="1" si="0"/>
        <v/>
      </c>
      <c r="Q35" s="64" t="str">
        <f t="shared" ca="1" si="1"/>
        <v/>
      </c>
    </row>
    <row r="36" spans="1:17" s="64" customFormat="1" x14ac:dyDescent="0.3">
      <c r="A36" s="82">
        <v>34</v>
      </c>
      <c r="B36" s="93" t="s">
        <v>426</v>
      </c>
      <c r="C36" s="93" t="s">
        <v>70</v>
      </c>
      <c r="D36" s="93" t="s">
        <v>375</v>
      </c>
      <c r="E36" s="93" t="s">
        <v>357</v>
      </c>
      <c r="F36" s="93" t="s">
        <v>427</v>
      </c>
      <c r="G36" s="93" t="s">
        <v>428</v>
      </c>
      <c r="H36" s="93" t="s">
        <v>74</v>
      </c>
      <c r="I36" s="57" t="s">
        <v>75</v>
      </c>
      <c r="J36" s="94">
        <v>46132.374305555553</v>
      </c>
      <c r="K36" s="94">
        <v>46134.690972222219</v>
      </c>
      <c r="L36" s="94">
        <v>46159.954861111109</v>
      </c>
      <c r="M36" s="93" t="s">
        <v>76</v>
      </c>
      <c r="N36" s="59" t="str">
        <f>IF(ISBLANK(J36),"",IF(OR(M36="Completed",M36="Closed"),"",IF(H36="Issue",IF(I36="High",WORKDAY(J36,2,DATA!A35:A63),IF(I36="Medium",WORKDAY(J36,14,DATA!A35:A63),IF(OR(I36="Low"),WORKDAY(J36,30,DATA!A35:A63),""))),
"")
))</f>
        <v/>
      </c>
      <c r="O36" s="60" t="str">
        <f ca="1">IF(OR(ISBLANK(#REF!), M36="Completed", M36="Closed", H36&lt;&gt;"Issue"), "",
   (NETWORKDAYS.INTL(TODAY(), N36, 1, DATA!A35:A63) - 1))</f>
        <v/>
      </c>
      <c r="P36" s="64" t="str">
        <f t="shared" ca="1" si="0"/>
        <v/>
      </c>
      <c r="Q36" s="64" t="str">
        <f t="shared" ca="1" si="1"/>
        <v/>
      </c>
    </row>
    <row r="37" spans="1:17" s="64" customFormat="1" ht="27.6" x14ac:dyDescent="0.3">
      <c r="A37" s="82">
        <v>35</v>
      </c>
      <c r="B37" s="93" t="s">
        <v>429</v>
      </c>
      <c r="C37" s="79"/>
      <c r="D37" s="93" t="s">
        <v>238</v>
      </c>
      <c r="E37" s="93" t="s">
        <v>357</v>
      </c>
      <c r="F37" s="93" t="s">
        <v>430</v>
      </c>
      <c r="G37" s="93" t="s">
        <v>431</v>
      </c>
      <c r="H37" s="93" t="s">
        <v>74</v>
      </c>
      <c r="I37" s="57" t="s">
        <v>75</v>
      </c>
      <c r="J37" s="94">
        <v>46133.489583333336</v>
      </c>
      <c r="K37" s="79"/>
      <c r="L37" s="79"/>
      <c r="M37" s="93" t="s">
        <v>77</v>
      </c>
      <c r="N37" s="59">
        <f>IF(ISBLANK(J37),"",IF(OR(M37="Completed",M37="Closed"),"",IF(H37="Issue",IF(I37="High",WORKDAY(J37,2,DATA!A36:A64),IF(I37="Medium",WORKDAY(J37,14,DATA!A36:A64),IF(OR(I37="Low"),WORKDAY(J37,30,DATA!A36:A64),""))),
"")
))</f>
        <v>46153</v>
      </c>
      <c r="O37" s="60">
        <f ca="1">IF(OR(ISBLANK(#REF!), M37="Completed", M37="Closed", H37&lt;&gt;"Issue"), "",
   (NETWORKDAYS.INTL(TODAY(), N37, 1, DATA!A36:A64) - 1))</f>
        <v>-54</v>
      </c>
      <c r="P37" s="64">
        <f t="shared" ca="1" si="0"/>
        <v>54</v>
      </c>
      <c r="Q37" s="64" t="str">
        <f t="shared" ca="1" si="1"/>
        <v>31-60 Days</v>
      </c>
    </row>
    <row r="38" spans="1:17" s="64" customFormat="1" ht="41.4" x14ac:dyDescent="0.3">
      <c r="A38" s="82">
        <v>36</v>
      </c>
      <c r="B38" s="93" t="s">
        <v>432</v>
      </c>
      <c r="C38" s="93" t="s">
        <v>70</v>
      </c>
      <c r="D38" s="93" t="s">
        <v>368</v>
      </c>
      <c r="E38" s="93" t="s">
        <v>357</v>
      </c>
      <c r="F38" s="93" t="s">
        <v>433</v>
      </c>
      <c r="G38" s="93" t="s">
        <v>434</v>
      </c>
      <c r="H38" s="93" t="s">
        <v>74</v>
      </c>
      <c r="I38" s="57" t="s">
        <v>75</v>
      </c>
      <c r="J38" s="94">
        <v>46133.658333333333</v>
      </c>
      <c r="K38" s="94">
        <v>46142.648611111108</v>
      </c>
      <c r="L38" s="94">
        <v>46159.957638888889</v>
      </c>
      <c r="M38" s="93" t="s">
        <v>76</v>
      </c>
      <c r="N38" s="59" t="str">
        <f>IF(ISBLANK(J38),"",IF(OR(M38="Completed",M38="Closed"),"",IF(H38="Issue",IF(I38="High",WORKDAY(J38,2,DATA!A37:A65),IF(I38="Medium",WORKDAY(J38,14,DATA!A37:A65),IF(OR(I38="Low"),WORKDAY(J38,30,DATA!A37:A65),""))),
"")
))</f>
        <v/>
      </c>
      <c r="O38" s="60" t="str">
        <f ca="1">IF(OR(ISBLANK(#REF!), M38="Completed", M38="Closed", H38&lt;&gt;"Issue"), "",
   (NETWORKDAYS.INTL(TODAY(), N38, 1, DATA!A37:A65) - 1))</f>
        <v/>
      </c>
      <c r="P38" s="64" t="str">
        <f t="shared" ca="1" si="0"/>
        <v/>
      </c>
      <c r="Q38" s="64" t="str">
        <f t="shared" ca="1" si="1"/>
        <v/>
      </c>
    </row>
    <row r="39" spans="1:17" s="64" customFormat="1" ht="69" x14ac:dyDescent="0.3">
      <c r="A39" s="82">
        <v>37</v>
      </c>
      <c r="B39" s="93" t="s">
        <v>435</v>
      </c>
      <c r="C39" s="79"/>
      <c r="D39" s="93" t="s">
        <v>238</v>
      </c>
      <c r="E39" s="93" t="s">
        <v>357</v>
      </c>
      <c r="F39" s="93" t="s">
        <v>436</v>
      </c>
      <c r="G39" s="93" t="s">
        <v>437</v>
      </c>
      <c r="H39" s="93" t="s">
        <v>74</v>
      </c>
      <c r="I39" s="57" t="s">
        <v>75</v>
      </c>
      <c r="J39" s="94">
        <v>46140.476388888892</v>
      </c>
      <c r="K39" s="79"/>
      <c r="L39" s="79"/>
      <c r="M39" s="93" t="s">
        <v>77</v>
      </c>
      <c r="N39" s="59">
        <f>IF(ISBLANK(J39),"",IF(OR(M39="Completed",M39="Closed"),"",IF(H39="Issue",IF(I39="High",WORKDAY(J39,2,DATA!A38:A66),IF(I39="Medium",WORKDAY(J39,14,DATA!A38:A66),IF(OR(I39="Low"),WORKDAY(J39,30,DATA!A38:A66),""))),
"")
))</f>
        <v>46160</v>
      </c>
      <c r="O39" s="60">
        <f ca="1">IF(OR(ISBLANK(#REF!), M39="Completed", M39="Closed", H39&lt;&gt;"Issue"), "",
   (NETWORKDAYS.INTL(TODAY(), N39, 1, DATA!A38:A66) - 1))</f>
        <v>-49</v>
      </c>
      <c r="P39" s="64">
        <f t="shared" ca="1" si="0"/>
        <v>49</v>
      </c>
      <c r="Q39" s="64" t="str">
        <f t="shared" ca="1" si="1"/>
        <v>31-60 Days</v>
      </c>
    </row>
    <row r="40" spans="1:17" s="64" customFormat="1" ht="41.4" x14ac:dyDescent="0.3">
      <c r="A40" s="82">
        <v>38</v>
      </c>
      <c r="B40" s="93" t="s">
        <v>438</v>
      </c>
      <c r="C40" s="93" t="s">
        <v>70</v>
      </c>
      <c r="D40" s="93" t="s">
        <v>238</v>
      </c>
      <c r="E40" s="93" t="s">
        <v>357</v>
      </c>
      <c r="F40" s="93" t="s">
        <v>439</v>
      </c>
      <c r="G40" s="93" t="s">
        <v>440</v>
      </c>
      <c r="H40" s="93" t="s">
        <v>74</v>
      </c>
      <c r="I40" s="57" t="s">
        <v>75</v>
      </c>
      <c r="J40" s="94">
        <v>46142.654861111114</v>
      </c>
      <c r="K40" s="94">
        <v>46146.595833333333</v>
      </c>
      <c r="L40" s="79"/>
      <c r="M40" s="93" t="s">
        <v>85</v>
      </c>
      <c r="N40" s="59" t="str">
        <f>IF(ISBLANK(J40),"",IF(OR(M40="Completed",M40="Closed"),"",IF(H40="Issue",IF(I40="High",WORKDAY(J40,2,DATA!A39:A67),IF(I40="Medium",WORKDAY(J40,14,DATA!A39:A67),IF(OR(I40="Low"),WORKDAY(J40,30,DATA!A39:A67),""))),
"")
))</f>
        <v/>
      </c>
      <c r="O40" s="60" t="str">
        <f ca="1">IF(OR(ISBLANK(#REF!), M40="Completed", M40="Closed", H40&lt;&gt;"Issue"), "",
   (NETWORKDAYS.INTL(TODAY(), N40, 1, DATA!A39:A67) - 1))</f>
        <v/>
      </c>
      <c r="P40" s="64" t="str">
        <f t="shared" ca="1" si="0"/>
        <v/>
      </c>
      <c r="Q40" s="64" t="str">
        <f t="shared" ca="1" si="1"/>
        <v/>
      </c>
    </row>
    <row r="41" spans="1:17" s="64" customFormat="1" ht="27.6" x14ac:dyDescent="0.3">
      <c r="A41" s="82">
        <v>39</v>
      </c>
      <c r="B41" s="93" t="s">
        <v>441</v>
      </c>
      <c r="C41" s="93" t="s">
        <v>70</v>
      </c>
      <c r="D41" s="93" t="s">
        <v>238</v>
      </c>
      <c r="E41" s="93" t="s">
        <v>357</v>
      </c>
      <c r="F41" s="93" t="s">
        <v>442</v>
      </c>
      <c r="G41" s="93" t="s">
        <v>443</v>
      </c>
      <c r="H41" s="93" t="s">
        <v>74</v>
      </c>
      <c r="I41" s="57" t="s">
        <v>75</v>
      </c>
      <c r="J41" s="94">
        <v>46146.44027777778</v>
      </c>
      <c r="K41" s="94">
        <v>46148.508333333331</v>
      </c>
      <c r="L41" s="79"/>
      <c r="M41" s="93" t="s">
        <v>85</v>
      </c>
      <c r="N41" s="59" t="str">
        <f>IF(ISBLANK(J41),"",IF(OR(M41="Completed",M41="Closed"),"",IF(H41="Issue",IF(I41="High",WORKDAY(J41,2,DATA!A40:A68),IF(I41="Medium",WORKDAY(J41,14,DATA!A40:A68),IF(OR(I41="Low"),WORKDAY(J41,30,DATA!A40:A68),""))),
"")
))</f>
        <v/>
      </c>
      <c r="O41" s="60" t="str">
        <f ca="1">IF(OR(ISBLANK(#REF!), M41="Completed", M41="Closed", H41&lt;&gt;"Issue"), "",
   (NETWORKDAYS.INTL(TODAY(), N41, 1, DATA!A40:A68) - 1))</f>
        <v/>
      </c>
      <c r="P41" s="64" t="str">
        <f t="shared" ca="1" si="0"/>
        <v/>
      </c>
      <c r="Q41" s="64" t="str">
        <f t="shared" ca="1" si="1"/>
        <v/>
      </c>
    </row>
    <row r="42" spans="1:17" s="64" customFormat="1" ht="27.6" x14ac:dyDescent="0.3">
      <c r="A42" s="82"/>
      <c r="B42" s="93" t="s">
        <v>444</v>
      </c>
      <c r="C42" s="79"/>
      <c r="D42" s="93" t="s">
        <v>445</v>
      </c>
      <c r="E42" s="93" t="s">
        <v>357</v>
      </c>
      <c r="F42" s="93" t="s">
        <v>446</v>
      </c>
      <c r="G42" s="93" t="s">
        <v>447</v>
      </c>
      <c r="H42" s="93" t="s">
        <v>74</v>
      </c>
      <c r="I42" s="57" t="s">
        <v>75</v>
      </c>
      <c r="J42" s="94">
        <v>46153.392361111109</v>
      </c>
      <c r="K42" s="79"/>
      <c r="L42" s="79"/>
      <c r="M42" s="93" t="s">
        <v>77</v>
      </c>
      <c r="N42" s="59">
        <f>IF(ISBLANK(J42),"",IF(OR(M42="Completed",M42="Closed"),"",IF(H42="Issue",IF(I42="High",WORKDAY(J42,2,DATA!A41:A69),IF(I42="Medium",WORKDAY(J42,14,DATA!A41:A69),IF(OR(I42="Low"),WORKDAY(J42,30,DATA!A41:A69),""))),
"")
))</f>
        <v>46171</v>
      </c>
      <c r="O42" s="60">
        <f ca="1">IF(OR(ISBLANK(#REF!), M42="Completed", M42="Closed", H42&lt;&gt;"Issue"), "",
   (NETWORKDAYS.INTL(TODAY(), N42, 1, DATA!A41:A69) - 1))</f>
        <v>-40</v>
      </c>
      <c r="P42" s="64">
        <f t="shared" ca="1" si="0"/>
        <v>40</v>
      </c>
      <c r="Q42" s="64" t="str">
        <f t="shared" ca="1" si="1"/>
        <v>31-60 Days</v>
      </c>
    </row>
    <row r="43" spans="1:17" s="64" customFormat="1" ht="27.6" x14ac:dyDescent="0.3">
      <c r="A43" s="82"/>
      <c r="B43" s="93" t="s">
        <v>448</v>
      </c>
      <c r="C43" s="79"/>
      <c r="D43" s="93" t="s">
        <v>238</v>
      </c>
      <c r="E43" s="93" t="s">
        <v>357</v>
      </c>
      <c r="F43" s="93" t="s">
        <v>449</v>
      </c>
      <c r="G43" s="93" t="s">
        <v>450</v>
      </c>
      <c r="H43" s="93" t="s">
        <v>74</v>
      </c>
      <c r="I43" s="57" t="s">
        <v>75</v>
      </c>
      <c r="J43" s="94">
        <v>46154.63958333333</v>
      </c>
      <c r="K43" s="79"/>
      <c r="L43" s="79"/>
      <c r="M43" s="93" t="s">
        <v>77</v>
      </c>
      <c r="N43" s="59">
        <f>IF(ISBLANK(J43),"",IF(OR(M43="Completed",M43="Closed"),"",IF(H43="Issue",IF(I43="High",WORKDAY(J43,2,DATA!A42:A70),IF(I43="Medium",WORKDAY(J43,14,DATA!A42:A70),IF(OR(I43="Low"),WORKDAY(J43,30,DATA!A42:A70),""))),
"")
))</f>
        <v>46174</v>
      </c>
      <c r="O43" s="60">
        <f ca="1">IF(OR(ISBLANK(#REF!), M43="Completed", M43="Closed", H43&lt;&gt;"Issue"), "",
   (NETWORKDAYS.INTL(TODAY(), N43, 1, DATA!A42:A70) - 1))</f>
        <v>-39</v>
      </c>
      <c r="P43" s="64">
        <f t="shared" ca="1" si="0"/>
        <v>39</v>
      </c>
      <c r="Q43" s="64" t="str">
        <f t="shared" ca="1" si="1"/>
        <v>31-60 Days</v>
      </c>
    </row>
    <row r="44" spans="1:17" s="64" customFormat="1" ht="27.6" x14ac:dyDescent="0.3">
      <c r="A44" s="82"/>
      <c r="B44" s="93" t="s">
        <v>451</v>
      </c>
      <c r="C44" s="79"/>
      <c r="D44" s="93" t="s">
        <v>452</v>
      </c>
      <c r="E44" s="93" t="s">
        <v>357</v>
      </c>
      <c r="F44" s="93" t="s">
        <v>453</v>
      </c>
      <c r="G44" s="93" t="s">
        <v>454</v>
      </c>
      <c r="H44" s="93" t="s">
        <v>74</v>
      </c>
      <c r="I44" s="57" t="s">
        <v>75</v>
      </c>
      <c r="J44" s="94">
        <v>46160.413194444445</v>
      </c>
      <c r="K44" s="79"/>
      <c r="L44" s="79"/>
      <c r="M44" s="93" t="s">
        <v>77</v>
      </c>
      <c r="N44" s="59">
        <f>IF(ISBLANK(J44),"",IF(OR(M44="Completed",M44="Closed"),"",IF(H44="Issue",IF(I44="High",WORKDAY(J44,2,DATA!A43:A71),IF(I44="Medium",WORKDAY(J44,14,DATA!A43:A71),IF(OR(I44="Low"),WORKDAY(J44,30,DATA!A43:A71),""))),
"")
))</f>
        <v>46178</v>
      </c>
      <c r="O44" s="60">
        <f ca="1">IF(OR(ISBLANK(#REF!), M44="Completed", M44="Closed", H44&lt;&gt;"Issue"), "",
   (NETWORKDAYS.INTL(TODAY(), N44, 1, DATA!A43:A71) - 1))</f>
        <v>-35</v>
      </c>
      <c r="P44" s="64">
        <f t="shared" ca="1" si="0"/>
        <v>35</v>
      </c>
      <c r="Q44" s="64" t="str">
        <f t="shared" ca="1" si="1"/>
        <v>31-60 Days</v>
      </c>
    </row>
    <row r="45" spans="1:17" s="64" customFormat="1" ht="41.4" x14ac:dyDescent="0.3">
      <c r="A45" s="82"/>
      <c r="B45" s="93" t="s">
        <v>455</v>
      </c>
      <c r="C45" s="79"/>
      <c r="D45" s="93" t="s">
        <v>238</v>
      </c>
      <c r="E45" s="93" t="s">
        <v>357</v>
      </c>
      <c r="F45" s="93" t="s">
        <v>456</v>
      </c>
      <c r="G45" s="93" t="s">
        <v>457</v>
      </c>
      <c r="H45" s="93" t="s">
        <v>74</v>
      </c>
      <c r="I45" s="57" t="s">
        <v>75</v>
      </c>
      <c r="J45" s="94">
        <v>46160.457638888889</v>
      </c>
      <c r="K45" s="79"/>
      <c r="L45" s="79"/>
      <c r="M45" s="93" t="s">
        <v>77</v>
      </c>
      <c r="N45" s="59">
        <f>IF(ISBLANK(J45),"",IF(OR(M45="Completed",M45="Closed"),"",IF(H45="Issue",IF(I45="High",WORKDAY(J45,2,DATA!A44:A72),IF(I45="Medium",WORKDAY(J45,14,DATA!A44:A72),IF(OR(I45="Low"),WORKDAY(J45,30,DATA!A44:A72),""))),
"")
))</f>
        <v>46178</v>
      </c>
      <c r="O45" s="60">
        <f ca="1">IF(OR(ISBLANK(#REF!), M45="Completed", M45="Closed", H45&lt;&gt;"Issue"), "",
   (NETWORKDAYS.INTL(TODAY(), N45, 1, DATA!A44:A72) - 1))</f>
        <v>-35</v>
      </c>
      <c r="P45" s="64">
        <f t="shared" ca="1" si="0"/>
        <v>35</v>
      </c>
      <c r="Q45" s="64" t="str">
        <f t="shared" ca="1" si="1"/>
        <v>31-60 Days</v>
      </c>
    </row>
    <row r="46" spans="1:17" s="64" customFormat="1" ht="41.4" x14ac:dyDescent="0.3">
      <c r="A46" s="82"/>
      <c r="B46" s="93" t="s">
        <v>458</v>
      </c>
      <c r="C46" s="93" t="s">
        <v>70</v>
      </c>
      <c r="D46" s="93" t="s">
        <v>375</v>
      </c>
      <c r="E46" s="93" t="s">
        <v>357</v>
      </c>
      <c r="F46" s="93" t="s">
        <v>459</v>
      </c>
      <c r="G46" s="93" t="s">
        <v>460</v>
      </c>
      <c r="H46" s="93" t="s">
        <v>74</v>
      </c>
      <c r="I46" s="57" t="s">
        <v>75</v>
      </c>
      <c r="J46" s="94">
        <v>46160.481249999997</v>
      </c>
      <c r="K46" s="94">
        <v>46181.713194444441</v>
      </c>
      <c r="L46" s="79"/>
      <c r="M46" s="93" t="s">
        <v>85</v>
      </c>
      <c r="N46" s="59" t="str">
        <f>IF(ISBLANK(J46),"",IF(OR(M46="Completed",M46="Closed"),"",IF(H46="Issue",IF(I46="High",WORKDAY(J46,2,DATA!A45:A73),IF(I46="Medium",WORKDAY(J46,14,DATA!A45:A73),IF(OR(I46="Low"),WORKDAY(J46,30,DATA!A45:A73),""))),
"")
))</f>
        <v/>
      </c>
      <c r="O46" s="60" t="str">
        <f ca="1">IF(OR(ISBLANK(#REF!), M46="Completed", M46="Closed", H46&lt;&gt;"Issue"), "",
   (NETWORKDAYS.INTL(TODAY(), N46, 1, DATA!A45:A73) - 1))</f>
        <v/>
      </c>
      <c r="P46" s="64" t="str">
        <f t="shared" ca="1" si="0"/>
        <v/>
      </c>
      <c r="Q46" s="64" t="str">
        <f t="shared" ca="1" si="1"/>
        <v/>
      </c>
    </row>
    <row r="47" spans="1:17" s="64" customFormat="1" ht="27.6" x14ac:dyDescent="0.3">
      <c r="A47" s="82"/>
      <c r="B47" s="93" t="s">
        <v>461</v>
      </c>
      <c r="C47" s="93" t="s">
        <v>70</v>
      </c>
      <c r="D47" s="93" t="s">
        <v>238</v>
      </c>
      <c r="E47" s="93" t="s">
        <v>357</v>
      </c>
      <c r="F47" s="93" t="s">
        <v>462</v>
      </c>
      <c r="G47" s="93" t="s">
        <v>463</v>
      </c>
      <c r="H47" s="93" t="s">
        <v>74</v>
      </c>
      <c r="I47" s="57" t="s">
        <v>75</v>
      </c>
      <c r="J47" s="94">
        <v>46160.642361111109</v>
      </c>
      <c r="K47" s="94">
        <v>46191.477083333331</v>
      </c>
      <c r="L47" s="94">
        <v>46191.477777777778</v>
      </c>
      <c r="M47" s="93" t="s">
        <v>76</v>
      </c>
      <c r="N47" s="59" t="str">
        <f>IF(ISBLANK(J47),"",IF(OR(M47="Completed",M47="Closed"),"",IF(H47="Issue",IF(I47="High",WORKDAY(J47,2,DATA!A46:A74),IF(I47="Medium",WORKDAY(J47,14,DATA!A46:A74),IF(OR(I47="Low"),WORKDAY(J47,30,DATA!A46:A74),""))),
"")
))</f>
        <v/>
      </c>
      <c r="O47" s="60" t="str">
        <f ca="1">IF(OR(ISBLANK(#REF!), M47="Completed", M47="Closed", H47&lt;&gt;"Issue"), "",
   (NETWORKDAYS.INTL(TODAY(), N47, 1, DATA!A46:A74) - 1))</f>
        <v/>
      </c>
      <c r="P47" s="64" t="str">
        <f t="shared" ca="1" si="0"/>
        <v/>
      </c>
      <c r="Q47" s="64" t="str">
        <f t="shared" ca="1" si="1"/>
        <v/>
      </c>
    </row>
    <row r="48" spans="1:17" s="64" customFormat="1" ht="69" x14ac:dyDescent="0.3">
      <c r="A48" s="82"/>
      <c r="B48" s="93" t="s">
        <v>1066</v>
      </c>
      <c r="C48" s="93" t="s">
        <v>70</v>
      </c>
      <c r="D48" s="93" t="s">
        <v>238</v>
      </c>
      <c r="E48" s="93" t="s">
        <v>357</v>
      </c>
      <c r="F48" s="93" t="s">
        <v>1067</v>
      </c>
      <c r="G48" s="93" t="s">
        <v>1068</v>
      </c>
      <c r="H48" s="93" t="s">
        <v>74</v>
      </c>
      <c r="I48" s="57" t="s">
        <v>75</v>
      </c>
      <c r="J48" s="94">
        <v>46163.518055555556</v>
      </c>
      <c r="K48" s="94">
        <v>46191.461111111108</v>
      </c>
      <c r="L48" s="94">
        <v>46191.461111111108</v>
      </c>
      <c r="M48" s="93" t="s">
        <v>76</v>
      </c>
      <c r="N48" s="59" t="str">
        <f>IF(ISBLANK(J48),"",IF(OR(M48="Completed",M48="Closed"),"",IF(H48="Issue",IF(I48="High",WORKDAY(J48,2,DATA!A47:A75),IF(I48="Medium",WORKDAY(J48,14,DATA!A47:A75),IF(OR(I48="Low"),WORKDAY(J48,30,DATA!A47:A75),""))),
"")
))</f>
        <v/>
      </c>
      <c r="O48" s="60" t="str">
        <f ca="1">IF(OR(ISBLANK(#REF!), M48="Completed", M48="Closed", H48&lt;&gt;"Issue"), "",
   (NETWORKDAYS.INTL(TODAY(), N48, 1, DATA!A47:A75) - 1))</f>
        <v/>
      </c>
      <c r="P48" s="64" t="str">
        <f t="shared" ca="1" si="0"/>
        <v/>
      </c>
      <c r="Q48" s="64" t="str">
        <f t="shared" ca="1" si="1"/>
        <v/>
      </c>
    </row>
    <row r="49" spans="1:17" s="64" customFormat="1" ht="55.2" x14ac:dyDescent="0.3">
      <c r="A49" s="82"/>
      <c r="B49" s="93" t="s">
        <v>1069</v>
      </c>
      <c r="C49" s="93" t="s">
        <v>70</v>
      </c>
      <c r="D49" s="93" t="s">
        <v>238</v>
      </c>
      <c r="E49" s="93" t="s">
        <v>357</v>
      </c>
      <c r="F49" s="93" t="s">
        <v>1067</v>
      </c>
      <c r="G49" s="93" t="s">
        <v>1070</v>
      </c>
      <c r="H49" s="93" t="s">
        <v>74</v>
      </c>
      <c r="I49" s="57" t="s">
        <v>75</v>
      </c>
      <c r="J49" s="94">
        <v>46167.600694444445</v>
      </c>
      <c r="K49" s="94">
        <v>46191.459027777775</v>
      </c>
      <c r="L49" s="79"/>
      <c r="M49" s="93" t="s">
        <v>85</v>
      </c>
      <c r="N49" s="59" t="str">
        <f>IF(ISBLANK(J49),"",IF(OR(M49="Completed",M49="Closed"),"",IF(H49="Issue",IF(I49="High",WORKDAY(J49,2,DATA!A48:A76),IF(I49="Medium",WORKDAY(J49,14,DATA!A48:A76),IF(OR(I49="Low"),WORKDAY(J49,30,DATA!A48:A76),""))),
"")
))</f>
        <v/>
      </c>
      <c r="O49" s="60" t="str">
        <f ca="1">IF(OR(ISBLANK(#REF!), M49="Completed", M49="Closed", H49&lt;&gt;"Issue"), "",
   (NETWORKDAYS.INTL(TODAY(), N49, 1, DATA!A48:A76) - 1))</f>
        <v/>
      </c>
      <c r="P49" s="64" t="str">
        <f t="shared" ca="1" si="0"/>
        <v/>
      </c>
      <c r="Q49" s="64" t="str">
        <f t="shared" ca="1" si="1"/>
        <v/>
      </c>
    </row>
    <row r="50" spans="1:17" s="64" customFormat="1" ht="41.4" x14ac:dyDescent="0.3">
      <c r="A50" s="82"/>
      <c r="B50" s="93" t="s">
        <v>1071</v>
      </c>
      <c r="C50" s="93" t="s">
        <v>70</v>
      </c>
      <c r="D50" s="93" t="s">
        <v>238</v>
      </c>
      <c r="E50" s="93" t="s">
        <v>357</v>
      </c>
      <c r="F50" s="93" t="s">
        <v>1072</v>
      </c>
      <c r="G50" s="93" t="s">
        <v>1073</v>
      </c>
      <c r="H50" s="93" t="s">
        <v>74</v>
      </c>
      <c r="I50" s="57" t="s">
        <v>75</v>
      </c>
      <c r="J50" s="94">
        <v>46184.440972222219</v>
      </c>
      <c r="K50" s="94">
        <v>46191.429861111108</v>
      </c>
      <c r="L50" s="94">
        <v>46191.429861111108</v>
      </c>
      <c r="M50" s="93" t="s">
        <v>76</v>
      </c>
      <c r="N50" s="59" t="str">
        <f>IF(ISBLANK(J50),"",IF(OR(M50="Completed",M50="Closed"),"",IF(H50="Issue",IF(I50="High",WORKDAY(J50,2,DATA!A49:A77),IF(I50="Medium",WORKDAY(J50,14,DATA!A49:A77),IF(OR(I50="Low"),WORKDAY(J50,30,DATA!A49:A77),""))),
"")
))</f>
        <v/>
      </c>
      <c r="O50" s="60" t="str">
        <f ca="1">IF(OR(ISBLANK(#REF!), M50="Completed", M50="Closed", H50&lt;&gt;"Issue"), "",
   (NETWORKDAYS.INTL(TODAY(), N50, 1, DATA!A49:A77) - 1))</f>
        <v/>
      </c>
      <c r="P50" s="64" t="str">
        <f t="shared" ca="1" si="0"/>
        <v/>
      </c>
      <c r="Q50" s="64" t="str">
        <f t="shared" ca="1" si="1"/>
        <v/>
      </c>
    </row>
    <row r="51" spans="1:17" s="64" customFormat="1" ht="55.2" x14ac:dyDescent="0.3">
      <c r="A51" s="82"/>
      <c r="B51" s="93" t="s">
        <v>1367</v>
      </c>
      <c r="C51" s="93" t="s">
        <v>70</v>
      </c>
      <c r="D51" s="93" t="s">
        <v>375</v>
      </c>
      <c r="E51" s="93" t="s">
        <v>357</v>
      </c>
      <c r="F51" s="93" t="s">
        <v>1368</v>
      </c>
      <c r="G51" s="93" t="s">
        <v>1369</v>
      </c>
      <c r="H51" s="93" t="s">
        <v>74</v>
      </c>
      <c r="I51" s="57" t="s">
        <v>75</v>
      </c>
      <c r="J51" s="94">
        <v>46192.397222222222</v>
      </c>
      <c r="K51" s="94">
        <v>46195.436111111114</v>
      </c>
      <c r="L51" s="79"/>
      <c r="M51" s="93" t="s">
        <v>85</v>
      </c>
      <c r="N51" s="59" t="str">
        <f>IF(ISBLANK(J51),"",IF(OR(M51="Completed",M51="Closed"),"",IF(H51="Issue",IF(I51="High",WORKDAY(J51,2,DATA!A50:A78),IF(I51="Medium",WORKDAY(J51,14,DATA!A50:A78),IF(OR(I51="Low"),WORKDAY(J51,30,DATA!A50:A78),""))),
"")
))</f>
        <v/>
      </c>
      <c r="O51" s="60" t="str">
        <f ca="1">IF(OR(ISBLANK(#REF!), M51="Completed", M51="Closed", H51&lt;&gt;"Issue"), "",
   (NETWORKDAYS.INTL(TODAY(), N51, 1, DATA!A50:A78) - 1))</f>
        <v/>
      </c>
      <c r="P51" s="64" t="str">
        <f t="shared" ca="1" si="0"/>
        <v/>
      </c>
      <c r="Q51" s="64" t="str">
        <f t="shared" ca="1" si="1"/>
        <v/>
      </c>
    </row>
    <row r="52" spans="1:17" s="64" customFormat="1" ht="27.6" x14ac:dyDescent="0.3">
      <c r="A52" s="57"/>
      <c r="B52" s="93" t="s">
        <v>1370</v>
      </c>
      <c r="C52" s="79"/>
      <c r="D52" s="93" t="s">
        <v>238</v>
      </c>
      <c r="E52" s="93" t="s">
        <v>357</v>
      </c>
      <c r="F52" s="93" t="s">
        <v>1072</v>
      </c>
      <c r="G52" s="93" t="s">
        <v>1371</v>
      </c>
      <c r="H52" s="93" t="s">
        <v>74</v>
      </c>
      <c r="I52" s="57" t="s">
        <v>75</v>
      </c>
      <c r="J52" s="94">
        <v>46192.491666666669</v>
      </c>
      <c r="K52" s="79"/>
      <c r="L52" s="79"/>
      <c r="M52" s="93" t="s">
        <v>77</v>
      </c>
      <c r="N52" s="59">
        <f>IF(ISBLANK(J52),"",IF(OR(M52="Completed",M52="Closed"),"",IF(H52="Issue",IF(I52="High",WORKDAY(J52,2,DATA!A51:A79),IF(I52="Medium",WORKDAY(J52,14,DATA!A51:A79),IF(OR(I52="Low"),WORKDAY(J52,30,DATA!A51:A79),""))),
"")
))</f>
        <v>46212</v>
      </c>
      <c r="O52" s="60">
        <f ca="1">IF(OR(ISBLANK(#REF!), M52="Completed", M52="Closed", H52&lt;&gt;"Issue"), "",
   (NETWORKDAYS.INTL(TODAY(), N52, 1, DATA!A51:A79) - 1))</f>
        <v>-11</v>
      </c>
      <c r="P52" s="64">
        <f t="shared" ca="1" si="0"/>
        <v>11</v>
      </c>
      <c r="Q52" s="64" t="str">
        <f t="shared" ca="1" si="1"/>
        <v>1-30 Days</v>
      </c>
    </row>
    <row r="53" spans="1:17" s="64" customFormat="1" ht="27.6" x14ac:dyDescent="0.3">
      <c r="A53" s="57"/>
      <c r="B53" s="93" t="s">
        <v>1372</v>
      </c>
      <c r="C53" s="93" t="s">
        <v>70</v>
      </c>
      <c r="D53" s="93" t="s">
        <v>379</v>
      </c>
      <c r="E53" s="93" t="s">
        <v>357</v>
      </c>
      <c r="F53" s="93" t="s">
        <v>1373</v>
      </c>
      <c r="G53" s="93" t="s">
        <v>1374</v>
      </c>
      <c r="H53" s="93" t="s">
        <v>74</v>
      </c>
      <c r="I53" s="57" t="s">
        <v>75</v>
      </c>
      <c r="J53" s="94">
        <v>46195.500694444447</v>
      </c>
      <c r="K53" s="94">
        <v>46195.710416666669</v>
      </c>
      <c r="L53" s="79"/>
      <c r="M53" s="93" t="s">
        <v>85</v>
      </c>
      <c r="N53" s="59" t="str">
        <f>IF(ISBLANK(J53),"",IF(OR(M53="Completed",M53="Closed"),"",IF(H53="Issue",IF(I53="High",WORKDAY(J53,2,DATA!A52:A80),IF(I53="Medium",WORKDAY(J53,14,DATA!A52:A80),IF(OR(I53="Low"),WORKDAY(J53,30,DATA!A52:A80),""))),
"")
))</f>
        <v/>
      </c>
      <c r="O53" s="60" t="str">
        <f ca="1">IF(OR(ISBLANK(#REF!), M53="Completed", M53="Closed", H53&lt;&gt;"Issue"), "",
   (NETWORKDAYS.INTL(TODAY(), N53, 1, DATA!A52:A80) - 1))</f>
        <v/>
      </c>
      <c r="P53" s="64" t="str">
        <f t="shared" ca="1" si="0"/>
        <v/>
      </c>
      <c r="Q53" s="64" t="str">
        <f t="shared" ca="1" si="1"/>
        <v/>
      </c>
    </row>
    <row r="54" spans="1:17" s="64" customFormat="1" ht="55.2" x14ac:dyDescent="0.3">
      <c r="A54" s="57"/>
      <c r="B54" s="93" t="s">
        <v>1375</v>
      </c>
      <c r="C54" s="79"/>
      <c r="D54" s="93" t="s">
        <v>238</v>
      </c>
      <c r="E54" s="93" t="s">
        <v>357</v>
      </c>
      <c r="F54" s="93" t="s">
        <v>1376</v>
      </c>
      <c r="G54" s="93" t="s">
        <v>1377</v>
      </c>
      <c r="H54" s="93" t="s">
        <v>74</v>
      </c>
      <c r="I54" s="57" t="s">
        <v>75</v>
      </c>
      <c r="J54" s="94">
        <v>46197.647916666669</v>
      </c>
      <c r="K54" s="79"/>
      <c r="L54" s="79"/>
      <c r="M54" s="93" t="s">
        <v>77</v>
      </c>
      <c r="N54" s="59">
        <f>IF(ISBLANK(J54),"",IF(OR(M54="Completed",M54="Closed"),"",IF(H54="Issue",IF(I54="High",WORKDAY(J54,2,DATA!A53:A81),IF(I54="Medium",WORKDAY(J54,14,DATA!A53:A81),IF(OR(I54="Low"),WORKDAY(J54,30,DATA!A53:A81),""))),
"")
))</f>
        <v>46217</v>
      </c>
      <c r="O54" s="60">
        <f ca="1">IF(OR(ISBLANK(#REF!), M54="Completed", M54="Closed", H54&lt;&gt;"Issue"), "",
   (NETWORKDAYS.INTL(TODAY(), N54, 1, DATA!A53:A81) - 1))</f>
        <v>-8</v>
      </c>
      <c r="P54" s="64">
        <f t="shared" ca="1" si="0"/>
        <v>8</v>
      </c>
      <c r="Q54" s="64" t="str">
        <f t="shared" ca="1" si="1"/>
        <v>1-30 Days</v>
      </c>
    </row>
    <row r="55" spans="1:17" s="64" customFormat="1" x14ac:dyDescent="0.3">
      <c r="A55" s="57"/>
      <c r="B55" s="57"/>
      <c r="C55" s="57"/>
      <c r="D55" s="57"/>
      <c r="E55" s="57"/>
      <c r="F55" s="57"/>
      <c r="G55" s="57"/>
      <c r="H55" s="57"/>
      <c r="I55" s="57" t="s">
        <v>75</v>
      </c>
      <c r="J55" s="100"/>
      <c r="K55" s="101"/>
      <c r="L55" s="101"/>
      <c r="M55" s="57"/>
      <c r="N55" s="59" t="str">
        <f>IF(ISBLANK(J55),"",IF(OR(M55="Completed",M55="Closed"),"",IF(H55="Issue",IF(I55="High",WORKDAY(J55,2,DATA!A54:A82),IF(I55="Medium",WORKDAY(J55,14,DATA!A54:A82),IF(OR(I55="Low"),WORKDAY(J55,30,DATA!A54:A82),""))),
"")
))</f>
        <v/>
      </c>
      <c r="O55" s="60" t="str">
        <f ca="1">IF(OR(ISBLANK(#REF!), M55="Completed", M55="Closed", H55&lt;&gt;"Issue"), "",
   (NETWORKDAYS.INTL(TODAY(), N55, 1, DATA!A54:A82) - 1))</f>
        <v/>
      </c>
      <c r="P55" s="64" t="str">
        <f t="shared" ca="1" si="0"/>
        <v/>
      </c>
      <c r="Q55" s="64" t="str">
        <f t="shared" ca="1" si="1"/>
        <v/>
      </c>
    </row>
    <row r="56" spans="1:17" s="64" customFormat="1" x14ac:dyDescent="0.3">
      <c r="A56" s="57"/>
      <c r="B56" s="57"/>
      <c r="C56" s="57"/>
      <c r="D56" s="57"/>
      <c r="E56" s="57"/>
      <c r="F56" s="57"/>
      <c r="G56" s="57"/>
      <c r="H56" s="57"/>
      <c r="I56" s="57" t="s">
        <v>75</v>
      </c>
      <c r="J56" s="100"/>
      <c r="K56" s="101"/>
      <c r="L56" s="101"/>
      <c r="M56" s="57"/>
      <c r="N56" s="59" t="str">
        <f>IF(ISBLANK(J56),"",IF(OR(M56="Completed",M56="Closed"),"",IF(H56="Issue",IF(I56="High",WORKDAY(J56,2,DATA!A55:A83),IF(I56="Medium",WORKDAY(J56,14,DATA!A55:A83),IF(OR(I56="Low"),WORKDAY(J56,30,DATA!A55:A83),""))),
"")
))</f>
        <v/>
      </c>
      <c r="O56" s="60" t="str">
        <f ca="1">IF(OR(ISBLANK(#REF!), M56="Completed", M56="Closed", H56&lt;&gt;"Issue"), "",
   (NETWORKDAYS.INTL(TODAY(), N56, 1, DATA!A55:A83) - 1))</f>
        <v/>
      </c>
      <c r="P56" s="64" t="str">
        <f t="shared" ca="1" si="0"/>
        <v/>
      </c>
      <c r="Q56" s="64" t="str">
        <f t="shared" ca="1" si="1"/>
        <v/>
      </c>
    </row>
    <row r="57" spans="1:17" s="64" customFormat="1" x14ac:dyDescent="0.3">
      <c r="A57" s="57"/>
      <c r="B57" s="57"/>
      <c r="C57" s="57"/>
      <c r="D57" s="57"/>
      <c r="E57" s="57"/>
      <c r="F57" s="57"/>
      <c r="G57" s="57"/>
      <c r="H57" s="57"/>
      <c r="I57" s="57" t="s">
        <v>75</v>
      </c>
      <c r="J57" s="100"/>
      <c r="K57" s="101"/>
      <c r="L57" s="101"/>
      <c r="M57" s="57"/>
      <c r="N57" s="59" t="str">
        <f>IF(ISBLANK(J57),"",IF(OR(M57="Completed",M57="Closed"),"",IF(H57="Issue",IF(I57="High",WORKDAY(J57,2,DATA!A56:A84),IF(I57="Medium",WORKDAY(J57,14,DATA!A56:A84),IF(OR(I57="Low"),WORKDAY(J57,30,DATA!A56:A84),""))),
"")
))</f>
        <v/>
      </c>
      <c r="O57" s="60" t="str">
        <f ca="1">IF(OR(ISBLANK(#REF!), M57="Completed", M57="Closed", H57&lt;&gt;"Issue"), "",
   (NETWORKDAYS.INTL(TODAY(), N57, 1, DATA!A56:A84) - 1))</f>
        <v/>
      </c>
      <c r="P57" s="64" t="str">
        <f t="shared" ca="1" si="0"/>
        <v/>
      </c>
      <c r="Q57" s="64" t="str">
        <f t="shared" ca="1" si="1"/>
        <v/>
      </c>
    </row>
    <row r="58" spans="1:17" s="64" customFormat="1" x14ac:dyDescent="0.3">
      <c r="A58" s="57"/>
      <c r="B58" s="57"/>
      <c r="C58" s="57"/>
      <c r="D58" s="57"/>
      <c r="E58" s="57"/>
      <c r="F58" s="57"/>
      <c r="G58" s="57"/>
      <c r="H58" s="57"/>
      <c r="I58" s="57" t="s">
        <v>75</v>
      </c>
      <c r="J58" s="100"/>
      <c r="K58" s="100"/>
      <c r="L58" s="100"/>
      <c r="M58" s="57"/>
      <c r="N58" s="59" t="str">
        <f>IF(ISBLANK(J58),"",IF(OR(M58="Completed",M58="Closed"),"",IF(H58="Issue",IF(I58="High",WORKDAY(J58,2,DATA!A57:A85),IF(I58="Medium",WORKDAY(J58,14,DATA!A57:A85),IF(OR(I58="Low"),WORKDAY(J58,30,DATA!A57:A85),""))),
"")
))</f>
        <v/>
      </c>
      <c r="O58" s="60" t="str">
        <f ca="1">IF(OR(ISBLANK(#REF!), M58="Completed", M58="Closed", H58&lt;&gt;"Issue"), "",
   (NETWORKDAYS.INTL(TODAY(), N58, 1, DATA!A57:A85) - 1))</f>
        <v/>
      </c>
      <c r="P58" s="64" t="str">
        <f t="shared" ca="1" si="0"/>
        <v/>
      </c>
      <c r="Q58" s="64" t="str">
        <f t="shared" ca="1" si="1"/>
        <v/>
      </c>
    </row>
    <row r="59" spans="1:17" s="64" customFormat="1" x14ac:dyDescent="0.3">
      <c r="A59" s="57"/>
      <c r="B59" s="57"/>
      <c r="C59" s="57"/>
      <c r="D59" s="57"/>
      <c r="E59" s="57"/>
      <c r="F59" s="57"/>
      <c r="G59" s="57"/>
      <c r="H59" s="57"/>
      <c r="I59" s="57" t="s">
        <v>75</v>
      </c>
      <c r="J59" s="100"/>
      <c r="K59" s="100"/>
      <c r="L59" s="101"/>
      <c r="M59" s="57"/>
      <c r="N59" s="59" t="str">
        <f>IF(ISBLANK(J59),"",IF(OR(M59="Completed",M59="Closed"),"",IF(H59="Issue",IF(I59="High",WORKDAY(J59,2,DATA!A58:A86),IF(I59="Medium",WORKDAY(J59,14,DATA!A58:A86),IF(OR(I59="Low"),WORKDAY(J59,30,DATA!A58:A86),""))),
"")
))</f>
        <v/>
      </c>
      <c r="O59" s="60" t="str">
        <f ca="1">IF(OR(ISBLANK(#REF!), M59="Completed", M59="Closed", H59&lt;&gt;"Issue"), "",
   (NETWORKDAYS.INTL(TODAY(), N59, 1, DATA!A58:A86) - 1))</f>
        <v/>
      </c>
      <c r="P59" s="64" t="str">
        <f t="shared" ca="1" si="0"/>
        <v/>
      </c>
      <c r="Q59" s="64" t="str">
        <f t="shared" ca="1" si="1"/>
        <v/>
      </c>
    </row>
    <row r="60" spans="1:17" s="64" customFormat="1" x14ac:dyDescent="0.3">
      <c r="A60" s="57"/>
      <c r="B60" s="57"/>
      <c r="C60" s="57"/>
      <c r="D60" s="57"/>
      <c r="E60" s="57"/>
      <c r="F60" s="57"/>
      <c r="G60" s="57"/>
      <c r="H60" s="57"/>
      <c r="I60" s="57" t="s">
        <v>75</v>
      </c>
      <c r="J60" s="100"/>
      <c r="K60" s="101"/>
      <c r="L60" s="101"/>
      <c r="M60" s="57"/>
      <c r="N60" s="59" t="str">
        <f>IF(ISBLANK(J60),"",IF(OR(M60="Completed",M60="Closed"),"",IF(H60="Issue",IF(I60="High",WORKDAY(J60,2,DATA!A59:A87),IF(I60="Medium",WORKDAY(J60,14,DATA!A59:A87),IF(OR(I60="Low"),WORKDAY(J60,30,DATA!A59:A87),""))),
"")
))</f>
        <v/>
      </c>
      <c r="O60" s="60" t="str">
        <f ca="1">IF(OR(ISBLANK(#REF!), M60="Completed", M60="Closed", H60&lt;&gt;"Issue"), "",
   (NETWORKDAYS.INTL(TODAY(), N60, 1, DATA!A59:A87) - 1))</f>
        <v/>
      </c>
      <c r="P60" s="64" t="str">
        <f t="shared" ca="1" si="0"/>
        <v/>
      </c>
      <c r="Q60" s="64" t="str">
        <f t="shared" ca="1" si="1"/>
        <v/>
      </c>
    </row>
    <row r="61" spans="1:17" s="64" customFormat="1" x14ac:dyDescent="0.3">
      <c r="A61" s="57"/>
      <c r="B61" s="57"/>
      <c r="C61" s="57"/>
      <c r="D61" s="57"/>
      <c r="E61" s="57"/>
      <c r="F61" s="57"/>
      <c r="G61" s="57"/>
      <c r="H61" s="57"/>
      <c r="I61" s="57" t="s">
        <v>75</v>
      </c>
      <c r="J61" s="100"/>
      <c r="K61" s="101"/>
      <c r="L61" s="101"/>
      <c r="M61" s="57"/>
      <c r="N61" s="59" t="str">
        <f>IF(ISBLANK(J61),"",IF(OR(M61="Completed",M61="Closed"),"",IF(H61="Issue",IF(I61="High",WORKDAY(J61,2,DATA!A60:A88),IF(I61="Medium",WORKDAY(J61,14,DATA!A60:A88),IF(OR(I61="Low"),WORKDAY(J61,30,DATA!A60:A88),""))),
"")
))</f>
        <v/>
      </c>
      <c r="O61" s="60" t="str">
        <f ca="1">IF(OR(ISBLANK(#REF!), M61="Completed", M61="Closed", H61&lt;&gt;"Issue"), "",
   (NETWORKDAYS.INTL(TODAY(), N61, 1, DATA!A60:A88) - 1))</f>
        <v/>
      </c>
      <c r="P61" s="64" t="str">
        <f t="shared" ca="1" si="0"/>
        <v/>
      </c>
      <c r="Q61" s="64" t="str">
        <f t="shared" ca="1" si="1"/>
        <v/>
      </c>
    </row>
    <row r="62" spans="1:17" s="64" customFormat="1" x14ac:dyDescent="0.3">
      <c r="A62" s="57"/>
      <c r="B62" s="57"/>
      <c r="C62" s="57"/>
      <c r="D62" s="57"/>
      <c r="E62" s="57"/>
      <c r="F62" s="57"/>
      <c r="G62" s="57"/>
      <c r="H62" s="57"/>
      <c r="I62" s="57" t="s">
        <v>75</v>
      </c>
      <c r="J62" s="100"/>
      <c r="K62" s="100"/>
      <c r="L62" s="100"/>
      <c r="M62" s="57"/>
      <c r="N62" s="59" t="str">
        <f>IF(ISBLANK(J62),"",IF(OR(M62="Completed",M62="Closed"),"",IF(H62="Issue",IF(I62="High",WORKDAY(J62,2,DATA!A61:A89),IF(I62="Medium",WORKDAY(J62,14,DATA!A61:A89),IF(OR(I62="Low"),WORKDAY(J62,30,DATA!A61:A89),""))),
"")
))</f>
        <v/>
      </c>
      <c r="O62" s="60" t="str">
        <f ca="1">IF(OR(ISBLANK(#REF!), M62="Completed", M62="Closed", H62&lt;&gt;"Issue"), "",
   (NETWORKDAYS.INTL(TODAY(), N62, 1, DATA!A61:A89) - 1))</f>
        <v/>
      </c>
      <c r="P62" s="64" t="str">
        <f t="shared" ca="1" si="0"/>
        <v/>
      </c>
      <c r="Q62" s="64" t="str">
        <f t="shared" ca="1" si="1"/>
        <v/>
      </c>
    </row>
    <row r="63" spans="1:17" s="64" customFormat="1" x14ac:dyDescent="0.3">
      <c r="A63" s="57"/>
      <c r="B63" s="57"/>
      <c r="C63" s="57"/>
      <c r="D63" s="57"/>
      <c r="E63" s="57"/>
      <c r="F63" s="57"/>
      <c r="G63" s="57"/>
      <c r="H63" s="57"/>
      <c r="I63" s="57" t="s">
        <v>75</v>
      </c>
      <c r="J63" s="100"/>
      <c r="K63" s="101"/>
      <c r="L63" s="101"/>
      <c r="M63" s="57"/>
      <c r="N63" s="59" t="str">
        <f>IF(ISBLANK(J63),"",IF(OR(M63="Completed",M63="Closed"),"",IF(H63="Issue",IF(I63="High",WORKDAY(J63,2,DATA!A62:A90),IF(I63="Medium",WORKDAY(J63,14,DATA!A62:A90),IF(OR(I63="Low"),WORKDAY(J63,30,DATA!A62:A90),""))),
"")
))</f>
        <v/>
      </c>
      <c r="O63" s="60" t="str">
        <f ca="1">IF(OR(ISBLANK(#REF!), M63="Completed", M63="Closed", H63&lt;&gt;"Issue"), "",
   (NETWORKDAYS.INTL(TODAY(), N63, 1, DATA!A62:A90) - 1))</f>
        <v/>
      </c>
      <c r="P63" s="64" t="str">
        <f t="shared" ca="1" si="0"/>
        <v/>
      </c>
      <c r="Q63" s="64" t="str">
        <f t="shared" ref="Q63:Q66" ca="1" si="2">IF(P63="","",
IF(P63&lt;=30,"1-30 Days",
IF(AND(P63&gt;=31,P63&lt;=60),"31-60 Days",
"&gt;60 Days")))</f>
        <v/>
      </c>
    </row>
    <row r="64" spans="1:17" s="64" customFormat="1" x14ac:dyDescent="0.3">
      <c r="A64" s="57"/>
      <c r="B64" s="57"/>
      <c r="C64" s="57"/>
      <c r="D64" s="57"/>
      <c r="E64" s="57"/>
      <c r="F64" s="57"/>
      <c r="G64" s="57"/>
      <c r="H64" s="57"/>
      <c r="I64" s="57" t="s">
        <v>75</v>
      </c>
      <c r="J64" s="100"/>
      <c r="K64" s="101"/>
      <c r="L64" s="101"/>
      <c r="M64" s="57"/>
      <c r="N64" s="59" t="str">
        <f>IF(ISBLANK(J64),"",IF(OR(M64="Completed",M64="Closed"),"",IF(H64="Issue",IF(I64="High",WORKDAY(J64,2,DATA!A63:A91),IF(I64="Medium",WORKDAY(J64,14,DATA!A63:A91),IF(OR(I64="Low"),WORKDAY(J64,30,DATA!A63:A91),""))),
"")
))</f>
        <v/>
      </c>
      <c r="O64" s="60" t="str">
        <f ca="1">IF(OR(ISBLANK(#REF!), M64="Completed", M64="Closed", H64&lt;&gt;"Issue"), "",
   (NETWORKDAYS.INTL(TODAY(), N64, 1, DATA!A63:A91) - 1))</f>
        <v/>
      </c>
      <c r="P64" s="64" t="str">
        <f t="shared" ca="1" si="0"/>
        <v/>
      </c>
      <c r="Q64" s="64" t="str">
        <f t="shared" ca="1" si="2"/>
        <v/>
      </c>
    </row>
    <row r="65" spans="1:17" s="64" customFormat="1" x14ac:dyDescent="0.3">
      <c r="A65" s="57"/>
      <c r="B65" s="57"/>
      <c r="C65" s="57"/>
      <c r="D65" s="57"/>
      <c r="E65" s="57"/>
      <c r="F65" s="57"/>
      <c r="G65" s="57"/>
      <c r="H65" s="57"/>
      <c r="I65" s="57" t="s">
        <v>75</v>
      </c>
      <c r="J65" s="100"/>
      <c r="K65" s="100"/>
      <c r="L65" s="100"/>
      <c r="M65" s="57"/>
      <c r="N65" s="59" t="str">
        <f>IF(ISBLANK(J65),"",IF(OR(M65="Completed",M65="Closed"),"",IF(H65="Issue",IF(I65="High",WORKDAY(J65,2,DATA!A64:A92),IF(I65="Medium",WORKDAY(J65,14,DATA!A64:A92),IF(OR(I65="Low"),WORKDAY(J65,30,DATA!A64:A92),""))),
"")
))</f>
        <v/>
      </c>
      <c r="O65" s="60" t="str">
        <f ca="1">IF(OR(ISBLANK(#REF!), M65="Completed", M65="Closed", H65&lt;&gt;"Issue"), "",
   (NETWORKDAYS.INTL(TODAY(), N65, 1, DATA!A64:A92) - 1))</f>
        <v/>
      </c>
      <c r="P65" s="64" t="str">
        <f t="shared" ca="1" si="0"/>
        <v/>
      </c>
      <c r="Q65" s="64" t="str">
        <f t="shared" ca="1" si="2"/>
        <v/>
      </c>
    </row>
    <row r="66" spans="1:17" s="64" customFormat="1" x14ac:dyDescent="0.3">
      <c r="A66" s="57"/>
      <c r="B66" s="57"/>
      <c r="C66" s="57"/>
      <c r="D66" s="57"/>
      <c r="E66" s="57"/>
      <c r="F66" s="57"/>
      <c r="G66" s="57"/>
      <c r="H66" s="57"/>
      <c r="I66" s="57" t="s">
        <v>75</v>
      </c>
      <c r="J66" s="100"/>
      <c r="K66" s="101"/>
      <c r="L66" s="101"/>
      <c r="M66" s="57"/>
      <c r="N66" s="59" t="str">
        <f>IF(ISBLANK(J66),"",IF(OR(M66="Completed",M66="Closed"),"",IF(H66="Issue",IF(I66="High",WORKDAY(J66,2,DATA!A65:A93),IF(I66="Medium",WORKDAY(J66,14,DATA!A65:A93),IF(OR(I66="Low"),WORKDAY(J66,30,DATA!A65:A93),""))),
"")
))</f>
        <v/>
      </c>
      <c r="O66" s="60" t="str">
        <f ca="1">IF(OR(ISBLANK(#REF!), M66="Completed", M66="Closed", H66&lt;&gt;"Issue"), "",
   (NETWORKDAYS.INTL(TODAY(), N66, 1, DATA!A65:A93) - 1))</f>
        <v/>
      </c>
      <c r="P66" s="64" t="str">
        <f t="shared" ca="1" si="0"/>
        <v/>
      </c>
      <c r="Q66" s="64" t="str">
        <f t="shared" ca="1" si="2"/>
        <v/>
      </c>
    </row>
    <row r="67" spans="1:17" s="64" customFormat="1" x14ac:dyDescent="0.3">
      <c r="A67" s="57"/>
      <c r="B67" s="57"/>
      <c r="C67" s="57"/>
      <c r="D67" s="57"/>
      <c r="E67" s="57"/>
      <c r="F67" s="57"/>
      <c r="G67" s="57"/>
      <c r="H67" s="57"/>
      <c r="I67" s="57" t="s">
        <v>75</v>
      </c>
      <c r="J67" s="100"/>
      <c r="K67" s="100"/>
      <c r="L67" s="100"/>
      <c r="M67" s="57"/>
      <c r="N67" s="59" t="str">
        <f>IF(ISBLANK(J67),"",IF(OR(M67="Completed",M67="Closed"),"",IF(H67="Issue",IF(I67="High",WORKDAY(J67,2,DATA!A66:A94),IF(I67="Medium",WORKDAY(J67,14,DATA!A66:A94),IF(OR(I67="Low"),WORKDAY(J67,30,DATA!A66:A94),""))),
"")
))</f>
        <v/>
      </c>
      <c r="O67" s="60" t="str">
        <f ca="1">IF(OR(ISBLANK(#REF!), M67="Completed", M67="Closed", H67&lt;&gt;"Issue"), "",
   (NETWORKDAYS.INTL(TODAY(), N67, 1, DATA!A66:A94) - 1))</f>
        <v/>
      </c>
      <c r="P67" s="64" t="str">
        <f t="shared" ca="1" si="0"/>
        <v/>
      </c>
      <c r="Q67" s="64" t="str">
        <f t="shared" ref="Q67:Q95" ca="1" si="3">IF(P67="","",
IF(P67&lt;=30,"1-30 Days",
IF(AND(P67&gt;=31,P67&lt;=60),"31-60 Days",
"&gt;60 Days")))</f>
        <v/>
      </c>
    </row>
    <row r="68" spans="1:17" s="64" customFormat="1" x14ac:dyDescent="0.3">
      <c r="A68" s="57"/>
      <c r="B68" s="57"/>
      <c r="C68" s="57"/>
      <c r="D68" s="57"/>
      <c r="E68" s="57"/>
      <c r="F68" s="57"/>
      <c r="G68" s="57"/>
      <c r="H68" s="57"/>
      <c r="I68" s="57" t="s">
        <v>75</v>
      </c>
      <c r="J68" s="100"/>
      <c r="K68" s="101"/>
      <c r="L68" s="101"/>
      <c r="M68" s="57"/>
      <c r="N68" s="59" t="str">
        <f>IF(ISBLANK(J68),"",IF(OR(M68="Completed",M68="Closed"),"",IF(H68="Issue",IF(I68="High",WORKDAY(J68,2,DATA!A67:A95),IF(I68="Medium",WORKDAY(J68,14,DATA!A67:A95),IF(OR(I68="Low"),WORKDAY(J68,30,DATA!A67:A95),""))),
"")
))</f>
        <v/>
      </c>
      <c r="O68" s="60" t="str">
        <f ca="1">IF(OR(ISBLANK(#REF!), M68="Completed", M68="Closed", H68&lt;&gt;"Issue"), "",
   (NETWORKDAYS.INTL(TODAY(), N68, 1, DATA!A67:A95) - 1))</f>
        <v/>
      </c>
      <c r="P68" s="64" t="str">
        <f t="shared" ref="P68:P95" ca="1" si="4">IF(O68="","",LEFT(O68,10)*(-1))</f>
        <v/>
      </c>
      <c r="Q68" s="64" t="str">
        <f t="shared" ca="1" si="3"/>
        <v/>
      </c>
    </row>
    <row r="69" spans="1:17" s="64" customFormat="1" x14ac:dyDescent="0.3">
      <c r="A69" s="57"/>
      <c r="B69" s="57"/>
      <c r="C69" s="57"/>
      <c r="D69" s="57"/>
      <c r="E69" s="57"/>
      <c r="F69" s="57"/>
      <c r="G69" s="57"/>
      <c r="H69" s="57"/>
      <c r="I69" s="57" t="s">
        <v>75</v>
      </c>
      <c r="J69" s="100"/>
      <c r="K69" s="100"/>
      <c r="L69" s="100"/>
      <c r="M69" s="57"/>
      <c r="N69" s="59" t="str">
        <f>IF(ISBLANK(J69),"",IF(OR(M69="Completed",M69="Closed"),"",IF(H69="Issue",IF(I69="High",WORKDAY(J69,2,DATA!A68:A96),IF(I69="Medium",WORKDAY(J69,14,DATA!A68:A96),IF(OR(I69="Low"),WORKDAY(J69,30,DATA!A68:A96),""))),
"")
))</f>
        <v/>
      </c>
      <c r="O69" s="60" t="str">
        <f ca="1">IF(OR(ISBLANK(#REF!), M69="Completed", M69="Closed", H69&lt;&gt;"Issue"), "",
   (NETWORKDAYS.INTL(TODAY(), N69, 1, DATA!A68:A96) - 1))</f>
        <v/>
      </c>
      <c r="P69" s="64" t="str">
        <f t="shared" ca="1" si="4"/>
        <v/>
      </c>
      <c r="Q69" s="64" t="str">
        <f t="shared" ca="1" si="3"/>
        <v/>
      </c>
    </row>
    <row r="70" spans="1:17" s="64" customFormat="1" x14ac:dyDescent="0.3">
      <c r="A70" s="57"/>
      <c r="B70" s="57"/>
      <c r="C70" s="57"/>
      <c r="D70" s="57"/>
      <c r="E70" s="57"/>
      <c r="F70" s="57"/>
      <c r="G70" s="57"/>
      <c r="H70" s="57"/>
      <c r="I70" s="57" t="s">
        <v>75</v>
      </c>
      <c r="J70" s="100"/>
      <c r="K70" s="100"/>
      <c r="L70" s="100"/>
      <c r="M70" s="57"/>
      <c r="N70" s="59" t="str">
        <f>IF(ISBLANK(J70),"",IF(OR(M70="Completed",M70="Closed"),"",IF(H70="Issue",IF(I70="High",WORKDAY(J70,2,DATA!A69:A97),IF(I70="Medium",WORKDAY(J70,14,DATA!A69:A97),IF(OR(I70="Low"),WORKDAY(J70,30,DATA!A69:A97),""))),
"")
))</f>
        <v/>
      </c>
      <c r="O70" s="60" t="str">
        <f ca="1">IF(OR(ISBLANK(#REF!), M70="Completed", M70="Closed", H70&lt;&gt;"Issue"), "",
   (NETWORKDAYS.INTL(TODAY(), N70, 1, DATA!A69:A97) - 1))</f>
        <v/>
      </c>
      <c r="P70" s="64" t="str">
        <f t="shared" ca="1" si="4"/>
        <v/>
      </c>
      <c r="Q70" s="64" t="str">
        <f t="shared" ca="1" si="3"/>
        <v/>
      </c>
    </row>
    <row r="71" spans="1:17" s="64" customFormat="1" x14ac:dyDescent="0.3">
      <c r="A71" s="57"/>
      <c r="B71" s="57"/>
      <c r="C71" s="57"/>
      <c r="D71" s="57"/>
      <c r="E71" s="57"/>
      <c r="F71" s="57"/>
      <c r="G71" s="57"/>
      <c r="H71" s="57"/>
      <c r="I71" s="57" t="s">
        <v>75</v>
      </c>
      <c r="J71" s="58"/>
      <c r="K71" s="58"/>
      <c r="L71" s="58"/>
      <c r="M71" s="57"/>
      <c r="N71" s="59" t="str">
        <f>IF(ISBLANK(J71),"",IF(OR(M71="Completed",M71="Closed"),"",IF(H71="Issue",IF(I71="High",WORKDAY(J71,2,DATA!A70:A98),IF(I71="Medium",WORKDAY(J71,14,DATA!A70:A98),IF(OR(I71="Low"),WORKDAY(J71,30,DATA!A70:A98),""))),
"")
))</f>
        <v/>
      </c>
      <c r="O71" s="60" t="str">
        <f ca="1">IF(OR(ISBLANK(#REF!), M71="Completed", M71="Closed", H71&lt;&gt;"Issue"), "",
   (NETWORKDAYS.INTL(TODAY(), N71, 1, DATA!A70:A98) - 1))</f>
        <v/>
      </c>
      <c r="P71" s="64" t="str">
        <f t="shared" ca="1" si="4"/>
        <v/>
      </c>
      <c r="Q71" s="64" t="str">
        <f t="shared" ca="1" si="3"/>
        <v/>
      </c>
    </row>
    <row r="72" spans="1:17" s="64" customFormat="1" x14ac:dyDescent="0.3">
      <c r="A72" s="57"/>
      <c r="B72" s="57"/>
      <c r="C72" s="57"/>
      <c r="D72" s="57"/>
      <c r="E72" s="57"/>
      <c r="F72" s="57"/>
      <c r="G72" s="57"/>
      <c r="H72" s="57"/>
      <c r="I72" s="57" t="s">
        <v>75</v>
      </c>
      <c r="J72" s="58"/>
      <c r="K72" s="66"/>
      <c r="L72" s="66"/>
      <c r="M72" s="57"/>
      <c r="N72" s="59" t="str">
        <f>IF(ISBLANK(J72),"",IF(OR(M72="Completed",M72="Closed"),"",IF(H72="Issue",IF(I72="High",WORKDAY(J72,2,DATA!A71:A99),IF(I72="Medium",WORKDAY(J72,14,DATA!A71:A99),IF(OR(I72="Low"),WORKDAY(J72,30,DATA!A71:A99),""))),
"")
))</f>
        <v/>
      </c>
      <c r="O72" s="60" t="str">
        <f ca="1">IF(OR(ISBLANK(#REF!), M72="Completed", M72="Closed", H72&lt;&gt;"Issue"), "",
   (NETWORKDAYS.INTL(TODAY(), N72, 1, DATA!A71:A99) - 1))</f>
        <v/>
      </c>
      <c r="P72" s="64" t="str">
        <f t="shared" ca="1" si="4"/>
        <v/>
      </c>
      <c r="Q72" s="64" t="str">
        <f t="shared" ca="1" si="3"/>
        <v/>
      </c>
    </row>
    <row r="73" spans="1:17" s="64" customFormat="1" x14ac:dyDescent="0.3">
      <c r="A73" s="57"/>
      <c r="B73" s="57"/>
      <c r="C73" s="57"/>
      <c r="D73" s="57"/>
      <c r="E73" s="57"/>
      <c r="F73" s="57"/>
      <c r="G73" s="57"/>
      <c r="H73" s="57"/>
      <c r="I73" s="57" t="s">
        <v>75</v>
      </c>
      <c r="J73" s="58"/>
      <c r="K73" s="66"/>
      <c r="L73" s="66"/>
      <c r="M73" s="57"/>
      <c r="N73" s="59" t="str">
        <f>IF(ISBLANK(J73),"",IF(OR(M73="Completed",M73="Closed"),"",IF(H73="Issue",IF(I73="High",WORKDAY(J73,2,DATA!A72:A100),IF(I73="Medium",WORKDAY(J73,14,DATA!A72:A100),IF(OR(I73="Low"),WORKDAY(J73,30,DATA!A72:A100),""))),
"")
))</f>
        <v/>
      </c>
      <c r="O73" s="60" t="str">
        <f ca="1">IF(OR(ISBLANK(#REF!), M73="Completed", M73="Closed", H73&lt;&gt;"Issue"), "",
   (NETWORKDAYS.INTL(TODAY(), N73, 1, DATA!A72:A100) - 1))</f>
        <v/>
      </c>
      <c r="P73" s="64" t="str">
        <f t="shared" ca="1" si="4"/>
        <v/>
      </c>
      <c r="Q73" s="64" t="str">
        <f t="shared" ca="1" si="3"/>
        <v/>
      </c>
    </row>
    <row r="74" spans="1:17" s="64" customFormat="1" x14ac:dyDescent="0.3">
      <c r="A74" s="57"/>
      <c r="B74" s="57"/>
      <c r="C74" s="57"/>
      <c r="D74" s="57"/>
      <c r="E74" s="57"/>
      <c r="F74" s="57"/>
      <c r="G74" s="57"/>
      <c r="H74" s="57"/>
      <c r="I74" s="57" t="s">
        <v>75</v>
      </c>
      <c r="J74" s="58"/>
      <c r="K74" s="58"/>
      <c r="L74" s="58"/>
      <c r="M74" s="57"/>
      <c r="N74" s="59" t="str">
        <f>IF(ISBLANK(J74),"",IF(OR(M74="Completed",M74="Closed"),"",IF(H74="Issue",IF(I74="High",WORKDAY(J74,2,DATA!A73:A101),IF(I74="Medium",WORKDAY(J74,14,DATA!A73:A101),IF(OR(I74="Low"),WORKDAY(J74,30,DATA!A73:A101),""))),
"")
))</f>
        <v/>
      </c>
      <c r="O74" s="60" t="str">
        <f ca="1">IF(OR(ISBLANK(#REF!), M74="Completed", M74="Closed", H74&lt;&gt;"Issue"), "",
   (NETWORKDAYS.INTL(TODAY(), N74, 1, DATA!A73:A101) - 1))</f>
        <v/>
      </c>
      <c r="P74" s="64" t="str">
        <f t="shared" ca="1" si="4"/>
        <v/>
      </c>
      <c r="Q74" s="64" t="str">
        <f t="shared" ca="1" si="3"/>
        <v/>
      </c>
    </row>
    <row r="75" spans="1:17" s="64" customFormat="1" x14ac:dyDescent="0.3">
      <c r="A75" s="57"/>
      <c r="B75" s="57"/>
      <c r="C75" s="57"/>
      <c r="D75" s="57"/>
      <c r="E75" s="57"/>
      <c r="F75" s="57"/>
      <c r="G75" s="57"/>
      <c r="H75" s="57"/>
      <c r="I75" s="57" t="s">
        <v>75</v>
      </c>
      <c r="J75" s="58"/>
      <c r="K75" s="66"/>
      <c r="L75" s="66"/>
      <c r="M75" s="57"/>
      <c r="N75" s="59" t="str">
        <f>IF(ISBLANK(J75),"",IF(OR(M75="Completed",M75="Closed"),"",IF(H75="Issue",IF(I75="High",WORKDAY(J75,2,DATA!A74:A102),IF(I75="Medium",WORKDAY(J75,14,DATA!A74:A102),IF(OR(I75="Low"),WORKDAY(J75,30,DATA!A74:A102),""))),
"")
))</f>
        <v/>
      </c>
      <c r="O75" s="60" t="str">
        <f ca="1">IF(OR(ISBLANK(#REF!), M75="Completed", M75="Closed", H75&lt;&gt;"Issue"), "",
   (NETWORKDAYS.INTL(TODAY(), N75, 1, DATA!A74:A102) - 1))</f>
        <v/>
      </c>
      <c r="P75" s="64" t="str">
        <f t="shared" ca="1" si="4"/>
        <v/>
      </c>
      <c r="Q75" s="64" t="str">
        <f t="shared" ca="1" si="3"/>
        <v/>
      </c>
    </row>
    <row r="76" spans="1:17" s="64" customFormat="1" x14ac:dyDescent="0.3">
      <c r="A76" s="57"/>
      <c r="B76" s="57"/>
      <c r="C76" s="57"/>
      <c r="D76" s="57"/>
      <c r="E76" s="57"/>
      <c r="F76" s="57"/>
      <c r="G76" s="57"/>
      <c r="H76" s="57"/>
      <c r="I76" s="57" t="s">
        <v>75</v>
      </c>
      <c r="J76" s="58"/>
      <c r="K76" s="66"/>
      <c r="L76" s="66"/>
      <c r="M76" s="57"/>
      <c r="N76" s="59" t="str">
        <f>IF(ISBLANK(J76),"",IF(OR(M76="Completed",M76="Closed"),"",IF(H76="Issue",IF(I76="High",WORKDAY(J76,2,DATA!A75:A103),IF(I76="Medium",WORKDAY(J76,14,DATA!A75:A103),IF(OR(I76="Low"),WORKDAY(J76,30,DATA!A75:A103),""))),
"")
))</f>
        <v/>
      </c>
      <c r="O76" s="60" t="str">
        <f ca="1">IF(OR(ISBLANK(#REF!), M76="Completed", M76="Closed", H76&lt;&gt;"Issue"), "",
   (NETWORKDAYS.INTL(TODAY(), N76, 1, DATA!A75:A103) - 1))</f>
        <v/>
      </c>
      <c r="P76" s="64" t="str">
        <f t="shared" ca="1" si="4"/>
        <v/>
      </c>
      <c r="Q76" s="64" t="str">
        <f t="shared" ca="1" si="3"/>
        <v/>
      </c>
    </row>
    <row r="77" spans="1:17" s="64" customFormat="1" x14ac:dyDescent="0.3">
      <c r="A77" s="57"/>
      <c r="B77" s="57"/>
      <c r="C77" s="57"/>
      <c r="D77" s="57"/>
      <c r="E77" s="57"/>
      <c r="F77" s="57"/>
      <c r="G77" s="57"/>
      <c r="H77" s="57"/>
      <c r="I77" s="57" t="s">
        <v>75</v>
      </c>
      <c r="J77" s="58"/>
      <c r="K77" s="58"/>
      <c r="L77" s="66"/>
      <c r="M77" s="57"/>
      <c r="N77" s="59" t="str">
        <f>IF(ISBLANK(J77),"",IF(OR(M77="Completed",M77="Closed"),"",IF(H77="Issue",IF(I77="High",WORKDAY(J77,2,DATA!A76:A104),IF(I77="Medium",WORKDAY(J77,14,DATA!A76:A104),IF(OR(I77="Low"),WORKDAY(J77,30,DATA!A76:A104),""))),
"")
))</f>
        <v/>
      </c>
      <c r="O77" s="60" t="str">
        <f ca="1">IF(OR(ISBLANK(#REF!), M77="Completed", M77="Closed", H77&lt;&gt;"Issue"), "",
   (NETWORKDAYS.INTL(TODAY(), N77, 1, DATA!A76:A104) - 1))</f>
        <v/>
      </c>
      <c r="P77" s="64" t="str">
        <f t="shared" ca="1" si="4"/>
        <v/>
      </c>
      <c r="Q77" s="64" t="str">
        <f t="shared" ca="1" si="3"/>
        <v/>
      </c>
    </row>
    <row r="78" spans="1:17" s="64" customFormat="1" x14ac:dyDescent="0.3">
      <c r="A78" s="57"/>
      <c r="B78" s="57"/>
      <c r="C78" s="57"/>
      <c r="D78" s="57"/>
      <c r="E78" s="57"/>
      <c r="F78" s="57"/>
      <c r="G78" s="57"/>
      <c r="H78" s="57"/>
      <c r="I78" s="57" t="s">
        <v>75</v>
      </c>
      <c r="J78" s="58"/>
      <c r="K78" s="58"/>
      <c r="L78" s="58"/>
      <c r="M78" s="57"/>
      <c r="N78" s="59" t="str">
        <f>IF(ISBLANK(J78),"",IF(OR(M78="Completed",M78="Closed"),"",IF(H78="Issue",IF(I78="High",WORKDAY(J78,2,DATA!A77:A105),IF(I78="Medium",WORKDAY(J78,14,DATA!A77:A105),IF(OR(I78="Low"),WORKDAY(J78,30,DATA!A77:A105),""))),
"")
))</f>
        <v/>
      </c>
      <c r="O78" s="60" t="str">
        <f ca="1">IF(OR(ISBLANK(#REF!), M78="Completed", M78="Closed", H78&lt;&gt;"Issue"), "",
   (NETWORKDAYS.INTL(TODAY(), N78, 1, DATA!A77:A105) - 1))</f>
        <v/>
      </c>
      <c r="P78" s="64" t="str">
        <f t="shared" ca="1" si="4"/>
        <v/>
      </c>
      <c r="Q78" s="64" t="str">
        <f t="shared" ca="1" si="3"/>
        <v/>
      </c>
    </row>
    <row r="79" spans="1:17" s="64" customFormat="1" x14ac:dyDescent="0.3">
      <c r="A79" s="57"/>
      <c r="B79" s="57"/>
      <c r="C79" s="57"/>
      <c r="D79" s="57"/>
      <c r="E79" s="57"/>
      <c r="F79" s="57"/>
      <c r="G79" s="57"/>
      <c r="H79" s="57"/>
      <c r="I79" s="57" t="s">
        <v>75</v>
      </c>
      <c r="J79" s="58"/>
      <c r="K79" s="58"/>
      <c r="L79" s="58"/>
      <c r="M79" s="57"/>
      <c r="N79" s="59" t="str">
        <f>IF(ISBLANK(J79),"",IF(OR(M79="Completed",M79="Closed"),"",IF(H79="Issue",IF(I79="High",WORKDAY(J79,2,DATA!A78:A106),IF(I79="Medium",WORKDAY(J79,14,DATA!A78:A106),IF(OR(I79="Low"),WORKDAY(J79,30,DATA!A78:A106),""))),
"")
))</f>
        <v/>
      </c>
      <c r="O79" s="60" t="str">
        <f ca="1">IF(OR(ISBLANK(#REF!), M79="Completed", M79="Closed", H79&lt;&gt;"Issue"), "",
   (NETWORKDAYS.INTL(TODAY(), N79, 1, DATA!A78:A106) - 1))</f>
        <v/>
      </c>
      <c r="P79" s="64" t="str">
        <f t="shared" ca="1" si="4"/>
        <v/>
      </c>
      <c r="Q79" s="64" t="str">
        <f t="shared" ca="1" si="3"/>
        <v/>
      </c>
    </row>
    <row r="80" spans="1:17" s="64" customFormat="1" x14ac:dyDescent="0.3">
      <c r="A80" s="57"/>
      <c r="B80" s="57"/>
      <c r="C80" s="57"/>
      <c r="D80" s="57"/>
      <c r="E80" s="57"/>
      <c r="F80" s="57"/>
      <c r="G80" s="57"/>
      <c r="H80" s="57"/>
      <c r="I80" s="57" t="s">
        <v>75</v>
      </c>
      <c r="J80" s="58"/>
      <c r="K80" s="58"/>
      <c r="L80" s="58"/>
      <c r="M80" s="57"/>
      <c r="N80" s="59" t="str">
        <f>IF(ISBLANK(J80),"",IF(OR(M80="Completed",M80="Closed"),"",IF(H80="Issue",IF(I80="High",WORKDAY(J80,2,DATA!A79:A107),IF(I80="Medium",WORKDAY(J80,14,DATA!A79:A107),IF(OR(I80="Low"),WORKDAY(J80,30,DATA!A79:A107),""))),
"")
))</f>
        <v/>
      </c>
      <c r="O80" s="60" t="str">
        <f ca="1">IF(OR(ISBLANK(#REF!), M80="Completed", M80="Closed", H80&lt;&gt;"Issue"), "",
   (NETWORKDAYS.INTL(TODAY(), N80, 1, DATA!A79:A107) - 1))</f>
        <v/>
      </c>
      <c r="P80" s="64" t="str">
        <f t="shared" ca="1" si="4"/>
        <v/>
      </c>
      <c r="Q80" s="64" t="str">
        <f t="shared" ca="1" si="3"/>
        <v/>
      </c>
    </row>
    <row r="81" spans="1:17" s="64" customFormat="1" x14ac:dyDescent="0.3">
      <c r="A81" s="57"/>
      <c r="B81" s="57"/>
      <c r="C81" s="57"/>
      <c r="D81" s="57"/>
      <c r="E81" s="57"/>
      <c r="F81" s="57"/>
      <c r="G81" s="57"/>
      <c r="H81" s="57"/>
      <c r="I81" s="57" t="s">
        <v>75</v>
      </c>
      <c r="J81" s="58"/>
      <c r="K81" s="58"/>
      <c r="L81" s="66"/>
      <c r="M81" s="57"/>
      <c r="N81" s="59" t="str">
        <f>IF(ISBLANK(J81),"",IF(OR(M81="Completed",M81="Closed"),"",IF(H81="Issue",IF(I81="High",WORKDAY(J81,2,DATA!A80:A108),IF(I81="Medium",WORKDAY(J81,14,DATA!A80:A108),IF(OR(I81="Low"),WORKDAY(J81,30,DATA!A80:A108),""))),
"")
))</f>
        <v/>
      </c>
      <c r="O81" s="60" t="str">
        <f ca="1">IF(OR(ISBLANK(#REF!), M81="Completed", M81="Closed", H81&lt;&gt;"Issue"), "",
   (NETWORKDAYS.INTL(TODAY(), N81, 1, DATA!A80:A108) - 1))</f>
        <v/>
      </c>
      <c r="P81" s="64" t="str">
        <f t="shared" ca="1" si="4"/>
        <v/>
      </c>
      <c r="Q81" s="64" t="str">
        <f t="shared" ca="1" si="3"/>
        <v/>
      </c>
    </row>
    <row r="82" spans="1:17" s="64" customFormat="1" x14ac:dyDescent="0.3">
      <c r="A82" s="57"/>
      <c r="B82" s="57"/>
      <c r="C82" s="57"/>
      <c r="D82" s="57"/>
      <c r="E82" s="57"/>
      <c r="F82" s="57"/>
      <c r="G82" s="57"/>
      <c r="H82" s="57"/>
      <c r="I82" s="57" t="s">
        <v>75</v>
      </c>
      <c r="J82" s="58"/>
      <c r="K82" s="58"/>
      <c r="L82" s="58"/>
      <c r="M82" s="57"/>
      <c r="N82" s="59" t="str">
        <f>IF(ISBLANK(J82),"",IF(OR(M82="Completed",M82="Closed"),"",IF(H82="Issue",IF(I82="High",WORKDAY(J82,2,DATA!A81:A109),IF(I82="Medium",WORKDAY(J82,14,DATA!A81:A109),IF(OR(I82="Low"),WORKDAY(J82,30,DATA!A81:A109),""))),
"")
))</f>
        <v/>
      </c>
      <c r="O82" s="60" t="str">
        <f ca="1">IF(OR(ISBLANK(#REF!), M82="Completed", M82="Closed", H82&lt;&gt;"Issue"), "",
   (NETWORKDAYS.INTL(TODAY(), N82, 1, DATA!A81:A109) - 1))</f>
        <v/>
      </c>
      <c r="P82" s="64" t="str">
        <f t="shared" ca="1" si="4"/>
        <v/>
      </c>
      <c r="Q82" s="64" t="str">
        <f t="shared" ca="1" si="3"/>
        <v/>
      </c>
    </row>
    <row r="83" spans="1:17" s="64" customFormat="1" x14ac:dyDescent="0.3">
      <c r="A83" s="57"/>
      <c r="B83" s="57"/>
      <c r="C83" s="57"/>
      <c r="D83" s="57"/>
      <c r="E83" s="57"/>
      <c r="F83" s="57"/>
      <c r="G83" s="57"/>
      <c r="H83" s="57"/>
      <c r="I83" s="57" t="s">
        <v>75</v>
      </c>
      <c r="J83" s="58"/>
      <c r="K83" s="66"/>
      <c r="L83" s="66"/>
      <c r="M83" s="57"/>
      <c r="N83" s="59" t="str">
        <f>IF(ISBLANK(J83),"",IF(OR(M83="Completed",M83="Closed"),"",IF(H83="Issue",IF(I83="High",WORKDAY(J83,2,DATA!A82:A110),IF(I83="Medium",WORKDAY(J83,14,DATA!A82:A110),IF(OR(I83="Low"),WORKDAY(J83,30,DATA!A82:A110),""))),
"")
))</f>
        <v/>
      </c>
      <c r="O83" s="60" t="str">
        <f ca="1">IF(OR(ISBLANK(#REF!), M83="Completed", M83="Closed", H83&lt;&gt;"Issue"), "",
   (NETWORKDAYS.INTL(TODAY(), N83, 1, DATA!A82:A110) - 1))</f>
        <v/>
      </c>
      <c r="P83" s="64" t="str">
        <f t="shared" ca="1" si="4"/>
        <v/>
      </c>
      <c r="Q83" s="64" t="str">
        <f t="shared" ca="1" si="3"/>
        <v/>
      </c>
    </row>
    <row r="84" spans="1:17" s="64" customFormat="1" x14ac:dyDescent="0.3">
      <c r="A84" s="57"/>
      <c r="B84" s="57"/>
      <c r="C84" s="57"/>
      <c r="D84" s="57"/>
      <c r="E84" s="57"/>
      <c r="F84" s="57"/>
      <c r="G84" s="57"/>
      <c r="H84" s="57"/>
      <c r="I84" s="57" t="s">
        <v>75</v>
      </c>
      <c r="J84" s="58"/>
      <c r="K84" s="66"/>
      <c r="L84" s="66"/>
      <c r="M84" s="57"/>
      <c r="N84" s="59" t="str">
        <f>IF(ISBLANK(J84),"",IF(OR(M84="Completed",M84="Closed"),"",IF(H84="Issue",IF(I84="High",WORKDAY(J84,2,DATA!A83:A111),IF(I84="Medium",WORKDAY(J84,14,DATA!A83:A111),IF(OR(I84="Low"),WORKDAY(J84,30,DATA!A83:A111),""))),
"")
))</f>
        <v/>
      </c>
      <c r="O84" s="60" t="str">
        <f ca="1">IF(OR(ISBLANK(#REF!), M84="Completed", M84="Closed", H84&lt;&gt;"Issue"), "",
   (NETWORKDAYS.INTL(TODAY(), N84, 1, DATA!A83:A111) - 1))</f>
        <v/>
      </c>
      <c r="P84" s="64" t="str">
        <f t="shared" ca="1" si="4"/>
        <v/>
      </c>
      <c r="Q84" s="64" t="str">
        <f t="shared" ca="1" si="3"/>
        <v/>
      </c>
    </row>
    <row r="85" spans="1:17" s="64" customFormat="1" x14ac:dyDescent="0.3">
      <c r="A85" s="57"/>
      <c r="B85" s="57"/>
      <c r="C85" s="57"/>
      <c r="D85" s="57"/>
      <c r="E85" s="57"/>
      <c r="F85" s="57"/>
      <c r="G85" s="57"/>
      <c r="H85" s="57"/>
      <c r="I85" s="57" t="s">
        <v>75</v>
      </c>
      <c r="J85" s="58"/>
      <c r="K85" s="66"/>
      <c r="L85" s="66"/>
      <c r="M85" s="57"/>
      <c r="N85" s="59" t="str">
        <f>IF(ISBLANK(J85),"",IF(OR(M85="Completed",M85="Closed"),"",IF(H85="Issue",IF(I85="High",WORKDAY(J85,2,DATA!A84:A112),IF(I85="Medium",WORKDAY(J85,14,DATA!A84:A112),IF(OR(I85="Low"),WORKDAY(J85,30,DATA!A84:A112),""))),
"")
))</f>
        <v/>
      </c>
      <c r="O85" s="60" t="str">
        <f ca="1">IF(OR(ISBLANK(#REF!), M85="Completed", M85="Closed", H85&lt;&gt;"Issue"), "",
   (NETWORKDAYS.INTL(TODAY(), N85, 1, DATA!A84:A112) - 1))</f>
        <v/>
      </c>
      <c r="P85" s="64" t="str">
        <f t="shared" ca="1" si="4"/>
        <v/>
      </c>
      <c r="Q85" s="64" t="str">
        <f t="shared" ca="1" si="3"/>
        <v/>
      </c>
    </row>
    <row r="86" spans="1:17" s="64" customFormat="1" x14ac:dyDescent="0.3">
      <c r="A86" s="57"/>
      <c r="B86" s="57"/>
      <c r="C86" s="57"/>
      <c r="D86" s="57"/>
      <c r="E86" s="57"/>
      <c r="F86" s="57"/>
      <c r="G86" s="57"/>
      <c r="H86" s="57"/>
      <c r="I86" s="57" t="s">
        <v>75</v>
      </c>
      <c r="J86" s="58"/>
      <c r="K86" s="66"/>
      <c r="L86" s="66"/>
      <c r="M86" s="57"/>
      <c r="N86" s="59" t="str">
        <f>IF(ISBLANK(J86),"",IF(OR(M86="Completed",M86="Closed"),"",IF(H86="Issue",IF(I86="High",WORKDAY(J86,2,DATA!A85:A113),IF(I86="Medium",WORKDAY(J86,14,DATA!A85:A113),IF(OR(I86="Low"),WORKDAY(J86,30,DATA!A85:A113),""))),
"")
))</f>
        <v/>
      </c>
      <c r="O86" s="60" t="str">
        <f ca="1">IF(OR(ISBLANK(#REF!), M86="Completed", M86="Closed", H86&lt;&gt;"Issue"), "",
   (NETWORKDAYS.INTL(TODAY(), N86, 1, DATA!A85:A113) - 1))</f>
        <v/>
      </c>
      <c r="P86" s="64" t="str">
        <f t="shared" ca="1" si="4"/>
        <v/>
      </c>
      <c r="Q86" s="64" t="str">
        <f t="shared" ca="1" si="3"/>
        <v/>
      </c>
    </row>
    <row r="87" spans="1:17" s="64" customFormat="1" x14ac:dyDescent="0.3">
      <c r="A87" s="57"/>
      <c r="B87" s="57"/>
      <c r="C87" s="57"/>
      <c r="D87" s="57"/>
      <c r="E87" s="57"/>
      <c r="F87" s="57"/>
      <c r="G87" s="57"/>
      <c r="H87" s="57"/>
      <c r="I87" s="57" t="s">
        <v>75</v>
      </c>
      <c r="J87" s="58"/>
      <c r="K87" s="66"/>
      <c r="L87" s="66"/>
      <c r="M87" s="57"/>
      <c r="N87" s="59" t="str">
        <f>IF(ISBLANK(J87),"",IF(OR(M87="Completed",M87="Closed"),"",IF(H87="Issue",IF(I87="High",WORKDAY(J87,2,DATA!A86:A114),IF(I87="Medium",WORKDAY(J87,14,DATA!A86:A114),IF(OR(I87="Low"),WORKDAY(J87,30,DATA!A86:A114),""))),
"")
))</f>
        <v/>
      </c>
      <c r="O87" s="60" t="str">
        <f ca="1">IF(OR(ISBLANK(#REF!), M87="Completed", M87="Closed", H87&lt;&gt;"Issue"), "",
   (NETWORKDAYS.INTL(TODAY(), N87, 1, DATA!A86:A114) - 1))</f>
        <v/>
      </c>
      <c r="P87" s="64" t="str">
        <f t="shared" ca="1" si="4"/>
        <v/>
      </c>
      <c r="Q87" s="64" t="str">
        <f t="shared" ca="1" si="3"/>
        <v/>
      </c>
    </row>
    <row r="88" spans="1:17" s="64" customFormat="1" x14ac:dyDescent="0.3">
      <c r="A88" s="57"/>
      <c r="B88" s="57"/>
      <c r="C88" s="57"/>
      <c r="D88" s="57"/>
      <c r="E88" s="57"/>
      <c r="F88" s="57"/>
      <c r="G88" s="57"/>
      <c r="H88" s="57"/>
      <c r="I88" s="57" t="s">
        <v>75</v>
      </c>
      <c r="J88" s="58"/>
      <c r="K88" s="66"/>
      <c r="L88" s="66"/>
      <c r="M88" s="57"/>
      <c r="N88" s="59" t="str">
        <f>IF(ISBLANK(J88),"",IF(OR(M88="Completed",M88="Closed"),"",IF(H88="Issue",IF(I88="High",WORKDAY(J88,2,DATA!A87:A115),IF(I88="Medium",WORKDAY(J88,14,DATA!A87:A115),IF(OR(I88="Low"),WORKDAY(J88,30,DATA!A87:A115),""))),
"")
))</f>
        <v/>
      </c>
      <c r="O88" s="60" t="str">
        <f ca="1">IF(OR(ISBLANK(#REF!), M88="Completed", M88="Closed", H88&lt;&gt;"Issue"), "",
   (NETWORKDAYS.INTL(TODAY(), N88, 1, DATA!A87:A115) - 1))</f>
        <v/>
      </c>
      <c r="P88" s="64" t="str">
        <f t="shared" ca="1" si="4"/>
        <v/>
      </c>
      <c r="Q88" s="64" t="str">
        <f t="shared" ca="1" si="3"/>
        <v/>
      </c>
    </row>
    <row r="89" spans="1:17" s="64" customFormat="1" x14ac:dyDescent="0.3">
      <c r="A89" s="57"/>
      <c r="B89" s="57"/>
      <c r="C89" s="57"/>
      <c r="D89" s="57"/>
      <c r="E89" s="57"/>
      <c r="F89" s="57"/>
      <c r="G89" s="57"/>
      <c r="H89" s="57"/>
      <c r="I89" s="57" t="s">
        <v>75</v>
      </c>
      <c r="J89" s="58"/>
      <c r="K89" s="66"/>
      <c r="L89" s="66"/>
      <c r="M89" s="57"/>
      <c r="N89" s="59" t="str">
        <f>IF(ISBLANK(J89),"",IF(OR(M89="Completed",M89="Closed"),"",IF(H89="Issue",IF(I89="High",WORKDAY(J89,2,DATA!A88:A116),IF(I89="Medium",WORKDAY(J89,14,DATA!A88:A116),IF(OR(I89="Low"),WORKDAY(J89,30,DATA!A88:A116),""))),
"")
))</f>
        <v/>
      </c>
      <c r="O89" s="60" t="str">
        <f ca="1">IF(OR(ISBLANK(#REF!), M89="Completed", M89="Closed", H89&lt;&gt;"Issue"), "",
   (NETWORKDAYS.INTL(TODAY(), N89, 1, DATA!A88:A116) - 1))</f>
        <v/>
      </c>
      <c r="P89" s="64" t="str">
        <f t="shared" ca="1" si="4"/>
        <v/>
      </c>
      <c r="Q89" s="64" t="str">
        <f t="shared" ca="1" si="3"/>
        <v/>
      </c>
    </row>
    <row r="90" spans="1:17" s="64" customFormat="1" x14ac:dyDescent="0.3">
      <c r="A90" s="57"/>
      <c r="B90" s="57"/>
      <c r="C90" s="57"/>
      <c r="D90" s="57"/>
      <c r="E90" s="57"/>
      <c r="F90" s="57"/>
      <c r="G90" s="57"/>
      <c r="H90" s="57"/>
      <c r="I90" s="57" t="s">
        <v>75</v>
      </c>
      <c r="J90" s="58"/>
      <c r="K90" s="66"/>
      <c r="L90" s="66"/>
      <c r="M90" s="57"/>
      <c r="N90" s="59" t="str">
        <f>IF(ISBLANK(J90),"",IF(OR(M90="Completed",M90="Closed"),"",IF(H90="Issue",IF(I90="High",WORKDAY(J90,2,DATA!A89:A117),IF(I90="Medium",WORKDAY(J90,14,DATA!A89:A117),IF(OR(I90="Low"),WORKDAY(J90,30,DATA!A89:A117),""))),
"")
))</f>
        <v/>
      </c>
      <c r="O90" s="60" t="str">
        <f ca="1">IF(OR(ISBLANK(#REF!), M90="Completed", M90="Closed", H90&lt;&gt;"Issue"), "",
   (NETWORKDAYS.INTL(TODAY(), N90, 1, DATA!A89:A117) - 1))</f>
        <v/>
      </c>
      <c r="P90" s="64" t="str">
        <f t="shared" ca="1" si="4"/>
        <v/>
      </c>
      <c r="Q90" s="64" t="str">
        <f t="shared" ca="1" si="3"/>
        <v/>
      </c>
    </row>
    <row r="91" spans="1:17" s="64" customFormat="1" x14ac:dyDescent="0.3">
      <c r="A91" s="57"/>
      <c r="B91" s="57"/>
      <c r="C91" s="57"/>
      <c r="D91" s="57"/>
      <c r="E91" s="57"/>
      <c r="F91" s="57"/>
      <c r="G91" s="57"/>
      <c r="H91" s="57"/>
      <c r="I91" s="57" t="s">
        <v>75</v>
      </c>
      <c r="J91" s="58"/>
      <c r="K91" s="66"/>
      <c r="L91" s="66"/>
      <c r="M91" s="57"/>
      <c r="N91" s="59" t="str">
        <f>IF(ISBLANK(J91),"",IF(OR(M91="Completed",M91="Closed"),"",IF(H91="Issue",IF(I91="High",WORKDAY(J91,2,DATA!A90:A118),IF(I91="Medium",WORKDAY(J91,14,DATA!A90:A118),IF(OR(I91="Low"),WORKDAY(J91,30,DATA!A90:A118),""))),
"")
))</f>
        <v/>
      </c>
      <c r="O91" s="60" t="str">
        <f ca="1">IF(OR(ISBLANK(#REF!), M91="Completed", M91="Closed", H91&lt;&gt;"Issue"), "",
   (NETWORKDAYS.INTL(TODAY(), N91, 1, DATA!A90:A118) - 1))</f>
        <v/>
      </c>
      <c r="P91" s="64" t="str">
        <f t="shared" ca="1" si="4"/>
        <v/>
      </c>
      <c r="Q91" s="64" t="str">
        <f t="shared" ca="1" si="3"/>
        <v/>
      </c>
    </row>
    <row r="92" spans="1:17" s="64" customFormat="1" x14ac:dyDescent="0.3">
      <c r="A92" s="57"/>
      <c r="B92" s="57"/>
      <c r="C92" s="57"/>
      <c r="D92" s="57"/>
      <c r="E92" s="57"/>
      <c r="F92" s="57"/>
      <c r="G92" s="57"/>
      <c r="H92" s="57"/>
      <c r="I92" s="57" t="s">
        <v>75</v>
      </c>
      <c r="J92" s="58"/>
      <c r="K92" s="66"/>
      <c r="L92" s="66"/>
      <c r="M92" s="57"/>
      <c r="N92" s="59" t="str">
        <f>IF(ISBLANK(J92),"",IF(OR(M92="Completed",M92="Closed"),"",IF(H92="Issue",IF(I92="High",WORKDAY(J92,2,DATA!A91:A119),IF(I92="Medium",WORKDAY(J92,14,DATA!A91:A119),IF(OR(I92="Low"),WORKDAY(J92,30,DATA!A91:A119),""))),
"")
))</f>
        <v/>
      </c>
      <c r="O92" s="60" t="str">
        <f ca="1">IF(OR(ISBLANK(#REF!), M92="Completed", M92="Closed", H92&lt;&gt;"Issue"), "",
   (NETWORKDAYS.INTL(TODAY(), N92, 1, DATA!A91:A119) - 1))</f>
        <v/>
      </c>
      <c r="P92" s="64" t="str">
        <f t="shared" ca="1" si="4"/>
        <v/>
      </c>
      <c r="Q92" s="64" t="str">
        <f t="shared" ca="1" si="3"/>
        <v/>
      </c>
    </row>
    <row r="93" spans="1:17" s="64" customFormat="1" x14ac:dyDescent="0.3">
      <c r="A93" s="57"/>
      <c r="B93" s="57"/>
      <c r="C93" s="57"/>
      <c r="D93" s="57"/>
      <c r="E93" s="57"/>
      <c r="F93" s="57"/>
      <c r="G93" s="57"/>
      <c r="H93" s="57"/>
      <c r="I93" s="57" t="s">
        <v>75</v>
      </c>
      <c r="J93" s="58"/>
      <c r="K93" s="66"/>
      <c r="L93" s="66"/>
      <c r="M93" s="57"/>
      <c r="N93" s="59" t="str">
        <f>IF(ISBLANK(J93),"",IF(OR(M93="Completed",M93="Closed"),"",IF(H93="Issue",IF(I93="High",WORKDAY(J93,2,DATA!A92:A120),IF(I93="Medium",WORKDAY(J93,14,DATA!A92:A120),IF(OR(I93="Low"),WORKDAY(J93,30,DATA!A92:A120),""))),
"")
))</f>
        <v/>
      </c>
      <c r="O93" s="60" t="str">
        <f ca="1">IF(OR(ISBLANK(#REF!), M93="Completed", M93="Closed", H93&lt;&gt;"Issue"), "",
   (NETWORKDAYS.INTL(TODAY(), N93, 1, DATA!A92:A120) - 1))</f>
        <v/>
      </c>
      <c r="P93" s="64" t="str">
        <f t="shared" ca="1" si="4"/>
        <v/>
      </c>
      <c r="Q93" s="64" t="str">
        <f t="shared" ca="1" si="3"/>
        <v/>
      </c>
    </row>
    <row r="94" spans="1:17" s="64" customFormat="1" x14ac:dyDescent="0.3">
      <c r="A94" s="57"/>
      <c r="B94" s="57"/>
      <c r="C94" s="57"/>
      <c r="D94" s="57"/>
      <c r="E94" s="57"/>
      <c r="F94" s="57"/>
      <c r="G94" s="57"/>
      <c r="H94" s="57"/>
      <c r="I94" s="57" t="s">
        <v>75</v>
      </c>
      <c r="J94" s="58"/>
      <c r="K94" s="66"/>
      <c r="L94" s="66"/>
      <c r="M94" s="57"/>
      <c r="N94" s="59" t="str">
        <f>IF(ISBLANK(J94),"",IF(OR(M94="Completed",M94="Closed"),"",IF(H94="Issue",IF(I94="High",WORKDAY(J94,2,DATA!A93:A121),IF(I94="Medium",WORKDAY(J94,14,DATA!A93:A121),IF(OR(I94="Low"),WORKDAY(J94,30,DATA!A93:A121),""))),
"")
))</f>
        <v/>
      </c>
      <c r="O94" s="60" t="str">
        <f ca="1">IF(OR(ISBLANK(#REF!), M94="Completed", M94="Closed", H94&lt;&gt;"Issue"), "",
   (NETWORKDAYS.INTL(TODAY(), N94, 1, DATA!A93:A121) - 1))</f>
        <v/>
      </c>
      <c r="P94" s="64" t="str">
        <f t="shared" ca="1" si="4"/>
        <v/>
      </c>
      <c r="Q94" s="64" t="str">
        <f t="shared" ca="1" si="3"/>
        <v/>
      </c>
    </row>
    <row r="95" spans="1:17" s="64" customFormat="1" x14ac:dyDescent="0.3">
      <c r="A95" s="57"/>
      <c r="B95" s="57"/>
      <c r="C95" s="57"/>
      <c r="D95" s="57"/>
      <c r="E95" s="57"/>
      <c r="F95" s="57"/>
      <c r="G95" s="57"/>
      <c r="H95" s="57"/>
      <c r="I95" s="57" t="s">
        <v>75</v>
      </c>
      <c r="J95" s="58"/>
      <c r="K95" s="66"/>
      <c r="L95" s="66"/>
      <c r="M95" s="57"/>
      <c r="N95" s="59" t="str">
        <f>IF(ISBLANK(J95),"",IF(OR(M95="Completed",M95="Closed"),"",IF(H95="Issue",IF(I95="High",WORKDAY(J95,2,DATA!A94:A122),IF(I95="Medium",WORKDAY(J95,14,DATA!A94:A122),IF(OR(I95="Low"),WORKDAY(J95,30,DATA!A94:A122),""))),
"")
))</f>
        <v/>
      </c>
      <c r="O95" s="60" t="str">
        <f ca="1">IF(OR(ISBLANK(#REF!), M95="Completed", M95="Closed", H95&lt;&gt;"Issue"), "",
   (NETWORKDAYS.INTL(TODAY(), N95, 1, DATA!A94:A122) - 1))</f>
        <v/>
      </c>
      <c r="P95" s="64" t="str">
        <f t="shared" ca="1" si="4"/>
        <v/>
      </c>
      <c r="Q95" s="64" t="str">
        <f t="shared" ca="1" si="3"/>
        <v/>
      </c>
    </row>
    <row r="96" spans="1:17" s="64" customFormat="1" x14ac:dyDescent="0.3"/>
    <row r="97" s="64" customFormat="1" x14ac:dyDescent="0.3"/>
    <row r="98" s="64" customFormat="1" x14ac:dyDescent="0.3"/>
    <row r="99" s="64" customFormat="1" x14ac:dyDescent="0.3"/>
    <row r="100" s="64" customFormat="1" x14ac:dyDescent="0.3"/>
    <row r="101" s="64" customFormat="1" x14ac:dyDescent="0.3"/>
    <row r="102" s="64" customFormat="1" x14ac:dyDescent="0.3"/>
    <row r="103" s="64" customFormat="1" x14ac:dyDescent="0.3"/>
    <row r="104" s="64" customFormat="1" x14ac:dyDescent="0.3"/>
    <row r="105" s="64" customFormat="1" x14ac:dyDescent="0.3"/>
    <row r="106" s="64" customFormat="1" x14ac:dyDescent="0.3"/>
    <row r="107" s="64" customFormat="1" x14ac:dyDescent="0.3"/>
    <row r="108" s="64" customFormat="1" x14ac:dyDescent="0.3"/>
    <row r="109" s="64" customFormat="1" x14ac:dyDescent="0.3"/>
    <row r="110" s="64" customFormat="1" x14ac:dyDescent="0.3"/>
    <row r="111" s="64" customFormat="1" x14ac:dyDescent="0.3"/>
    <row r="112" s="64" customFormat="1" x14ac:dyDescent="0.3"/>
    <row r="113" s="64" customFormat="1" x14ac:dyDescent="0.3"/>
    <row r="114" s="64" customFormat="1" x14ac:dyDescent="0.3"/>
    <row r="115" s="64" customFormat="1" x14ac:dyDescent="0.3"/>
    <row r="116" s="64" customFormat="1" x14ac:dyDescent="0.3"/>
    <row r="117" s="64" customFormat="1" x14ac:dyDescent="0.3"/>
    <row r="118" s="64" customFormat="1" x14ac:dyDescent="0.3"/>
    <row r="119" s="64" customFormat="1" x14ac:dyDescent="0.3"/>
    <row r="120" s="64" customFormat="1" x14ac:dyDescent="0.3"/>
    <row r="121" s="64" customFormat="1" x14ac:dyDescent="0.3"/>
    <row r="122" s="64" customFormat="1" x14ac:dyDescent="0.3"/>
    <row r="123" s="64" customFormat="1" x14ac:dyDescent="0.3"/>
    <row r="124" s="64" customFormat="1" x14ac:dyDescent="0.3"/>
    <row r="125" s="64" customFormat="1" x14ac:dyDescent="0.3"/>
    <row r="126" s="64" customFormat="1" x14ac:dyDescent="0.3"/>
    <row r="127" s="64" customFormat="1" x14ac:dyDescent="0.3"/>
    <row r="128" s="64" customFormat="1" x14ac:dyDescent="0.3"/>
    <row r="129" s="64" customFormat="1" x14ac:dyDescent="0.3"/>
    <row r="130" s="64" customFormat="1" x14ac:dyDescent="0.3"/>
    <row r="131" s="64" customFormat="1" x14ac:dyDescent="0.3"/>
    <row r="132" s="64" customFormat="1" x14ac:dyDescent="0.3"/>
    <row r="133" s="64" customFormat="1" x14ac:dyDescent="0.3"/>
    <row r="134" s="64" customFormat="1" x14ac:dyDescent="0.3"/>
    <row r="135" s="64" customFormat="1" x14ac:dyDescent="0.3"/>
    <row r="136" s="64" customFormat="1" x14ac:dyDescent="0.3"/>
    <row r="137" s="64" customFormat="1" x14ac:dyDescent="0.3"/>
    <row r="138" s="64" customFormat="1" x14ac:dyDescent="0.3"/>
    <row r="139" s="64" customFormat="1" x14ac:dyDescent="0.3"/>
    <row r="140" s="64" customFormat="1" x14ac:dyDescent="0.3"/>
    <row r="141" s="64" customFormat="1" x14ac:dyDescent="0.3"/>
    <row r="142" s="64" customFormat="1" x14ac:dyDescent="0.3"/>
    <row r="143" s="64" customFormat="1" x14ac:dyDescent="0.3"/>
    <row r="144" s="64" customFormat="1" x14ac:dyDescent="0.3"/>
    <row r="145" s="64" customFormat="1" x14ac:dyDescent="0.3"/>
    <row r="146" s="64" customFormat="1" x14ac:dyDescent="0.3"/>
    <row r="147" s="64" customFormat="1" x14ac:dyDescent="0.3"/>
    <row r="148" s="64" customFormat="1" x14ac:dyDescent="0.3"/>
    <row r="149" s="64" customFormat="1" x14ac:dyDescent="0.3"/>
    <row r="150" s="64" customFormat="1" x14ac:dyDescent="0.3"/>
    <row r="151" s="64" customFormat="1" x14ac:dyDescent="0.3"/>
    <row r="152" s="64" customFormat="1" x14ac:dyDescent="0.3"/>
    <row r="153" s="64" customFormat="1" x14ac:dyDescent="0.3"/>
    <row r="154" s="64" customFormat="1" x14ac:dyDescent="0.3"/>
    <row r="155" s="64" customFormat="1" x14ac:dyDescent="0.3"/>
    <row r="156" s="64" customFormat="1" x14ac:dyDescent="0.3"/>
    <row r="157" s="64" customFormat="1" x14ac:dyDescent="0.3"/>
    <row r="158" s="64" customFormat="1" x14ac:dyDescent="0.3"/>
    <row r="159" s="64" customFormat="1" x14ac:dyDescent="0.3"/>
    <row r="160" s="64" customFormat="1" x14ac:dyDescent="0.3"/>
    <row r="161" s="64" customFormat="1" x14ac:dyDescent="0.3"/>
    <row r="162" s="64" customFormat="1" x14ac:dyDescent="0.3"/>
    <row r="163" s="64" customFormat="1" x14ac:dyDescent="0.3"/>
    <row r="164" s="64" customFormat="1" x14ac:dyDescent="0.3"/>
    <row r="165" s="64" customFormat="1" x14ac:dyDescent="0.3"/>
    <row r="166" s="64" customFormat="1" x14ac:dyDescent="0.3"/>
    <row r="167" s="64" customFormat="1" x14ac:dyDescent="0.3"/>
    <row r="168" s="64" customFormat="1" x14ac:dyDescent="0.3"/>
    <row r="169" s="64" customFormat="1" x14ac:dyDescent="0.3"/>
    <row r="170" s="64" customFormat="1" x14ac:dyDescent="0.3"/>
    <row r="171" s="64" customFormat="1" x14ac:dyDescent="0.3"/>
    <row r="172" s="64" customFormat="1" x14ac:dyDescent="0.3"/>
    <row r="173" s="64" customFormat="1" x14ac:dyDescent="0.3"/>
    <row r="174" s="64" customFormat="1" x14ac:dyDescent="0.3"/>
    <row r="175" s="64" customFormat="1" x14ac:dyDescent="0.3"/>
    <row r="176" s="64" customFormat="1" x14ac:dyDescent="0.3"/>
    <row r="177" s="64" customFormat="1" x14ac:dyDescent="0.3"/>
    <row r="178" s="64" customFormat="1" x14ac:dyDescent="0.3"/>
    <row r="179" s="64" customFormat="1" x14ac:dyDescent="0.3"/>
    <row r="180" s="64" customFormat="1" x14ac:dyDescent="0.3"/>
    <row r="181" s="64" customFormat="1" x14ac:dyDescent="0.3"/>
    <row r="182" s="64" customFormat="1" x14ac:dyDescent="0.3"/>
    <row r="183" s="64" customFormat="1" x14ac:dyDescent="0.3"/>
    <row r="184" s="64" customFormat="1" x14ac:dyDescent="0.3"/>
    <row r="185" s="64" customFormat="1" x14ac:dyDescent="0.3"/>
    <row r="186" s="64" customFormat="1" x14ac:dyDescent="0.3"/>
    <row r="187" s="64" customFormat="1" x14ac:dyDescent="0.3"/>
    <row r="188" s="64" customFormat="1" x14ac:dyDescent="0.3"/>
    <row r="189" s="64" customFormat="1" x14ac:dyDescent="0.3"/>
    <row r="190" s="64" customFormat="1" x14ac:dyDescent="0.3"/>
    <row r="191" s="64" customFormat="1" x14ac:dyDescent="0.3"/>
    <row r="192" s="64" customFormat="1" x14ac:dyDescent="0.3"/>
    <row r="193" s="64" customFormat="1" x14ac:dyDescent="0.3"/>
    <row r="194" s="64" customFormat="1" x14ac:dyDescent="0.3"/>
    <row r="195" s="64" customFormat="1" x14ac:dyDescent="0.3"/>
  </sheetData>
  <mergeCells count="1">
    <mergeCell ref="S8:S9"/>
  </mergeCells>
  <dataValidations count="3">
    <dataValidation type="list" allowBlank="1" showInputMessage="1" showErrorMessage="1" sqref="I3:I95" xr:uid="{631E16B6-26A0-4E07-BCB8-8652B0E5E182}">
      <formula1>"High, Medium, Low"</formula1>
    </dataValidation>
    <dataValidation type="list" allowBlank="1" showInputMessage="1" showErrorMessage="1" sqref="M3:M95" xr:uid="{05FC9CB6-4AC9-4E0A-9E70-A06890E6E178}">
      <formula1>"Pending, InProgress, Completed, Closed"</formula1>
    </dataValidation>
    <dataValidation type="list" allowBlank="1" showInputMessage="1" showErrorMessage="1" sqref="H3" xr:uid="{8EAD902A-9E7A-44DE-84C2-ABFB6BCE5CDC}">
      <formula1>"Issue, Modification, Information, Change Request, Quotation"</formula1>
    </dataValidation>
  </dataValidations>
  <hyperlinks>
    <hyperlink ref="A1" location="'All clients'!A1" display="&lt;---" xr:uid="{AD888E23-37A8-4BD7-9986-F1CF82D3FC27}"/>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6A49B-FB1C-46E8-B24E-990FFC26647E}">
  <dimension ref="A1:V218"/>
  <sheetViews>
    <sheetView topLeftCell="A202" zoomScale="70" zoomScaleNormal="70" workbookViewId="0">
      <selection activeCell="O201" sqref="O201"/>
    </sheetView>
  </sheetViews>
  <sheetFormatPr defaultRowHeight="15.6" x14ac:dyDescent="0.3"/>
  <cols>
    <col min="2" max="2" width="12.69921875" customWidth="1"/>
    <col min="3" max="3" width="11.69921875" customWidth="1"/>
    <col min="4" max="4" width="16.19921875" customWidth="1"/>
    <col min="6" max="6" width="17.09765625" customWidth="1"/>
    <col min="7" max="7" width="31.3984375" customWidth="1"/>
    <col min="10" max="12" width="14.09765625" bestFit="1" customWidth="1"/>
    <col min="13" max="13" width="13.09765625" customWidth="1"/>
    <col min="14" max="14" width="10.5" style="87" customWidth="1"/>
    <col min="15" max="15" width="15.19921875" style="87" customWidth="1"/>
    <col min="16" max="16" width="8.796875" style="87"/>
    <col min="17" max="17" width="11.8984375" style="87" customWidth="1"/>
  </cols>
  <sheetData>
    <row r="1" spans="1:22" x14ac:dyDescent="0.3">
      <c r="A1" s="45" t="s">
        <v>48</v>
      </c>
      <c r="B1" s="46" t="s">
        <v>49</v>
      </c>
      <c r="C1" s="46">
        <f>T7</f>
        <v>206</v>
      </c>
      <c r="D1" s="47" t="s">
        <v>50</v>
      </c>
      <c r="E1" s="48">
        <f>SUM(T3:T4)</f>
        <v>38</v>
      </c>
      <c r="F1" s="49" t="s">
        <v>51</v>
      </c>
      <c r="G1" s="50">
        <f>SUM(T5:T6)</f>
        <v>168</v>
      </c>
      <c r="H1" s="51"/>
      <c r="I1" s="51"/>
      <c r="J1" s="51"/>
      <c r="K1" s="51"/>
      <c r="L1" s="51"/>
      <c r="M1" s="85"/>
      <c r="N1" s="51"/>
      <c r="O1" s="51"/>
      <c r="P1" s="89"/>
      <c r="Q1" s="89"/>
    </row>
    <row r="2" spans="1:22" ht="27.6" x14ac:dyDescent="0.3">
      <c r="A2" s="54" t="s">
        <v>52</v>
      </c>
      <c r="B2" s="54" t="s">
        <v>53</v>
      </c>
      <c r="C2" s="54" t="s">
        <v>54</v>
      </c>
      <c r="D2" s="54" t="s">
        <v>55</v>
      </c>
      <c r="E2" s="54" t="s">
        <v>56</v>
      </c>
      <c r="F2" s="54" t="s">
        <v>57</v>
      </c>
      <c r="G2" s="54" t="s">
        <v>58</v>
      </c>
      <c r="H2" s="54" t="s">
        <v>59</v>
      </c>
      <c r="I2" s="54" t="s">
        <v>60</v>
      </c>
      <c r="J2" s="54" t="s">
        <v>61</v>
      </c>
      <c r="K2" s="54" t="s">
        <v>62</v>
      </c>
      <c r="L2" s="54" t="s">
        <v>63</v>
      </c>
      <c r="M2" s="86" t="s">
        <v>64</v>
      </c>
      <c r="N2" s="54" t="s">
        <v>65</v>
      </c>
      <c r="O2" s="54" t="s">
        <v>66</v>
      </c>
      <c r="P2" s="54" t="s">
        <v>67</v>
      </c>
      <c r="Q2" s="54" t="s">
        <v>68</v>
      </c>
    </row>
    <row r="3" spans="1:22" ht="151.80000000000001" x14ac:dyDescent="0.3">
      <c r="A3" s="77">
        <v>1</v>
      </c>
      <c r="B3" s="77" t="s">
        <v>464</v>
      </c>
      <c r="C3" s="77" t="s">
        <v>70</v>
      </c>
      <c r="D3" s="77" t="s">
        <v>465</v>
      </c>
      <c r="E3" s="77" t="s">
        <v>356</v>
      </c>
      <c r="F3" s="77" t="s">
        <v>466</v>
      </c>
      <c r="G3" s="77" t="s">
        <v>467</v>
      </c>
      <c r="H3" s="77" t="s">
        <v>74</v>
      </c>
      <c r="I3" s="77" t="s">
        <v>75</v>
      </c>
      <c r="J3" s="94">
        <v>46083.421527777777</v>
      </c>
      <c r="K3" s="94">
        <v>46083.422222222223</v>
      </c>
      <c r="L3" s="94">
        <v>46083.422222222223</v>
      </c>
      <c r="M3" s="93" t="s">
        <v>76</v>
      </c>
      <c r="N3" s="59" t="str">
        <f>IF(ISBLANK(J3),"",IF(OR(M3="Completed",M3="Closed"),"",IF(H3="Issue",IF(I3="High",WORKDAY(J3,2,DATA!A2:A30),IF(I3="Medium",WORKDAY(J3,14,DATA!A2:A30),IF(OR(I3="Low"),WORKDAY(J3,30,DATA!A2:A30),""))),
"")
))</f>
        <v/>
      </c>
      <c r="O3" s="60" t="str">
        <f ca="1">IF(OR(ISBLANK(#REF!), M3="Completed", M3="Closed", H3&lt;&gt;"Issue"), "",
   (NETWORKDAYS.INTL(TODAY(), N3, 1, DATA!A2:A30) - 1))</f>
        <v/>
      </c>
      <c r="P3" s="88" t="str">
        <f ca="1">IF(O3="","",LEFT(O3,10)*(-1))</f>
        <v/>
      </c>
      <c r="Q3" s="88" t="str">
        <f ca="1">IF(P3="","",
IF(P3&lt;=0,"Not Due",
IF(P3&lt;=30,"1-30 Days",
IF(P3&lt;=60,"31-60 Days",
"&gt;60 Days"))))</f>
        <v/>
      </c>
      <c r="S3" s="63" t="s">
        <v>77</v>
      </c>
      <c r="T3" s="64">
        <f>COUNTIF(M3:M298, "Pending")</f>
        <v>29</v>
      </c>
    </row>
    <row r="4" spans="1:22" ht="27.6" x14ac:dyDescent="0.3">
      <c r="A4" s="77">
        <v>2</v>
      </c>
      <c r="B4" s="77" t="s">
        <v>468</v>
      </c>
      <c r="C4" s="77" t="s">
        <v>70</v>
      </c>
      <c r="D4" s="77" t="s">
        <v>465</v>
      </c>
      <c r="E4" s="77" t="s">
        <v>356</v>
      </c>
      <c r="F4" s="77" t="s">
        <v>469</v>
      </c>
      <c r="G4" s="77" t="s">
        <v>470</v>
      </c>
      <c r="H4" s="77" t="s">
        <v>74</v>
      </c>
      <c r="I4" s="77" t="s">
        <v>75</v>
      </c>
      <c r="J4" s="94">
        <v>46083.429861111108</v>
      </c>
      <c r="K4" s="94">
        <v>46083.430555555555</v>
      </c>
      <c r="L4" s="94">
        <v>46083.430555555555</v>
      </c>
      <c r="M4" s="93" t="s">
        <v>76</v>
      </c>
      <c r="N4" s="59" t="str">
        <f>IF(ISBLANK(J4),"",IF(OR(M4="Completed",M4="Closed"),"",IF(H4="Issue",IF(I4="High",WORKDAY(J4,2,DATA!A3:A31),IF(I4="Medium",WORKDAY(J4,14,DATA!A3:A31),IF(OR(I4="Low"),WORKDAY(J4,30,DATA!A3:A31),""))),
"")
))</f>
        <v/>
      </c>
      <c r="O4" s="60" t="str">
        <f ca="1">IF(OR(ISBLANK(#REF!), M4="Completed", M4="Closed", H4&lt;&gt;"Issue"), "",
   (NETWORKDAYS.INTL(TODAY(), N4, 1, DATA!A3:A31) - 1))</f>
        <v/>
      </c>
      <c r="P4" s="88" t="str">
        <f t="shared" ref="P4:P67" ca="1" si="0">IF(O4="","",LEFT(O4,10)*(-1))</f>
        <v/>
      </c>
      <c r="Q4" s="88" t="str">
        <f t="shared" ref="Q4:Q67" ca="1" si="1">IF(P4="","",
IF(P4&lt;=0,"Not Due",
IF(P4&lt;=30,"1-30 Days",
IF(P4&lt;=60,"31-60 Days",
"&gt;60 Days"))))</f>
        <v/>
      </c>
      <c r="S4" s="63" t="s">
        <v>80</v>
      </c>
      <c r="T4" s="64">
        <f>COUNTIF(M3:M298, "InProgress")</f>
        <v>9</v>
      </c>
    </row>
    <row r="5" spans="1:22" ht="27.6" x14ac:dyDescent="0.3">
      <c r="A5" s="93">
        <v>3</v>
      </c>
      <c r="B5" s="77" t="s">
        <v>471</v>
      </c>
      <c r="C5" s="77" t="s">
        <v>70</v>
      </c>
      <c r="D5" s="77" t="s">
        <v>465</v>
      </c>
      <c r="E5" s="77" t="s">
        <v>356</v>
      </c>
      <c r="F5" s="77" t="s">
        <v>472</v>
      </c>
      <c r="G5" s="77" t="s">
        <v>473</v>
      </c>
      <c r="H5" s="77" t="s">
        <v>74</v>
      </c>
      <c r="I5" s="77" t="s">
        <v>75</v>
      </c>
      <c r="J5" s="94">
        <v>46083.433333333334</v>
      </c>
      <c r="K5" s="94">
        <v>46083.434027777781</v>
      </c>
      <c r="L5" s="94">
        <v>46083.434027777781</v>
      </c>
      <c r="M5" s="93" t="s">
        <v>76</v>
      </c>
      <c r="N5" s="59" t="str">
        <f>IF(ISBLANK(J5),"",IF(OR(M5="Completed",M5="Closed"),"",IF(H5="Issue",IF(I5="High",WORKDAY(J5,2,DATA!A4:A32),IF(I5="Medium",WORKDAY(J5,14,DATA!A4:A32),IF(OR(I5="Low"),WORKDAY(J5,30,DATA!A4:A32),""))),
"")
))</f>
        <v/>
      </c>
      <c r="O5" s="60" t="str">
        <f ca="1">IF(OR(ISBLANK(#REF!), M5="Completed", M5="Closed", H5&lt;&gt;"Issue"), "",
   (NETWORKDAYS.INTL(TODAY(), N5, 1, DATA!A4:A32) - 1))</f>
        <v/>
      </c>
      <c r="P5" s="88" t="str">
        <f t="shared" ca="1" si="0"/>
        <v/>
      </c>
      <c r="Q5" s="88" t="str">
        <f t="shared" ca="1" si="1"/>
        <v/>
      </c>
      <c r="S5" s="65" t="s">
        <v>85</v>
      </c>
      <c r="T5" s="64">
        <f>COUNTIF(M3:M298, "Completed")</f>
        <v>23</v>
      </c>
    </row>
    <row r="6" spans="1:22" ht="69" x14ac:dyDescent="0.3">
      <c r="A6" s="93">
        <v>4</v>
      </c>
      <c r="B6" s="77" t="s">
        <v>474</v>
      </c>
      <c r="C6" s="77" t="s">
        <v>70</v>
      </c>
      <c r="D6" s="77" t="s">
        <v>465</v>
      </c>
      <c r="E6" s="77" t="s">
        <v>356</v>
      </c>
      <c r="F6" s="77" t="s">
        <v>469</v>
      </c>
      <c r="G6" s="77" t="s">
        <v>475</v>
      </c>
      <c r="H6" s="77" t="s">
        <v>74</v>
      </c>
      <c r="I6" s="77" t="s">
        <v>75</v>
      </c>
      <c r="J6" s="94">
        <v>46083.43472222222</v>
      </c>
      <c r="K6" s="94">
        <v>46083.435416666667</v>
      </c>
      <c r="L6" s="94">
        <v>46083.435416666667</v>
      </c>
      <c r="M6" s="93" t="s">
        <v>76</v>
      </c>
      <c r="N6" s="59" t="str">
        <f>IF(ISBLANK(J6),"",IF(OR(M6="Completed",M6="Closed"),"",IF(H6="Issue",IF(I6="High",WORKDAY(J6,2,DATA!A5:A33),IF(I6="Medium",WORKDAY(J6,14,DATA!A5:A33),IF(OR(I6="Low"),WORKDAY(J6,30,DATA!A5:A33),""))),
"")
))</f>
        <v/>
      </c>
      <c r="O6" s="60" t="str">
        <f ca="1">IF(OR(ISBLANK(#REF!), M6="Completed", M6="Closed", H6&lt;&gt;"Issue"), "",
   (NETWORKDAYS.INTL(TODAY(), N6, 1, DATA!A5:A33) - 1))</f>
        <v/>
      </c>
      <c r="P6" s="88" t="str">
        <f t="shared" ca="1" si="0"/>
        <v/>
      </c>
      <c r="Q6" s="88" t="str">
        <f t="shared" ca="1" si="1"/>
        <v/>
      </c>
      <c r="S6" s="65" t="s">
        <v>76</v>
      </c>
      <c r="T6" s="64">
        <f>COUNTIF(M3:M298, "Closed")</f>
        <v>145</v>
      </c>
    </row>
    <row r="7" spans="1:22" ht="110.4" x14ac:dyDescent="0.3">
      <c r="A7" s="93">
        <v>5</v>
      </c>
      <c r="B7" s="77" t="s">
        <v>476</v>
      </c>
      <c r="C7" s="77" t="s">
        <v>70</v>
      </c>
      <c r="D7" s="77" t="s">
        <v>477</v>
      </c>
      <c r="E7" s="77" t="s">
        <v>356</v>
      </c>
      <c r="F7" s="77" t="s">
        <v>478</v>
      </c>
      <c r="G7" s="77" t="s">
        <v>479</v>
      </c>
      <c r="H7" s="77" t="s">
        <v>74</v>
      </c>
      <c r="I7" s="77" t="s">
        <v>75</v>
      </c>
      <c r="J7" s="94">
        <v>46083.436805555553</v>
      </c>
      <c r="K7" s="94">
        <v>46083.436805555553</v>
      </c>
      <c r="L7" s="94">
        <v>46083.436805555553</v>
      </c>
      <c r="M7" s="93" t="s">
        <v>76</v>
      </c>
      <c r="N7" s="59" t="str">
        <f>IF(ISBLANK(J7),"",IF(OR(M7="Completed",M7="Closed"),"",IF(H7="Issue",IF(I7="High",WORKDAY(J7,2,DATA!A6:A34),IF(I7="Medium",WORKDAY(J7,14,DATA!A6:A34),IF(OR(I7="Low"),WORKDAY(J7,30,DATA!A6:A34),""))),
"")
))</f>
        <v/>
      </c>
      <c r="O7" s="60" t="str">
        <f ca="1">IF(OR(ISBLANK(#REF!), M7="Completed", M7="Closed", H7&lt;&gt;"Issue"), "",
   (NETWORKDAYS.INTL(TODAY(), N7, 1, DATA!A6:A34) - 1))</f>
        <v/>
      </c>
      <c r="P7" s="88" t="str">
        <f t="shared" ca="1" si="0"/>
        <v/>
      </c>
      <c r="Q7" s="88" t="str">
        <f t="shared" ca="1" si="1"/>
        <v/>
      </c>
      <c r="S7" s="76" t="s">
        <v>49</v>
      </c>
      <c r="T7" s="64">
        <f>SUM(T3:T6)</f>
        <v>206</v>
      </c>
    </row>
    <row r="8" spans="1:22" ht="27.6" x14ac:dyDescent="0.3">
      <c r="A8" s="93">
        <v>6</v>
      </c>
      <c r="B8" s="77" t="s">
        <v>480</v>
      </c>
      <c r="C8" s="77" t="s">
        <v>70</v>
      </c>
      <c r="D8" s="77" t="s">
        <v>465</v>
      </c>
      <c r="E8" s="77" t="s">
        <v>356</v>
      </c>
      <c r="F8" s="77" t="s">
        <v>469</v>
      </c>
      <c r="G8" s="77" t="s">
        <v>481</v>
      </c>
      <c r="H8" s="77" t="s">
        <v>74</v>
      </c>
      <c r="I8" s="77" t="s">
        <v>75</v>
      </c>
      <c r="J8" s="94">
        <v>46083.440972222219</v>
      </c>
      <c r="K8" s="94">
        <v>46083.440972222219</v>
      </c>
      <c r="L8" s="94">
        <v>46083.441666666666</v>
      </c>
      <c r="M8" s="93" t="s">
        <v>76</v>
      </c>
      <c r="N8" s="59" t="str">
        <f>IF(ISBLANK(J8),"",IF(OR(M8="Completed",M8="Closed"),"",IF(H8="Issue",IF(I8="High",WORKDAY(J8,2,DATA!A7:A35),IF(I8="Medium",WORKDAY(J8,14,DATA!A7:A35),IF(OR(I8="Low"),WORKDAY(J8,30,DATA!A7:A35),""))),
"")
))</f>
        <v/>
      </c>
      <c r="O8" s="60" t="str">
        <f ca="1">IF(OR(ISBLANK(#REF!), M8="Completed", M8="Closed", H8&lt;&gt;"Issue"), "",
   (NETWORKDAYS.INTL(TODAY(), N8, 1, DATA!A7:A35) - 1))</f>
        <v/>
      </c>
      <c r="P8" s="88" t="str">
        <f t="shared" ca="1" si="0"/>
        <v/>
      </c>
      <c r="Q8" s="88" t="str">
        <f t="shared" ca="1" si="1"/>
        <v/>
      </c>
      <c r="S8" s="139" t="s">
        <v>66</v>
      </c>
      <c r="T8" s="69" t="s">
        <v>94</v>
      </c>
      <c r="U8" s="69" t="s">
        <v>95</v>
      </c>
      <c r="V8" s="69" t="s">
        <v>96</v>
      </c>
    </row>
    <row r="9" spans="1:22" ht="124.2" x14ac:dyDescent="0.3">
      <c r="A9" s="93">
        <v>7</v>
      </c>
      <c r="B9" s="77" t="s">
        <v>482</v>
      </c>
      <c r="C9" s="77" t="s">
        <v>70</v>
      </c>
      <c r="D9" s="77" t="s">
        <v>477</v>
      </c>
      <c r="E9" s="77" t="s">
        <v>356</v>
      </c>
      <c r="F9" s="77" t="s">
        <v>478</v>
      </c>
      <c r="G9" s="77" t="s">
        <v>483</v>
      </c>
      <c r="H9" s="77" t="s">
        <v>74</v>
      </c>
      <c r="I9" s="77" t="s">
        <v>75</v>
      </c>
      <c r="J9" s="94">
        <v>46083.441666666666</v>
      </c>
      <c r="K9" s="94">
        <v>46083.442361111112</v>
      </c>
      <c r="L9" s="94">
        <v>46083.442361111112</v>
      </c>
      <c r="M9" s="93" t="s">
        <v>76</v>
      </c>
      <c r="N9" s="59" t="str">
        <f>IF(ISBLANK(J9),"",IF(OR(M9="Completed",M9="Closed"),"",IF(H9="Issue",IF(I9="High",WORKDAY(J9,2,DATA!A8:A36),IF(I9="Medium",WORKDAY(J9,14,DATA!A8:A36),IF(OR(I9="Low"),WORKDAY(J9,30,DATA!A8:A36),""))),
"")
))</f>
        <v/>
      </c>
      <c r="O9" s="60" t="str">
        <f ca="1">IF(OR(ISBLANK(#REF!), M9="Completed", M9="Closed", H9&lt;&gt;"Issue"), "",
   (NETWORKDAYS.INTL(TODAY(), N9, 1, DATA!A8:A36) - 1))</f>
        <v/>
      </c>
      <c r="P9" s="88" t="str">
        <f t="shared" ca="1" si="0"/>
        <v/>
      </c>
      <c r="Q9" s="88" t="str">
        <f t="shared" ca="1" si="1"/>
        <v/>
      </c>
      <c r="S9" s="139"/>
      <c r="T9" s="70">
        <f ca="1">COUNTIFS(P3:P276,"&gt;=1",P3:P276,"&lt;=30")</f>
        <v>0</v>
      </c>
      <c r="U9" s="70">
        <f ca="1">COUNTIFS(P3:P276,"&gt;=31",P3:P276,"&lt;=60")</f>
        <v>11</v>
      </c>
      <c r="V9" s="70">
        <f ca="1">COUNTIFS(P3:P276,"&gt;60")</f>
        <v>26</v>
      </c>
    </row>
    <row r="10" spans="1:22" ht="27.6" x14ac:dyDescent="0.3">
      <c r="A10" s="93">
        <v>8</v>
      </c>
      <c r="B10" s="77" t="s">
        <v>484</v>
      </c>
      <c r="C10" s="77" t="s">
        <v>70</v>
      </c>
      <c r="D10" s="77" t="s">
        <v>465</v>
      </c>
      <c r="E10" s="77" t="s">
        <v>356</v>
      </c>
      <c r="F10" s="77" t="s">
        <v>469</v>
      </c>
      <c r="G10" s="77" t="s">
        <v>485</v>
      </c>
      <c r="H10" s="77" t="s">
        <v>74</v>
      </c>
      <c r="I10" s="77" t="s">
        <v>75</v>
      </c>
      <c r="J10" s="94">
        <v>46083.455555555556</v>
      </c>
      <c r="K10" s="94">
        <v>46083.456250000003</v>
      </c>
      <c r="L10" s="94">
        <v>46083.456250000003</v>
      </c>
      <c r="M10" s="93" t="s">
        <v>76</v>
      </c>
      <c r="N10" s="59" t="str">
        <f>IF(ISBLANK(J10),"",IF(OR(M10="Completed",M10="Closed"),"",IF(H10="Issue",IF(I10="High",WORKDAY(J10,2,DATA!A9:A37),IF(I10="Medium",WORKDAY(J10,14,DATA!A9:A37),IF(OR(I10="Low"),WORKDAY(J10,30,DATA!A9:A37),""))),
"")
))</f>
        <v/>
      </c>
      <c r="O10" s="60" t="str">
        <f ca="1">IF(OR(ISBLANK(#REF!), M10="Completed", M10="Closed", H10&lt;&gt;"Issue"), "",
   (NETWORKDAYS.INTL(TODAY(), N10, 1, DATA!A9:A37) - 1))</f>
        <v/>
      </c>
      <c r="P10" s="88" t="str">
        <f t="shared" ca="1" si="0"/>
        <v/>
      </c>
      <c r="Q10" s="88" t="str">
        <f t="shared" ca="1" si="1"/>
        <v/>
      </c>
    </row>
    <row r="11" spans="1:22" ht="41.4" x14ac:dyDescent="0.3">
      <c r="A11" s="93">
        <v>9</v>
      </c>
      <c r="B11" s="77" t="s">
        <v>486</v>
      </c>
      <c r="C11" s="77" t="s">
        <v>70</v>
      </c>
      <c r="D11" s="77" t="s">
        <v>487</v>
      </c>
      <c r="E11" s="77" t="s">
        <v>356</v>
      </c>
      <c r="F11" s="77" t="s">
        <v>488</v>
      </c>
      <c r="G11" s="77" t="s">
        <v>489</v>
      </c>
      <c r="H11" s="77" t="s">
        <v>74</v>
      </c>
      <c r="I11" s="77" t="s">
        <v>75</v>
      </c>
      <c r="J11" s="94">
        <v>46083.480555555558</v>
      </c>
      <c r="K11" s="94">
        <v>46083.481249999997</v>
      </c>
      <c r="L11" s="94">
        <v>46083.481249999997</v>
      </c>
      <c r="M11" s="93" t="s">
        <v>76</v>
      </c>
      <c r="N11" s="59" t="str">
        <f>IF(ISBLANK(J11),"",IF(OR(M11="Completed",M11="Closed"),"",IF(H11="Issue",IF(I11="High",WORKDAY(J11,2,DATA!A10:A38),IF(I11="Medium",WORKDAY(J11,14,DATA!A10:A38),IF(OR(I11="Low"),WORKDAY(J11,30,DATA!A10:A38),""))),
"")
))</f>
        <v/>
      </c>
      <c r="O11" s="60" t="str">
        <f ca="1">IF(OR(ISBLANK(#REF!), M11="Completed", M11="Closed", H11&lt;&gt;"Issue"), "",
   (NETWORKDAYS.INTL(TODAY(), N11, 1, DATA!A10:A38) - 1))</f>
        <v/>
      </c>
      <c r="P11" s="88" t="str">
        <f t="shared" ca="1" si="0"/>
        <v/>
      </c>
      <c r="Q11" s="88" t="str">
        <f t="shared" ca="1" si="1"/>
        <v/>
      </c>
    </row>
    <row r="12" spans="1:22" ht="55.2" x14ac:dyDescent="0.3">
      <c r="A12" s="93">
        <v>10</v>
      </c>
      <c r="B12" s="77" t="s">
        <v>490</v>
      </c>
      <c r="C12" s="77" t="s">
        <v>70</v>
      </c>
      <c r="D12" s="77" t="s">
        <v>477</v>
      </c>
      <c r="E12" s="77" t="s">
        <v>356</v>
      </c>
      <c r="F12" s="77" t="s">
        <v>478</v>
      </c>
      <c r="G12" s="77" t="s">
        <v>491</v>
      </c>
      <c r="H12" s="77" t="s">
        <v>74</v>
      </c>
      <c r="I12" s="77" t="s">
        <v>75</v>
      </c>
      <c r="J12" s="94">
        <v>46083.488194444442</v>
      </c>
      <c r="K12" s="94">
        <v>46083.488888888889</v>
      </c>
      <c r="L12" s="94">
        <v>46083.488888888889</v>
      </c>
      <c r="M12" s="93" t="s">
        <v>76</v>
      </c>
      <c r="N12" s="59" t="str">
        <f>IF(ISBLANK(J12),"",IF(OR(M12="Completed",M12="Closed"),"",IF(H12="Issue",IF(I12="High",WORKDAY(J12,2,DATA!A11:A39),IF(I12="Medium",WORKDAY(J12,14,DATA!A11:A39),IF(OR(I12="Low"),WORKDAY(J12,30,DATA!A11:A39),""))),
"")
))</f>
        <v/>
      </c>
      <c r="O12" s="60" t="str">
        <f ca="1">IF(OR(ISBLANK(#REF!), M12="Completed", M12="Closed", H12&lt;&gt;"Issue"), "",
   (NETWORKDAYS.INTL(TODAY(), N12, 1, DATA!A11:A39) - 1))</f>
        <v/>
      </c>
      <c r="P12" s="88" t="str">
        <f t="shared" ca="1" si="0"/>
        <v/>
      </c>
      <c r="Q12" s="88" t="str">
        <f t="shared" ca="1" si="1"/>
        <v/>
      </c>
    </row>
    <row r="13" spans="1:22" ht="110.4" x14ac:dyDescent="0.3">
      <c r="A13" s="93">
        <v>11</v>
      </c>
      <c r="B13" s="77" t="s">
        <v>492</v>
      </c>
      <c r="C13" s="77" t="s">
        <v>70</v>
      </c>
      <c r="D13" s="77" t="s">
        <v>477</v>
      </c>
      <c r="E13" s="77" t="s">
        <v>356</v>
      </c>
      <c r="F13" s="77" t="s">
        <v>478</v>
      </c>
      <c r="G13" s="77" t="s">
        <v>493</v>
      </c>
      <c r="H13" s="77" t="s">
        <v>74</v>
      </c>
      <c r="I13" s="77" t="s">
        <v>75</v>
      </c>
      <c r="J13" s="94">
        <v>46083.493750000001</v>
      </c>
      <c r="K13" s="94">
        <v>46083.493750000001</v>
      </c>
      <c r="L13" s="94">
        <v>46083.493750000001</v>
      </c>
      <c r="M13" s="93" t="s">
        <v>76</v>
      </c>
      <c r="N13" s="59" t="str">
        <f>IF(ISBLANK(J13),"",IF(OR(M13="Completed",M13="Closed"),"",IF(H13="Issue",IF(I13="High",WORKDAY(J13,2,DATA!A12:A40),IF(I13="Medium",WORKDAY(J13,14,DATA!A12:A40),IF(OR(I13="Low"),WORKDAY(J13,30,DATA!A12:A40),""))),
"")
))</f>
        <v/>
      </c>
      <c r="O13" s="60" t="str">
        <f ca="1">IF(OR(ISBLANK(#REF!), M13="Completed", M13="Closed", H13&lt;&gt;"Issue"), "",
   (NETWORKDAYS.INTL(TODAY(), N13, 1, DATA!A12:A40) - 1))</f>
        <v/>
      </c>
      <c r="P13" s="88" t="str">
        <f t="shared" ca="1" si="0"/>
        <v/>
      </c>
      <c r="Q13" s="88" t="str">
        <f t="shared" ca="1" si="1"/>
        <v/>
      </c>
    </row>
    <row r="14" spans="1:22" ht="82.8" x14ac:dyDescent="0.3">
      <c r="A14" s="93">
        <v>12</v>
      </c>
      <c r="B14" s="77" t="s">
        <v>494</v>
      </c>
      <c r="C14" s="77" t="s">
        <v>70</v>
      </c>
      <c r="D14" s="77" t="s">
        <v>465</v>
      </c>
      <c r="E14" s="77" t="s">
        <v>356</v>
      </c>
      <c r="F14" s="77" t="s">
        <v>495</v>
      </c>
      <c r="G14" s="77" t="s">
        <v>496</v>
      </c>
      <c r="H14" s="77" t="s">
        <v>74</v>
      </c>
      <c r="I14" s="77" t="s">
        <v>75</v>
      </c>
      <c r="J14" s="94">
        <v>46083.497916666667</v>
      </c>
      <c r="K14" s="94">
        <v>46083.499305555553</v>
      </c>
      <c r="L14" s="94">
        <v>46083.499305555553</v>
      </c>
      <c r="M14" s="93" t="s">
        <v>76</v>
      </c>
      <c r="N14" s="59" t="str">
        <f>IF(ISBLANK(J14),"",IF(OR(M14="Completed",M14="Closed"),"",IF(H14="Issue",IF(I14="High",WORKDAY(J14,2,DATA!A13:A41),IF(I14="Medium",WORKDAY(J14,14,DATA!A13:A41),IF(OR(I14="Low"),WORKDAY(J14,30,DATA!A13:A41),""))),
"")
))</f>
        <v/>
      </c>
      <c r="O14" s="60" t="str">
        <f ca="1">IF(OR(ISBLANK(#REF!), M14="Completed", M14="Closed", H14&lt;&gt;"Issue"), "",
   (NETWORKDAYS.INTL(TODAY(), N14, 1, DATA!A13:A41) - 1))</f>
        <v/>
      </c>
      <c r="P14" s="88" t="str">
        <f t="shared" ca="1" si="0"/>
        <v/>
      </c>
      <c r="Q14" s="88" t="str">
        <f t="shared" ca="1" si="1"/>
        <v/>
      </c>
    </row>
    <row r="15" spans="1:22" ht="41.4" x14ac:dyDescent="0.3">
      <c r="A15" s="93">
        <v>13</v>
      </c>
      <c r="B15" s="77" t="s">
        <v>497</v>
      </c>
      <c r="C15" s="77" t="s">
        <v>70</v>
      </c>
      <c r="D15" s="77" t="s">
        <v>465</v>
      </c>
      <c r="E15" s="77" t="s">
        <v>356</v>
      </c>
      <c r="F15" s="77" t="s">
        <v>121</v>
      </c>
      <c r="G15" s="77" t="s">
        <v>498</v>
      </c>
      <c r="H15" s="77" t="s">
        <v>74</v>
      </c>
      <c r="I15" s="77" t="s">
        <v>75</v>
      </c>
      <c r="J15" s="94">
        <v>46083.503472222219</v>
      </c>
      <c r="K15" s="94">
        <v>46083.504861111112</v>
      </c>
      <c r="L15" s="94">
        <v>46083.504861111112</v>
      </c>
      <c r="M15" s="93" t="s">
        <v>76</v>
      </c>
      <c r="N15" s="59" t="str">
        <f>IF(ISBLANK(J15),"",IF(OR(M15="Completed",M15="Closed"),"",IF(H15="Issue",IF(I15="High",WORKDAY(J15,2,DATA!A14:A42),IF(I15="Medium",WORKDAY(J15,14,DATA!A14:A42),IF(OR(I15="Low"),WORKDAY(J15,30,DATA!A14:A42),""))),
"")
))</f>
        <v/>
      </c>
      <c r="O15" s="60" t="str">
        <f ca="1">IF(OR(ISBLANK(#REF!), M15="Completed", M15="Closed", H15&lt;&gt;"Issue"), "",
   (NETWORKDAYS.INTL(TODAY(), N15, 1, DATA!A14:A42) - 1))</f>
        <v/>
      </c>
      <c r="P15" s="88" t="str">
        <f t="shared" ca="1" si="0"/>
        <v/>
      </c>
      <c r="Q15" s="88" t="str">
        <f t="shared" ca="1" si="1"/>
        <v/>
      </c>
    </row>
    <row r="16" spans="1:22" ht="69" x14ac:dyDescent="0.3">
      <c r="A16" s="93">
        <v>14</v>
      </c>
      <c r="B16" s="77" t="s">
        <v>499</v>
      </c>
      <c r="C16" s="77" t="s">
        <v>70</v>
      </c>
      <c r="D16" s="77" t="s">
        <v>465</v>
      </c>
      <c r="E16" s="77" t="s">
        <v>356</v>
      </c>
      <c r="F16" s="77" t="s">
        <v>500</v>
      </c>
      <c r="G16" s="77" t="s">
        <v>501</v>
      </c>
      <c r="H16" s="77" t="s">
        <v>74</v>
      </c>
      <c r="I16" s="77" t="s">
        <v>75</v>
      </c>
      <c r="J16" s="94">
        <v>46083.506249999999</v>
      </c>
      <c r="K16" s="94">
        <v>46083.506944444445</v>
      </c>
      <c r="L16" s="94">
        <v>46083.506944444445</v>
      </c>
      <c r="M16" s="93" t="s">
        <v>76</v>
      </c>
      <c r="N16" s="59" t="str">
        <f>IF(ISBLANK(J16),"",IF(OR(M16="Completed",M16="Closed"),"",IF(H16="Issue",IF(I16="High",WORKDAY(J16,2,DATA!A15:A43),IF(I16="Medium",WORKDAY(J16,14,DATA!A15:A43),IF(OR(I16="Low"),WORKDAY(J16,30,DATA!A15:A43),""))),
"")
))</f>
        <v/>
      </c>
      <c r="O16" s="60" t="str">
        <f ca="1">IF(OR(ISBLANK(#REF!), M16="Completed", M16="Closed", H16&lt;&gt;"Issue"), "",
   (NETWORKDAYS.INTL(TODAY(), N16, 1, DATA!A15:A43) - 1))</f>
        <v/>
      </c>
      <c r="P16" s="88" t="str">
        <f t="shared" ca="1" si="0"/>
        <v/>
      </c>
      <c r="Q16" s="88" t="str">
        <f t="shared" ca="1" si="1"/>
        <v/>
      </c>
    </row>
    <row r="17" spans="1:17" ht="124.2" x14ac:dyDescent="0.3">
      <c r="A17" s="93">
        <v>15</v>
      </c>
      <c r="B17" s="77" t="s">
        <v>502</v>
      </c>
      <c r="C17" s="77" t="s">
        <v>70</v>
      </c>
      <c r="D17" s="77" t="s">
        <v>465</v>
      </c>
      <c r="E17" s="77" t="s">
        <v>356</v>
      </c>
      <c r="F17" s="77" t="s">
        <v>503</v>
      </c>
      <c r="G17" s="77" t="s">
        <v>504</v>
      </c>
      <c r="H17" s="77" t="s">
        <v>74</v>
      </c>
      <c r="I17" s="77" t="s">
        <v>75</v>
      </c>
      <c r="J17" s="94">
        <v>46083.512499999997</v>
      </c>
      <c r="K17" s="94">
        <v>46083.513194444444</v>
      </c>
      <c r="L17" s="94">
        <v>46083.513194444444</v>
      </c>
      <c r="M17" s="93" t="s">
        <v>76</v>
      </c>
      <c r="N17" s="59" t="str">
        <f>IF(ISBLANK(J17),"",IF(OR(M17="Completed",M17="Closed"),"",IF(H17="Issue",IF(I17="High",WORKDAY(J17,2,DATA!A16:A44),IF(I17="Medium",WORKDAY(J17,14,DATA!A16:A44),IF(OR(I17="Low"),WORKDAY(J17,30,DATA!A16:A44),""))),
"")
))</f>
        <v/>
      </c>
      <c r="O17" s="60" t="str">
        <f ca="1">IF(OR(ISBLANK(#REF!), M17="Completed", M17="Closed", H17&lt;&gt;"Issue"), "",
   (NETWORKDAYS.INTL(TODAY(), N17, 1, DATA!A16:A44) - 1))</f>
        <v/>
      </c>
      <c r="P17" s="88" t="str">
        <f t="shared" ca="1" si="0"/>
        <v/>
      </c>
      <c r="Q17" s="88" t="str">
        <f t="shared" ca="1" si="1"/>
        <v/>
      </c>
    </row>
    <row r="18" spans="1:17" ht="41.4" x14ac:dyDescent="0.3">
      <c r="A18" s="93">
        <v>16</v>
      </c>
      <c r="B18" s="77" t="s">
        <v>505</v>
      </c>
      <c r="C18" s="77" t="s">
        <v>70</v>
      </c>
      <c r="D18" s="77" t="s">
        <v>465</v>
      </c>
      <c r="E18" s="77" t="s">
        <v>356</v>
      </c>
      <c r="F18" s="77" t="s">
        <v>469</v>
      </c>
      <c r="G18" s="77" t="s">
        <v>506</v>
      </c>
      <c r="H18" s="77" t="s">
        <v>74</v>
      </c>
      <c r="I18" s="77" t="s">
        <v>75</v>
      </c>
      <c r="J18" s="94">
        <v>46083.518055555556</v>
      </c>
      <c r="K18" s="94">
        <v>46083.518750000003</v>
      </c>
      <c r="L18" s="94">
        <v>46083.519444444442</v>
      </c>
      <c r="M18" s="93" t="s">
        <v>76</v>
      </c>
      <c r="N18" s="59" t="str">
        <f>IF(ISBLANK(J18),"",IF(OR(M18="Completed",M18="Closed"),"",IF(H18="Issue",IF(I18="High",WORKDAY(J18,2,DATA!A17:A45),IF(I18="Medium",WORKDAY(J18,14,DATA!A17:A45),IF(OR(I18="Low"),WORKDAY(J18,30,DATA!A17:A45),""))),
"")
))</f>
        <v/>
      </c>
      <c r="O18" s="60" t="str">
        <f ca="1">IF(OR(ISBLANK(#REF!), M18="Completed", M18="Closed", H18&lt;&gt;"Issue"), "",
   (NETWORKDAYS.INTL(TODAY(), N18, 1, DATA!A17:A45) - 1))</f>
        <v/>
      </c>
      <c r="P18" s="88" t="str">
        <f t="shared" ca="1" si="0"/>
        <v/>
      </c>
      <c r="Q18" s="88" t="str">
        <f t="shared" ca="1" si="1"/>
        <v/>
      </c>
    </row>
    <row r="19" spans="1:17" ht="69" x14ac:dyDescent="0.3">
      <c r="A19" s="93">
        <v>17</v>
      </c>
      <c r="B19" s="77" t="s">
        <v>507</v>
      </c>
      <c r="C19" s="77" t="s">
        <v>70</v>
      </c>
      <c r="D19" s="77" t="s">
        <v>465</v>
      </c>
      <c r="E19" s="77" t="s">
        <v>356</v>
      </c>
      <c r="F19" s="77" t="s">
        <v>469</v>
      </c>
      <c r="G19" s="77" t="s">
        <v>508</v>
      </c>
      <c r="H19" s="77" t="s">
        <v>74</v>
      </c>
      <c r="I19" s="77" t="s">
        <v>75</v>
      </c>
      <c r="J19" s="94">
        <v>46083.625</v>
      </c>
      <c r="K19" s="94">
        <v>46083.625694444447</v>
      </c>
      <c r="L19" s="94">
        <v>46083.625694444447</v>
      </c>
      <c r="M19" s="93" t="s">
        <v>76</v>
      </c>
      <c r="N19" s="59" t="str">
        <f>IF(ISBLANK(J19),"",IF(OR(M19="Completed",M19="Closed"),"",IF(H19="Issue",IF(I19="High",WORKDAY(J19,2,DATA!A18:A46),IF(I19="Medium",WORKDAY(J19,14,DATA!A18:A46),IF(OR(I19="Low"),WORKDAY(J19,30,DATA!A18:A46),""))),
"")
))</f>
        <v/>
      </c>
      <c r="O19" s="60" t="str">
        <f ca="1">IF(OR(ISBLANK(#REF!), M19="Completed", M19="Closed", H19&lt;&gt;"Issue"), "",
   (NETWORKDAYS.INTL(TODAY(), N19, 1, DATA!A18:A46) - 1))</f>
        <v/>
      </c>
      <c r="P19" s="88" t="str">
        <f t="shared" ca="1" si="0"/>
        <v/>
      </c>
      <c r="Q19" s="88" t="str">
        <f t="shared" ca="1" si="1"/>
        <v/>
      </c>
    </row>
    <row r="20" spans="1:17" ht="41.4" x14ac:dyDescent="0.3">
      <c r="A20" s="93">
        <v>18</v>
      </c>
      <c r="B20" s="77" t="s">
        <v>509</v>
      </c>
      <c r="C20" s="77" t="s">
        <v>70</v>
      </c>
      <c r="D20" s="77" t="s">
        <v>465</v>
      </c>
      <c r="E20" s="77" t="s">
        <v>356</v>
      </c>
      <c r="F20" s="77" t="s">
        <v>469</v>
      </c>
      <c r="G20" s="77" t="s">
        <v>510</v>
      </c>
      <c r="H20" s="77" t="s">
        <v>74</v>
      </c>
      <c r="I20" s="77" t="s">
        <v>75</v>
      </c>
      <c r="J20" s="94">
        <v>46083.64166666667</v>
      </c>
      <c r="K20" s="94">
        <v>46083.64166666667</v>
      </c>
      <c r="L20" s="94">
        <v>46083.64166666667</v>
      </c>
      <c r="M20" s="93" t="s">
        <v>76</v>
      </c>
      <c r="N20" s="59" t="str">
        <f>IF(ISBLANK(J20),"",IF(OR(M20="Completed",M20="Closed"),"",IF(H20="Issue",IF(I20="High",WORKDAY(J20,2,DATA!A19:A47),IF(I20="Medium",WORKDAY(J20,14,DATA!A19:A47),IF(OR(I20="Low"),WORKDAY(J20,30,DATA!A19:A47),""))),
"")
))</f>
        <v/>
      </c>
      <c r="O20" s="60" t="str">
        <f ca="1">IF(OR(ISBLANK(#REF!), M20="Completed", M20="Closed", H20&lt;&gt;"Issue"), "",
   (NETWORKDAYS.INTL(TODAY(), N20, 1, DATA!A19:A47) - 1))</f>
        <v/>
      </c>
      <c r="P20" s="88" t="str">
        <f t="shared" ca="1" si="0"/>
        <v/>
      </c>
      <c r="Q20" s="88" t="str">
        <f t="shared" ca="1" si="1"/>
        <v/>
      </c>
    </row>
    <row r="21" spans="1:17" ht="317.39999999999998" customHeight="1" x14ac:dyDescent="0.3">
      <c r="A21" s="93">
        <v>19</v>
      </c>
      <c r="B21" s="77" t="s">
        <v>511</v>
      </c>
      <c r="C21" s="77" t="s">
        <v>70</v>
      </c>
      <c r="D21" s="77" t="s">
        <v>477</v>
      </c>
      <c r="E21" s="77" t="s">
        <v>356</v>
      </c>
      <c r="F21" s="77" t="s">
        <v>478</v>
      </c>
      <c r="G21" s="77" t="s">
        <v>512</v>
      </c>
      <c r="H21" s="77" t="s">
        <v>74</v>
      </c>
      <c r="I21" s="77" t="s">
        <v>75</v>
      </c>
      <c r="J21" s="94">
        <v>46083.644444444442</v>
      </c>
      <c r="K21" s="94">
        <v>46083.645833333336</v>
      </c>
      <c r="L21" s="94">
        <v>46083.645833333336</v>
      </c>
      <c r="M21" s="93" t="s">
        <v>76</v>
      </c>
      <c r="N21" s="59" t="str">
        <f>IF(ISBLANK(J21),"",IF(OR(M21="Completed",M21="Closed"),"",IF(H21="Issue",IF(I21="High",WORKDAY(J21,2,DATA!A20:A48),IF(I21="Medium",WORKDAY(J21,14,DATA!A20:A48),IF(OR(I21="Low"),WORKDAY(J21,30,DATA!A20:A48),""))),
"")
))</f>
        <v/>
      </c>
      <c r="O21" s="60" t="str">
        <f ca="1">IF(OR(ISBLANK(#REF!), M21="Completed", M21="Closed", H21&lt;&gt;"Issue"), "",
   (NETWORKDAYS.INTL(TODAY(), N21, 1, DATA!A20:A48) - 1))</f>
        <v/>
      </c>
      <c r="P21" s="88" t="str">
        <f t="shared" ca="1" si="0"/>
        <v/>
      </c>
      <c r="Q21" s="88" t="str">
        <f t="shared" ca="1" si="1"/>
        <v/>
      </c>
    </row>
    <row r="22" spans="1:17" ht="55.2" x14ac:dyDescent="0.3">
      <c r="A22" s="93">
        <v>20</v>
      </c>
      <c r="B22" s="77" t="s">
        <v>513</v>
      </c>
      <c r="C22" s="77" t="s">
        <v>70</v>
      </c>
      <c r="D22" s="77" t="s">
        <v>465</v>
      </c>
      <c r="E22" s="77" t="s">
        <v>356</v>
      </c>
      <c r="F22" s="77" t="s">
        <v>469</v>
      </c>
      <c r="G22" s="77" t="s">
        <v>514</v>
      </c>
      <c r="H22" s="77" t="s">
        <v>74</v>
      </c>
      <c r="I22" s="77" t="s">
        <v>75</v>
      </c>
      <c r="J22" s="94">
        <v>46083.650694444441</v>
      </c>
      <c r="K22" s="94">
        <v>46083.651388888888</v>
      </c>
      <c r="L22" s="94">
        <v>46083.652083333334</v>
      </c>
      <c r="M22" s="93" t="s">
        <v>76</v>
      </c>
      <c r="N22" s="59" t="str">
        <f>IF(ISBLANK(J22),"",IF(OR(M22="Completed",M22="Closed"),"",IF(H22="Issue",IF(I22="High",WORKDAY(J22,2,DATA!A21:A49),IF(I22="Medium",WORKDAY(J22,14,DATA!A21:A49),IF(OR(I22="Low"),WORKDAY(J22,30,DATA!A21:A49),""))),
"")
))</f>
        <v/>
      </c>
      <c r="O22" s="60" t="str">
        <f ca="1">IF(OR(ISBLANK(#REF!), M22="Completed", M22="Closed", H22&lt;&gt;"Issue"), "",
   (NETWORKDAYS.INTL(TODAY(), N22, 1, DATA!A21:A49) - 1))</f>
        <v/>
      </c>
      <c r="P22" s="88" t="str">
        <f t="shared" ca="1" si="0"/>
        <v/>
      </c>
      <c r="Q22" s="88" t="str">
        <f t="shared" ca="1" si="1"/>
        <v/>
      </c>
    </row>
    <row r="23" spans="1:17" ht="55.2" x14ac:dyDescent="0.3">
      <c r="A23" s="93">
        <v>21</v>
      </c>
      <c r="B23" s="77" t="s">
        <v>515</v>
      </c>
      <c r="C23" s="77" t="s">
        <v>70</v>
      </c>
      <c r="D23" s="77" t="s">
        <v>477</v>
      </c>
      <c r="E23" s="77" t="s">
        <v>356</v>
      </c>
      <c r="F23" s="77" t="s">
        <v>478</v>
      </c>
      <c r="G23" s="77" t="s">
        <v>516</v>
      </c>
      <c r="H23" s="77" t="s">
        <v>74</v>
      </c>
      <c r="I23" s="77" t="s">
        <v>75</v>
      </c>
      <c r="J23" s="94">
        <v>46083.67083333333</v>
      </c>
      <c r="K23" s="94">
        <v>46083.671527777777</v>
      </c>
      <c r="L23" s="94">
        <v>46083.671527777777</v>
      </c>
      <c r="M23" s="93" t="s">
        <v>76</v>
      </c>
      <c r="N23" s="59" t="str">
        <f>IF(ISBLANK(J23),"",IF(OR(M23="Completed",M23="Closed"),"",IF(H23="Issue",IF(I23="High",WORKDAY(J23,2,DATA!A22:A50),IF(I23="Medium",WORKDAY(J23,14,DATA!A22:A50),IF(OR(I23="Low"),WORKDAY(J23,30,DATA!A22:A50),""))),
"")
))</f>
        <v/>
      </c>
      <c r="O23" s="60" t="str">
        <f ca="1">IF(OR(ISBLANK(#REF!), M23="Completed", M23="Closed", H23&lt;&gt;"Issue"), "",
   (NETWORKDAYS.INTL(TODAY(), N23, 1, DATA!A22:A50) - 1))</f>
        <v/>
      </c>
      <c r="P23" s="88" t="str">
        <f t="shared" ca="1" si="0"/>
        <v/>
      </c>
      <c r="Q23" s="88" t="str">
        <f t="shared" ca="1" si="1"/>
        <v/>
      </c>
    </row>
    <row r="24" spans="1:17" ht="55.2" x14ac:dyDescent="0.3">
      <c r="A24" s="93">
        <v>22</v>
      </c>
      <c r="B24" s="77" t="s">
        <v>517</v>
      </c>
      <c r="C24" s="77" t="s">
        <v>70</v>
      </c>
      <c r="D24" s="77" t="s">
        <v>465</v>
      </c>
      <c r="E24" s="77" t="s">
        <v>356</v>
      </c>
      <c r="F24" s="77" t="s">
        <v>518</v>
      </c>
      <c r="G24" s="77" t="s">
        <v>519</v>
      </c>
      <c r="H24" s="77" t="s">
        <v>74</v>
      </c>
      <c r="I24" s="77" t="s">
        <v>75</v>
      </c>
      <c r="J24" s="94">
        <v>46083.674305555556</v>
      </c>
      <c r="K24" s="94">
        <v>46083.675000000003</v>
      </c>
      <c r="L24" s="94">
        <v>46083.675000000003</v>
      </c>
      <c r="M24" s="93" t="s">
        <v>76</v>
      </c>
      <c r="N24" s="59" t="str">
        <f>IF(ISBLANK(J24),"",IF(OR(M24="Completed",M24="Closed"),"",IF(H24="Issue",IF(I24="High",WORKDAY(J24,2,DATA!A23:A51),IF(I24="Medium",WORKDAY(J24,14,DATA!A23:A51),IF(OR(I24="Low"),WORKDAY(J24,30,DATA!A23:A51),""))),
"")
))</f>
        <v/>
      </c>
      <c r="O24" s="60" t="str">
        <f ca="1">IF(OR(ISBLANK(#REF!), M24="Completed", M24="Closed", H24&lt;&gt;"Issue"), "",
   (NETWORKDAYS.INTL(TODAY(), N24, 1, DATA!A23:A51) - 1))</f>
        <v/>
      </c>
      <c r="P24" s="88" t="str">
        <f t="shared" ca="1" si="0"/>
        <v/>
      </c>
      <c r="Q24" s="88" t="str">
        <f t="shared" ca="1" si="1"/>
        <v/>
      </c>
    </row>
    <row r="25" spans="1:17" ht="124.2" customHeight="1" x14ac:dyDescent="0.3">
      <c r="A25" s="93">
        <v>23</v>
      </c>
      <c r="B25" s="77" t="s">
        <v>520</v>
      </c>
      <c r="C25" s="77" t="s">
        <v>70</v>
      </c>
      <c r="D25" s="77" t="s">
        <v>477</v>
      </c>
      <c r="E25" s="77" t="s">
        <v>356</v>
      </c>
      <c r="F25" s="77" t="s">
        <v>88</v>
      </c>
      <c r="G25" s="77" t="s">
        <v>521</v>
      </c>
      <c r="H25" s="77" t="s">
        <v>74</v>
      </c>
      <c r="I25" s="77" t="s">
        <v>75</v>
      </c>
      <c r="J25" s="94">
        <v>46083.6875</v>
      </c>
      <c r="K25" s="94">
        <v>46083.69027777778</v>
      </c>
      <c r="L25" s="94">
        <v>46083.69027777778</v>
      </c>
      <c r="M25" s="93" t="s">
        <v>76</v>
      </c>
      <c r="N25" s="59" t="str">
        <f>IF(ISBLANK(J25),"",IF(OR(M25="Completed",M25="Closed"),"",IF(H25="Issue",IF(I25="High",WORKDAY(J25,2,DATA!A24:A52),IF(I25="Medium",WORKDAY(J25,14,DATA!A24:A52),IF(OR(I25="Low"),WORKDAY(J25,30,DATA!A24:A52),""))),
"")
))</f>
        <v/>
      </c>
      <c r="O25" s="60" t="str">
        <f ca="1">IF(OR(ISBLANK(#REF!), M25="Completed", M25="Closed", H25&lt;&gt;"Issue"), "",
   (NETWORKDAYS.INTL(TODAY(), N25, 1, DATA!A24:A52) - 1))</f>
        <v/>
      </c>
      <c r="P25" s="88" t="str">
        <f t="shared" ca="1" si="0"/>
        <v/>
      </c>
      <c r="Q25" s="88" t="str">
        <f t="shared" ca="1" si="1"/>
        <v/>
      </c>
    </row>
    <row r="26" spans="1:17" ht="41.4" x14ac:dyDescent="0.3">
      <c r="A26" s="93">
        <v>24</v>
      </c>
      <c r="B26" s="77" t="s">
        <v>522</v>
      </c>
      <c r="C26" s="77" t="s">
        <v>70</v>
      </c>
      <c r="D26" s="77" t="s">
        <v>465</v>
      </c>
      <c r="E26" s="77" t="s">
        <v>356</v>
      </c>
      <c r="F26" s="77" t="s">
        <v>469</v>
      </c>
      <c r="G26" s="77" t="s">
        <v>523</v>
      </c>
      <c r="H26" s="77" t="s">
        <v>74</v>
      </c>
      <c r="I26" s="77" t="s">
        <v>75</v>
      </c>
      <c r="J26" s="94">
        <v>46083.692361111112</v>
      </c>
      <c r="K26" s="94">
        <v>46083.694444444445</v>
      </c>
      <c r="L26" s="94">
        <v>46083.695138888892</v>
      </c>
      <c r="M26" s="93" t="s">
        <v>76</v>
      </c>
      <c r="N26" s="59" t="str">
        <f>IF(ISBLANK(J26),"",IF(OR(M26="Completed",M26="Closed"),"",IF(H26="Issue",IF(I26="High",WORKDAY(J26,2,DATA!A25:A53),IF(I26="Medium",WORKDAY(J26,14,DATA!A25:A53),IF(OR(I26="Low"),WORKDAY(J26,30,DATA!A25:A53),""))),
"")
))</f>
        <v/>
      </c>
      <c r="O26" s="60" t="str">
        <f ca="1">IF(OR(ISBLANK(#REF!), M26="Completed", M26="Closed", H26&lt;&gt;"Issue"), "",
   (NETWORKDAYS.INTL(TODAY(), N26, 1, DATA!A25:A53) - 1))</f>
        <v/>
      </c>
      <c r="P26" s="88" t="str">
        <f t="shared" ca="1" si="0"/>
        <v/>
      </c>
      <c r="Q26" s="88" t="str">
        <f t="shared" ca="1" si="1"/>
        <v/>
      </c>
    </row>
    <row r="27" spans="1:17" ht="55.2" x14ac:dyDescent="0.3">
      <c r="A27" s="93">
        <v>25</v>
      </c>
      <c r="B27" s="77" t="s">
        <v>524</v>
      </c>
      <c r="C27" s="77" t="s">
        <v>70</v>
      </c>
      <c r="D27" s="77" t="s">
        <v>477</v>
      </c>
      <c r="E27" s="77" t="s">
        <v>356</v>
      </c>
      <c r="F27" s="77" t="s">
        <v>88</v>
      </c>
      <c r="G27" s="77" t="s">
        <v>525</v>
      </c>
      <c r="H27" s="77" t="s">
        <v>74</v>
      </c>
      <c r="I27" s="77" t="s">
        <v>75</v>
      </c>
      <c r="J27" s="94">
        <v>46094.509027777778</v>
      </c>
      <c r="K27" s="94">
        <v>46094.525694444441</v>
      </c>
      <c r="L27" s="94">
        <v>46094.6</v>
      </c>
      <c r="M27" s="93" t="s">
        <v>76</v>
      </c>
      <c r="N27" s="59" t="str">
        <f>IF(ISBLANK(J27),"",IF(OR(M27="Completed",M27="Closed"),"",IF(H27="Issue",IF(I27="High",WORKDAY(J27,2,DATA!A26:A54),IF(I27="Medium",WORKDAY(J27,14,DATA!A26:A54),IF(OR(I27="Low"),WORKDAY(J27,30,DATA!A26:A54),""))),
"")
))</f>
        <v/>
      </c>
      <c r="O27" s="60" t="str">
        <f ca="1">IF(OR(ISBLANK(#REF!), M27="Completed", M27="Closed", H27&lt;&gt;"Issue"), "",
   (NETWORKDAYS.INTL(TODAY(), N27, 1, DATA!A26:A54) - 1))</f>
        <v/>
      </c>
      <c r="P27" s="88" t="str">
        <f t="shared" ca="1" si="0"/>
        <v/>
      </c>
      <c r="Q27" s="88" t="str">
        <f t="shared" ca="1" si="1"/>
        <v/>
      </c>
    </row>
    <row r="28" spans="1:17" ht="27.6" x14ac:dyDescent="0.3">
      <c r="A28" s="93">
        <v>26</v>
      </c>
      <c r="B28" s="77" t="s">
        <v>526</v>
      </c>
      <c r="C28" s="77" t="s">
        <v>70</v>
      </c>
      <c r="D28" s="77" t="s">
        <v>477</v>
      </c>
      <c r="E28" s="77" t="s">
        <v>356</v>
      </c>
      <c r="F28" s="77" t="s">
        <v>88</v>
      </c>
      <c r="G28" s="77" t="s">
        <v>527</v>
      </c>
      <c r="H28" s="77" t="s">
        <v>74</v>
      </c>
      <c r="I28" s="77" t="s">
        <v>75</v>
      </c>
      <c r="J28" s="94">
        <v>46094.509722222225</v>
      </c>
      <c r="K28" s="94">
        <v>46094.531944444447</v>
      </c>
      <c r="L28" s="94">
        <v>46094.6</v>
      </c>
      <c r="M28" s="93" t="s">
        <v>76</v>
      </c>
      <c r="N28" s="59" t="str">
        <f>IF(ISBLANK(J28),"",IF(OR(M28="Completed",M28="Closed"),"",IF(H28="Issue",IF(I28="High",WORKDAY(J28,2,DATA!A27:A55),IF(I28="Medium",WORKDAY(J28,14,DATA!A27:A55),IF(OR(I28="Low"),WORKDAY(J28,30,DATA!A27:A55),""))),
"")
))</f>
        <v/>
      </c>
      <c r="O28" s="60" t="str">
        <f ca="1">IF(OR(ISBLANK(#REF!), M28="Completed", M28="Closed", H28&lt;&gt;"Issue"), "",
   (NETWORKDAYS.INTL(TODAY(), N28, 1, DATA!A27:A55) - 1))</f>
        <v/>
      </c>
      <c r="P28" s="88" t="str">
        <f t="shared" ca="1" si="0"/>
        <v/>
      </c>
      <c r="Q28" s="88" t="str">
        <f t="shared" ca="1" si="1"/>
        <v/>
      </c>
    </row>
    <row r="29" spans="1:17" ht="27.6" x14ac:dyDescent="0.3">
      <c r="A29" s="93">
        <v>27</v>
      </c>
      <c r="B29" s="77" t="s">
        <v>528</v>
      </c>
      <c r="C29" s="77" t="s">
        <v>70</v>
      </c>
      <c r="D29" s="77" t="s">
        <v>477</v>
      </c>
      <c r="E29" s="77" t="s">
        <v>356</v>
      </c>
      <c r="F29" s="77" t="s">
        <v>88</v>
      </c>
      <c r="G29" s="77" t="s">
        <v>529</v>
      </c>
      <c r="H29" s="77" t="s">
        <v>74</v>
      </c>
      <c r="I29" s="77" t="s">
        <v>75</v>
      </c>
      <c r="J29" s="94">
        <v>46094.510416666664</v>
      </c>
      <c r="K29" s="94">
        <v>46094.675694444442</v>
      </c>
      <c r="L29" s="94">
        <v>46094.678472222222</v>
      </c>
      <c r="M29" s="93" t="s">
        <v>76</v>
      </c>
      <c r="N29" s="59" t="str">
        <f>IF(ISBLANK(J29),"",IF(OR(M29="Completed",M29="Closed"),"",IF(H29="Issue",IF(I29="High",WORKDAY(J29,2,DATA!A28:A56),IF(I29="Medium",WORKDAY(J29,14,DATA!A28:A56),IF(OR(I29="Low"),WORKDAY(J29,30,DATA!A28:A56),""))),
"")
))</f>
        <v/>
      </c>
      <c r="O29" s="60" t="str">
        <f ca="1">IF(OR(ISBLANK(#REF!), M29="Completed", M29="Closed", H29&lt;&gt;"Issue"), "",
   (NETWORKDAYS.INTL(TODAY(), N29, 1, DATA!A28:A56) - 1))</f>
        <v/>
      </c>
      <c r="P29" s="88" t="str">
        <f t="shared" ca="1" si="0"/>
        <v/>
      </c>
      <c r="Q29" s="88" t="str">
        <f t="shared" ca="1" si="1"/>
        <v/>
      </c>
    </row>
    <row r="30" spans="1:17" ht="41.4" x14ac:dyDescent="0.3">
      <c r="A30" s="93">
        <v>28</v>
      </c>
      <c r="B30" s="77" t="s">
        <v>530</v>
      </c>
      <c r="C30" s="77" t="s">
        <v>70</v>
      </c>
      <c r="D30" s="77" t="s">
        <v>477</v>
      </c>
      <c r="E30" s="77" t="s">
        <v>356</v>
      </c>
      <c r="F30" s="77" t="s">
        <v>88</v>
      </c>
      <c r="G30" s="77" t="s">
        <v>531</v>
      </c>
      <c r="H30" s="77" t="s">
        <v>74</v>
      </c>
      <c r="I30" s="77" t="s">
        <v>75</v>
      </c>
      <c r="J30" s="94">
        <v>46094.510416666664</v>
      </c>
      <c r="K30" s="94">
        <v>46094.675000000003</v>
      </c>
      <c r="L30" s="94">
        <v>46094.675000000003</v>
      </c>
      <c r="M30" s="93" t="s">
        <v>76</v>
      </c>
      <c r="N30" s="59" t="str">
        <f>IF(ISBLANK(J30),"",IF(OR(M30="Completed",M30="Closed"),"",IF(H30="Issue",IF(I30="High",WORKDAY(J30,2,DATA!A29:A57),IF(I30="Medium",WORKDAY(J30,14,DATA!A29:A57),IF(OR(I30="Low"),WORKDAY(J30,30,DATA!A29:A57),""))),
"")
))</f>
        <v/>
      </c>
      <c r="O30" s="60" t="str">
        <f ca="1">IF(OR(ISBLANK(#REF!), M30="Completed", M30="Closed", H30&lt;&gt;"Issue"), "",
   (NETWORKDAYS.INTL(TODAY(), N30, 1, DATA!A29:A57) - 1))</f>
        <v/>
      </c>
      <c r="P30" s="88" t="str">
        <f t="shared" ca="1" si="0"/>
        <v/>
      </c>
      <c r="Q30" s="88" t="str">
        <f t="shared" ca="1" si="1"/>
        <v/>
      </c>
    </row>
    <row r="31" spans="1:17" ht="41.4" x14ac:dyDescent="0.3">
      <c r="A31" s="93">
        <v>29</v>
      </c>
      <c r="B31" s="77" t="s">
        <v>532</v>
      </c>
      <c r="C31" s="77" t="s">
        <v>70</v>
      </c>
      <c r="D31" s="77" t="s">
        <v>477</v>
      </c>
      <c r="E31" s="77" t="s">
        <v>356</v>
      </c>
      <c r="F31" s="77" t="s">
        <v>88</v>
      </c>
      <c r="G31" s="77" t="s">
        <v>533</v>
      </c>
      <c r="H31" s="77" t="s">
        <v>74</v>
      </c>
      <c r="I31" s="77" t="s">
        <v>75</v>
      </c>
      <c r="J31" s="94">
        <v>46094.511111111111</v>
      </c>
      <c r="K31" s="94">
        <v>46094.674305555556</v>
      </c>
      <c r="L31" s="94">
        <v>46094.674305555556</v>
      </c>
      <c r="M31" s="93" t="s">
        <v>76</v>
      </c>
      <c r="N31" s="59" t="str">
        <f>IF(ISBLANK(J31),"",IF(OR(M31="Completed",M31="Closed"),"",IF(H31="Issue",IF(I31="High",WORKDAY(J31,2,DATA!A30:A58),IF(I31="Medium",WORKDAY(J31,14,DATA!A30:A58),IF(OR(I31="Low"),WORKDAY(J31,30,DATA!A30:A58),""))),
"")
))</f>
        <v/>
      </c>
      <c r="O31" s="60" t="str">
        <f ca="1">IF(OR(ISBLANK(#REF!), M31="Completed", M31="Closed", H31&lt;&gt;"Issue"), "",
   (NETWORKDAYS.INTL(TODAY(), N31, 1, DATA!A30:A58) - 1))</f>
        <v/>
      </c>
      <c r="P31" s="88" t="str">
        <f t="shared" ca="1" si="0"/>
        <v/>
      </c>
      <c r="Q31" s="88" t="str">
        <f t="shared" ca="1" si="1"/>
        <v/>
      </c>
    </row>
    <row r="32" spans="1:17" ht="55.2" x14ac:dyDescent="0.3">
      <c r="A32" s="93">
        <v>30</v>
      </c>
      <c r="B32" s="77" t="s">
        <v>534</v>
      </c>
      <c r="C32" s="77" t="s">
        <v>70</v>
      </c>
      <c r="D32" s="77" t="s">
        <v>477</v>
      </c>
      <c r="E32" s="77" t="s">
        <v>356</v>
      </c>
      <c r="F32" s="77" t="s">
        <v>88</v>
      </c>
      <c r="G32" s="77" t="s">
        <v>535</v>
      </c>
      <c r="H32" s="77" t="s">
        <v>74</v>
      </c>
      <c r="I32" s="77" t="s">
        <v>75</v>
      </c>
      <c r="J32" s="94">
        <v>46094.512499999997</v>
      </c>
      <c r="K32" s="94">
        <v>46094.673611111109</v>
      </c>
      <c r="L32" s="94">
        <v>46094.674305555556</v>
      </c>
      <c r="M32" s="93" t="s">
        <v>76</v>
      </c>
      <c r="N32" s="59" t="str">
        <f>IF(ISBLANK(J32),"",IF(OR(M32="Completed",M32="Closed"),"",IF(H32="Issue",IF(I32="High",WORKDAY(J32,2,DATA!A31:A59),IF(I32="Medium",WORKDAY(J32,14,DATA!A31:A59),IF(OR(I32="Low"),WORKDAY(J32,30,DATA!A31:A59),""))),
"")
))</f>
        <v/>
      </c>
      <c r="O32" s="60" t="str">
        <f ca="1">IF(OR(ISBLANK(#REF!), M32="Completed", M32="Closed", H32&lt;&gt;"Issue"), "",
   (NETWORKDAYS.INTL(TODAY(), N32, 1, DATA!A31:A59) - 1))</f>
        <v/>
      </c>
      <c r="P32" s="88" t="str">
        <f t="shared" ca="1" si="0"/>
        <v/>
      </c>
      <c r="Q32" s="88" t="str">
        <f t="shared" ca="1" si="1"/>
        <v/>
      </c>
    </row>
    <row r="33" spans="1:17" ht="55.2" x14ac:dyDescent="0.3">
      <c r="A33" s="93">
        <v>31</v>
      </c>
      <c r="B33" s="77" t="s">
        <v>536</v>
      </c>
      <c r="C33" s="77" t="s">
        <v>70</v>
      </c>
      <c r="D33" s="77" t="s">
        <v>477</v>
      </c>
      <c r="E33" s="77" t="s">
        <v>356</v>
      </c>
      <c r="F33" s="77" t="s">
        <v>88</v>
      </c>
      <c r="G33" s="77" t="s">
        <v>537</v>
      </c>
      <c r="H33" s="77" t="s">
        <v>74</v>
      </c>
      <c r="I33" s="77" t="s">
        <v>75</v>
      </c>
      <c r="J33" s="94">
        <v>46094.513194444444</v>
      </c>
      <c r="K33" s="94">
        <v>46094.659722222219</v>
      </c>
      <c r="L33" s="94">
        <v>46094.661111111112</v>
      </c>
      <c r="M33" s="93" t="s">
        <v>76</v>
      </c>
      <c r="N33" s="59" t="str">
        <f>IF(ISBLANK(J33),"",IF(OR(M33="Completed",M33="Closed"),"",IF(H33="Issue",IF(I33="High",WORKDAY(J33,2,DATA!A32:A60),IF(I33="Medium",WORKDAY(J33,14,DATA!A32:A60),IF(OR(I33="Low"),WORKDAY(J33,30,DATA!A32:A60),""))),
"")
))</f>
        <v/>
      </c>
      <c r="O33" s="60" t="str">
        <f ca="1">IF(OR(ISBLANK(#REF!), M33="Completed", M33="Closed", H33&lt;&gt;"Issue"), "",
   (NETWORKDAYS.INTL(TODAY(), N33, 1, DATA!A32:A60) - 1))</f>
        <v/>
      </c>
      <c r="P33" s="88" t="str">
        <f t="shared" ca="1" si="0"/>
        <v/>
      </c>
      <c r="Q33" s="88" t="str">
        <f t="shared" ca="1" si="1"/>
        <v/>
      </c>
    </row>
    <row r="34" spans="1:17" ht="165.6" x14ac:dyDescent="0.3">
      <c r="A34" s="93">
        <v>32</v>
      </c>
      <c r="B34" s="77" t="s">
        <v>538</v>
      </c>
      <c r="C34" s="77" t="s">
        <v>70</v>
      </c>
      <c r="D34" s="77" t="s">
        <v>465</v>
      </c>
      <c r="E34" s="77" t="s">
        <v>356</v>
      </c>
      <c r="F34" s="77" t="s">
        <v>539</v>
      </c>
      <c r="G34" s="77" t="s">
        <v>540</v>
      </c>
      <c r="H34" s="77" t="s">
        <v>74</v>
      </c>
      <c r="I34" s="77" t="s">
        <v>75</v>
      </c>
      <c r="J34" s="94">
        <v>46099.693055555559</v>
      </c>
      <c r="K34" s="94">
        <v>46099.894444444442</v>
      </c>
      <c r="L34" s="94">
        <v>46106.388194444444</v>
      </c>
      <c r="M34" s="93" t="s">
        <v>76</v>
      </c>
      <c r="N34" s="59" t="str">
        <f>IF(ISBLANK(J34),"",IF(OR(M34="Completed",M34="Closed"),"",IF(H34="Issue",IF(I34="High",WORKDAY(J34,2,DATA!A33:A61),IF(I34="Medium",WORKDAY(J34,14,DATA!A33:A61),IF(OR(I34="Low"),WORKDAY(J34,30,DATA!A33:A61),""))),
"")
))</f>
        <v/>
      </c>
      <c r="O34" s="60" t="str">
        <f ca="1">IF(OR(ISBLANK(#REF!), M34="Completed", M34="Closed", H34&lt;&gt;"Issue"), "",
   (NETWORKDAYS.INTL(TODAY(), N34, 1, DATA!A33:A61) - 1))</f>
        <v/>
      </c>
      <c r="P34" s="88" t="str">
        <f t="shared" ca="1" si="0"/>
        <v/>
      </c>
      <c r="Q34" s="88" t="str">
        <f t="shared" ca="1" si="1"/>
        <v/>
      </c>
    </row>
    <row r="35" spans="1:17" ht="41.4" x14ac:dyDescent="0.3">
      <c r="A35" s="93">
        <v>33</v>
      </c>
      <c r="B35" s="77" t="s">
        <v>541</v>
      </c>
      <c r="C35" s="77" t="s">
        <v>70</v>
      </c>
      <c r="D35" s="77" t="s">
        <v>465</v>
      </c>
      <c r="E35" s="77" t="s">
        <v>356</v>
      </c>
      <c r="F35" s="77" t="s">
        <v>542</v>
      </c>
      <c r="G35" s="77" t="s">
        <v>543</v>
      </c>
      <c r="H35" s="77" t="s">
        <v>74</v>
      </c>
      <c r="I35" s="77" t="s">
        <v>75</v>
      </c>
      <c r="J35" s="94">
        <v>46099.695138888892</v>
      </c>
      <c r="K35" s="94">
        <v>46099.895138888889</v>
      </c>
      <c r="L35" s="94">
        <v>46106.387499999997</v>
      </c>
      <c r="M35" s="93" t="s">
        <v>76</v>
      </c>
      <c r="N35" s="59" t="str">
        <f>IF(ISBLANK(J35),"",IF(OR(M35="Completed",M35="Closed"),"",IF(H35="Issue",IF(I35="High",WORKDAY(J35,2,DATA!A34:A62),IF(I35="Medium",WORKDAY(J35,14,DATA!A34:A62),IF(OR(I35="Low"),WORKDAY(J35,30,DATA!A34:A62),""))),
"")
))</f>
        <v/>
      </c>
      <c r="O35" s="60" t="str">
        <f ca="1">IF(OR(ISBLANK(#REF!), M35="Completed", M35="Closed", H35&lt;&gt;"Issue"), "",
   (NETWORKDAYS.INTL(TODAY(), N35, 1, DATA!A34:A62) - 1))</f>
        <v/>
      </c>
      <c r="P35" s="88" t="str">
        <f t="shared" ca="1" si="0"/>
        <v/>
      </c>
      <c r="Q35" s="88" t="str">
        <f t="shared" ca="1" si="1"/>
        <v/>
      </c>
    </row>
    <row r="36" spans="1:17" ht="179.4" x14ac:dyDescent="0.3">
      <c r="A36" s="93">
        <v>34</v>
      </c>
      <c r="B36" s="77" t="s">
        <v>544</v>
      </c>
      <c r="C36" s="79"/>
      <c r="D36" s="77" t="s">
        <v>487</v>
      </c>
      <c r="E36" s="77" t="s">
        <v>356</v>
      </c>
      <c r="F36" s="77" t="s">
        <v>545</v>
      </c>
      <c r="G36" s="77" t="s">
        <v>546</v>
      </c>
      <c r="H36" s="77" t="s">
        <v>74</v>
      </c>
      <c r="I36" s="77" t="s">
        <v>75</v>
      </c>
      <c r="J36" s="94">
        <v>46099.696527777778</v>
      </c>
      <c r="K36" s="79"/>
      <c r="L36" s="79"/>
      <c r="M36" s="93" t="s">
        <v>77</v>
      </c>
      <c r="N36" s="59">
        <f>IF(ISBLANK(J36),"",IF(OR(M36="Completed",M36="Closed"),"",IF(H36="Issue",IF(I36="High",WORKDAY(J36,2,DATA!A35:A63),IF(I36="Medium",WORKDAY(J36,14,DATA!A35:A63),IF(OR(I36="Low"),WORKDAY(J36,30,DATA!A35:A63),""))),
"")
))</f>
        <v>46119</v>
      </c>
      <c r="O36" s="60">
        <f ca="1">IF(OR(ISBLANK(#REF!), M36="Completed", M36="Closed", H36&lt;&gt;"Issue"), "",
   (NETWORKDAYS.INTL(TODAY(), N36, 1, DATA!A35:A63) - 1))</f>
        <v>-78</v>
      </c>
      <c r="P36" s="88">
        <f t="shared" ca="1" si="0"/>
        <v>78</v>
      </c>
      <c r="Q36" s="88" t="str">
        <f t="shared" ca="1" si="1"/>
        <v>&gt;60 Days</v>
      </c>
    </row>
    <row r="37" spans="1:17" ht="41.4" x14ac:dyDescent="0.3">
      <c r="A37" s="93">
        <v>35</v>
      </c>
      <c r="B37" s="77" t="s">
        <v>547</v>
      </c>
      <c r="C37" s="77" t="s">
        <v>70</v>
      </c>
      <c r="D37" s="77" t="s">
        <v>548</v>
      </c>
      <c r="E37" s="77" t="s">
        <v>356</v>
      </c>
      <c r="F37" s="77" t="s">
        <v>549</v>
      </c>
      <c r="G37" s="77" t="s">
        <v>550</v>
      </c>
      <c r="H37" s="77" t="s">
        <v>74</v>
      </c>
      <c r="I37" s="77" t="s">
        <v>75</v>
      </c>
      <c r="J37" s="94">
        <v>46099.699305555558</v>
      </c>
      <c r="K37" s="94">
        <v>46099.894444444442</v>
      </c>
      <c r="L37" s="94">
        <v>46106.387499999997</v>
      </c>
      <c r="M37" s="93" t="s">
        <v>76</v>
      </c>
      <c r="N37" s="59" t="str">
        <f>IF(ISBLANK(J37),"",IF(OR(M37="Completed",M37="Closed"),"",IF(H37="Issue",IF(I37="High",WORKDAY(J37,2,DATA!A36:A64),IF(I37="Medium",WORKDAY(J37,14,DATA!A36:A64),IF(OR(I37="Low"),WORKDAY(J37,30,DATA!A36:A64),""))),
"")
))</f>
        <v/>
      </c>
      <c r="O37" s="60" t="str">
        <f ca="1">IF(OR(ISBLANK(#REF!), M37="Completed", M37="Closed", H37&lt;&gt;"Issue"), "",
   (NETWORKDAYS.INTL(TODAY(), N37, 1, DATA!A36:A64) - 1))</f>
        <v/>
      </c>
      <c r="P37" s="88" t="str">
        <f t="shared" ca="1" si="0"/>
        <v/>
      </c>
      <c r="Q37" s="88" t="str">
        <f t="shared" ca="1" si="1"/>
        <v/>
      </c>
    </row>
    <row r="38" spans="1:17" ht="96.6" x14ac:dyDescent="0.3">
      <c r="A38" s="93">
        <v>36</v>
      </c>
      <c r="B38" s="77" t="s">
        <v>551</v>
      </c>
      <c r="C38" s="79"/>
      <c r="D38" s="77" t="s">
        <v>552</v>
      </c>
      <c r="E38" s="77" t="s">
        <v>356</v>
      </c>
      <c r="F38" s="77" t="s">
        <v>553</v>
      </c>
      <c r="G38" s="77" t="s">
        <v>554</v>
      </c>
      <c r="H38" s="77" t="s">
        <v>74</v>
      </c>
      <c r="I38" s="77" t="s">
        <v>75</v>
      </c>
      <c r="J38" s="94">
        <v>46099.701388888891</v>
      </c>
      <c r="K38" s="79"/>
      <c r="L38" s="79"/>
      <c r="M38" s="93" t="s">
        <v>77</v>
      </c>
      <c r="N38" s="59">
        <f>IF(ISBLANK(J38),"",IF(OR(M38="Completed",M38="Closed"),"",IF(H38="Issue",IF(I38="High",WORKDAY(J38,2,DATA!A37:A65),IF(I38="Medium",WORKDAY(J38,14,DATA!A37:A65),IF(OR(I38="Low"),WORKDAY(J38,30,DATA!A37:A65),""))),
"")
))</f>
        <v>46119</v>
      </c>
      <c r="O38" s="60">
        <f ca="1">IF(OR(ISBLANK(#REF!), M38="Completed", M38="Closed", H38&lt;&gt;"Issue"), "",
   (NETWORKDAYS.INTL(TODAY(), N38, 1, DATA!A37:A65) - 1))</f>
        <v>-78</v>
      </c>
      <c r="P38" s="88">
        <f t="shared" ca="1" si="0"/>
        <v>78</v>
      </c>
      <c r="Q38" s="88" t="str">
        <f t="shared" ca="1" si="1"/>
        <v>&gt;60 Days</v>
      </c>
    </row>
    <row r="39" spans="1:17" ht="27.6" x14ac:dyDescent="0.3">
      <c r="A39" s="93">
        <v>37</v>
      </c>
      <c r="B39" s="77" t="s">
        <v>555</v>
      </c>
      <c r="C39" s="79"/>
      <c r="D39" s="77" t="s">
        <v>465</v>
      </c>
      <c r="E39" s="77" t="s">
        <v>356</v>
      </c>
      <c r="F39" s="77" t="s">
        <v>124</v>
      </c>
      <c r="G39" s="77" t="s">
        <v>556</v>
      </c>
      <c r="H39" s="77" t="s">
        <v>74</v>
      </c>
      <c r="I39" s="77" t="s">
        <v>75</v>
      </c>
      <c r="J39" s="94">
        <v>46099.702777777777</v>
      </c>
      <c r="K39" s="79"/>
      <c r="L39" s="79"/>
      <c r="M39" s="93" t="s">
        <v>77</v>
      </c>
      <c r="N39" s="59">
        <f>IF(ISBLANK(J39),"",IF(OR(M39="Completed",M39="Closed"),"",IF(H39="Issue",IF(I39="High",WORKDAY(J39,2,DATA!A38:A66),IF(I39="Medium",WORKDAY(J39,14,DATA!A38:A66),IF(OR(I39="Low"),WORKDAY(J39,30,DATA!A38:A66),""))),
"")
))</f>
        <v>46119</v>
      </c>
      <c r="O39" s="60">
        <f ca="1">IF(OR(ISBLANK(#REF!), M39="Completed", M39="Closed", H39&lt;&gt;"Issue"), "",
   (NETWORKDAYS.INTL(TODAY(), N39, 1, DATA!A38:A66) - 1))</f>
        <v>-78</v>
      </c>
      <c r="P39" s="88">
        <f t="shared" ca="1" si="0"/>
        <v>78</v>
      </c>
      <c r="Q39" s="88" t="str">
        <f t="shared" ca="1" si="1"/>
        <v>&gt;60 Days</v>
      </c>
    </row>
    <row r="40" spans="1:17" ht="27.6" x14ac:dyDescent="0.3">
      <c r="A40" s="93">
        <v>38</v>
      </c>
      <c r="B40" s="77" t="s">
        <v>557</v>
      </c>
      <c r="C40" s="79"/>
      <c r="D40" s="77" t="s">
        <v>548</v>
      </c>
      <c r="E40" s="77" t="s">
        <v>356</v>
      </c>
      <c r="F40" s="77" t="s">
        <v>558</v>
      </c>
      <c r="G40" s="77" t="s">
        <v>559</v>
      </c>
      <c r="H40" s="77" t="s">
        <v>74</v>
      </c>
      <c r="I40" s="77" t="s">
        <v>75</v>
      </c>
      <c r="J40" s="94">
        <v>46099.703472222223</v>
      </c>
      <c r="K40" s="79"/>
      <c r="L40" s="79"/>
      <c r="M40" s="93" t="s">
        <v>77</v>
      </c>
      <c r="N40" s="59">
        <f>IF(ISBLANK(J40),"",IF(OR(M40="Completed",M40="Closed"),"",IF(H40="Issue",IF(I40="High",WORKDAY(J40,2,DATA!A39:A67),IF(I40="Medium",WORKDAY(J40,14,DATA!A39:A67),IF(OR(I40="Low"),WORKDAY(J40,30,DATA!A39:A67),""))),
"")
))</f>
        <v>46119</v>
      </c>
      <c r="O40" s="60">
        <f ca="1">IF(OR(ISBLANK(#REF!), M40="Completed", M40="Closed", H40&lt;&gt;"Issue"), "",
   (NETWORKDAYS.INTL(TODAY(), N40, 1, DATA!A39:A67) - 1))</f>
        <v>-78</v>
      </c>
      <c r="P40" s="88">
        <f t="shared" ca="1" si="0"/>
        <v>78</v>
      </c>
      <c r="Q40" s="88" t="str">
        <f t="shared" ca="1" si="1"/>
        <v>&gt;60 Days</v>
      </c>
    </row>
    <row r="41" spans="1:17" ht="27.6" x14ac:dyDescent="0.3">
      <c r="A41" s="93">
        <v>39</v>
      </c>
      <c r="B41" s="77" t="s">
        <v>560</v>
      </c>
      <c r="C41" s="79"/>
      <c r="D41" s="77" t="s">
        <v>465</v>
      </c>
      <c r="E41" s="77" t="s">
        <v>356</v>
      </c>
      <c r="F41" s="77" t="s">
        <v>561</v>
      </c>
      <c r="G41" s="77" t="s">
        <v>562</v>
      </c>
      <c r="H41" s="77" t="s">
        <v>74</v>
      </c>
      <c r="I41" s="77" t="s">
        <v>75</v>
      </c>
      <c r="J41" s="94">
        <v>46099.70416666667</v>
      </c>
      <c r="K41" s="79"/>
      <c r="L41" s="79"/>
      <c r="M41" s="93" t="s">
        <v>77</v>
      </c>
      <c r="N41" s="59">
        <f>IF(ISBLANK(J41),"",IF(OR(M41="Completed",M41="Closed"),"",IF(H41="Issue",IF(I41="High",WORKDAY(J41,2,DATA!A40:A68),IF(I41="Medium",WORKDAY(J41,14,DATA!A40:A68),IF(OR(I41="Low"),WORKDAY(J41,30,DATA!A40:A68),""))),
"")
))</f>
        <v>46119</v>
      </c>
      <c r="O41" s="60">
        <f ca="1">IF(OR(ISBLANK(#REF!), M41="Completed", M41="Closed", H41&lt;&gt;"Issue"), "",
   (NETWORKDAYS.INTL(TODAY(), N41, 1, DATA!A40:A68) - 1))</f>
        <v>-78</v>
      </c>
      <c r="P41" s="88">
        <f t="shared" ca="1" si="0"/>
        <v>78</v>
      </c>
      <c r="Q41" s="88" t="str">
        <f t="shared" ca="1" si="1"/>
        <v>&gt;60 Days</v>
      </c>
    </row>
    <row r="42" spans="1:17" ht="55.2" x14ac:dyDescent="0.3">
      <c r="A42" s="93">
        <v>40</v>
      </c>
      <c r="B42" s="77" t="s">
        <v>563</v>
      </c>
      <c r="C42" s="77" t="s">
        <v>70</v>
      </c>
      <c r="D42" s="77" t="s">
        <v>477</v>
      </c>
      <c r="E42" s="77" t="s">
        <v>356</v>
      </c>
      <c r="F42" s="77" t="s">
        <v>564</v>
      </c>
      <c r="G42" s="77" t="s">
        <v>565</v>
      </c>
      <c r="H42" s="77" t="s">
        <v>74</v>
      </c>
      <c r="I42" s="77" t="s">
        <v>75</v>
      </c>
      <c r="J42" s="94">
        <v>46099.705555555556</v>
      </c>
      <c r="K42" s="79"/>
      <c r="L42" s="79"/>
      <c r="M42" s="93" t="s">
        <v>566</v>
      </c>
      <c r="N42" s="59">
        <f>IF(ISBLANK(J42),"",IF(OR(M42="Completed",M42="Closed"),"",IF(H42="Issue",IF(I42="High",WORKDAY(J42,2,DATA!A41:A69),IF(I42="Medium",WORKDAY(J42,14,DATA!A41:A69),IF(OR(I42="Low"),WORKDAY(J42,30,DATA!A41:A69),""))),
"")
))</f>
        <v>46119</v>
      </c>
      <c r="O42" s="60">
        <f ca="1">IF(OR(ISBLANK(#REF!), M42="Completed", M42="Closed", H42&lt;&gt;"Issue"), "",
   (NETWORKDAYS.INTL(TODAY(), N42, 1, DATA!A41:A69) - 1))</f>
        <v>-78</v>
      </c>
      <c r="P42" s="88">
        <f t="shared" ca="1" si="0"/>
        <v>78</v>
      </c>
      <c r="Q42" s="88" t="str">
        <f t="shared" ca="1" si="1"/>
        <v>&gt;60 Days</v>
      </c>
    </row>
    <row r="43" spans="1:17" ht="82.8" x14ac:dyDescent="0.3">
      <c r="A43" s="93">
        <v>41</v>
      </c>
      <c r="B43" s="77" t="s">
        <v>567</v>
      </c>
      <c r="C43" s="77" t="s">
        <v>70</v>
      </c>
      <c r="D43" s="77" t="s">
        <v>465</v>
      </c>
      <c r="E43" s="77" t="s">
        <v>356</v>
      </c>
      <c r="F43" s="77" t="s">
        <v>568</v>
      </c>
      <c r="G43" s="77" t="s">
        <v>569</v>
      </c>
      <c r="H43" s="77" t="s">
        <v>74</v>
      </c>
      <c r="I43" s="77" t="s">
        <v>75</v>
      </c>
      <c r="J43" s="94">
        <v>46099.707638888889</v>
      </c>
      <c r="K43" s="94">
        <v>46099.893750000003</v>
      </c>
      <c r="L43" s="94">
        <v>46106.387499999997</v>
      </c>
      <c r="M43" s="93" t="s">
        <v>76</v>
      </c>
      <c r="N43" s="59" t="str">
        <f>IF(ISBLANK(J43),"",IF(OR(M43="Completed",M43="Closed"),"",IF(H43="Issue",IF(I43="High",WORKDAY(J43,2,DATA!A42:A70),IF(I43="Medium",WORKDAY(J43,14,DATA!A42:A70),IF(OR(I43="Low"),WORKDAY(J43,30,DATA!A42:A70),""))),
"")
))</f>
        <v/>
      </c>
      <c r="O43" s="60" t="str">
        <f ca="1">IF(OR(ISBLANK(#REF!), M43="Completed", M43="Closed", H43&lt;&gt;"Issue"), "",
   (NETWORKDAYS.INTL(TODAY(), N43, 1, DATA!A42:A70) - 1))</f>
        <v/>
      </c>
      <c r="P43" s="88" t="str">
        <f t="shared" ca="1" si="0"/>
        <v/>
      </c>
      <c r="Q43" s="88" t="str">
        <f t="shared" ca="1" si="1"/>
        <v/>
      </c>
    </row>
    <row r="44" spans="1:17" ht="41.4" x14ac:dyDescent="0.3">
      <c r="A44" s="93">
        <v>42</v>
      </c>
      <c r="B44" s="77" t="s">
        <v>570</v>
      </c>
      <c r="C44" s="79"/>
      <c r="D44" s="77" t="s">
        <v>465</v>
      </c>
      <c r="E44" s="77" t="s">
        <v>356</v>
      </c>
      <c r="F44" s="77" t="s">
        <v>571</v>
      </c>
      <c r="G44" s="77" t="s">
        <v>572</v>
      </c>
      <c r="H44" s="77" t="s">
        <v>74</v>
      </c>
      <c r="I44" s="77" t="s">
        <v>75</v>
      </c>
      <c r="J44" s="94">
        <v>46099.709027777775</v>
      </c>
      <c r="K44" s="79"/>
      <c r="L44" s="79"/>
      <c r="M44" s="93" t="s">
        <v>77</v>
      </c>
      <c r="N44" s="59">
        <f>IF(ISBLANK(J44),"",IF(OR(M44="Completed",M44="Closed"),"",IF(H44="Issue",IF(I44="High",WORKDAY(J44,2,DATA!A43:A71),IF(I44="Medium",WORKDAY(J44,14,DATA!A43:A71),IF(OR(I44="Low"),WORKDAY(J44,30,DATA!A43:A71),""))),
"")
))</f>
        <v>46119</v>
      </c>
      <c r="O44" s="60">
        <f ca="1">IF(OR(ISBLANK(#REF!), M44="Completed", M44="Closed", H44&lt;&gt;"Issue"), "",
   (NETWORKDAYS.INTL(TODAY(), N44, 1, DATA!A43:A71) - 1))</f>
        <v>-78</v>
      </c>
      <c r="P44" s="88">
        <f t="shared" ca="1" si="0"/>
        <v>78</v>
      </c>
      <c r="Q44" s="88" t="str">
        <f t="shared" ca="1" si="1"/>
        <v>&gt;60 Days</v>
      </c>
    </row>
    <row r="45" spans="1:17" ht="96.6" x14ac:dyDescent="0.3">
      <c r="A45" s="93">
        <v>43</v>
      </c>
      <c r="B45" s="77" t="s">
        <v>573</v>
      </c>
      <c r="C45" s="77" t="s">
        <v>70</v>
      </c>
      <c r="D45" s="77" t="s">
        <v>477</v>
      </c>
      <c r="E45" s="77" t="s">
        <v>356</v>
      </c>
      <c r="F45" s="77" t="s">
        <v>574</v>
      </c>
      <c r="G45" s="77" t="s">
        <v>575</v>
      </c>
      <c r="H45" s="77" t="s">
        <v>74</v>
      </c>
      <c r="I45" s="77" t="s">
        <v>75</v>
      </c>
      <c r="J45" s="94">
        <v>46099.711111111108</v>
      </c>
      <c r="K45" s="79"/>
      <c r="L45" s="79"/>
      <c r="M45" s="93" t="s">
        <v>566</v>
      </c>
      <c r="N45" s="59">
        <f>IF(ISBLANK(J45),"",IF(OR(M45="Completed",M45="Closed"),"",IF(H45="Issue",IF(I45="High",WORKDAY(J45,2,DATA!A44:A72),IF(I45="Medium",WORKDAY(J45,14,DATA!A44:A72),IF(OR(I45="Low"),WORKDAY(J45,30,DATA!A44:A72),""))),
"")
))</f>
        <v>46119</v>
      </c>
      <c r="O45" s="60">
        <f ca="1">IF(OR(ISBLANK(#REF!), M45="Completed", M45="Closed", H45&lt;&gt;"Issue"), "",
   (NETWORKDAYS.INTL(TODAY(), N45, 1, DATA!A44:A72) - 1))</f>
        <v>-78</v>
      </c>
      <c r="P45" s="88">
        <f t="shared" ca="1" si="0"/>
        <v>78</v>
      </c>
      <c r="Q45" s="88" t="str">
        <f t="shared" ca="1" si="1"/>
        <v>&gt;60 Days</v>
      </c>
    </row>
    <row r="46" spans="1:17" ht="96.6" x14ac:dyDescent="0.3">
      <c r="A46" s="93">
        <v>44</v>
      </c>
      <c r="B46" s="77" t="s">
        <v>576</v>
      </c>
      <c r="C46" s="79"/>
      <c r="D46" s="77" t="s">
        <v>465</v>
      </c>
      <c r="E46" s="77" t="s">
        <v>356</v>
      </c>
      <c r="F46" s="77" t="s">
        <v>577</v>
      </c>
      <c r="G46" s="77" t="s">
        <v>578</v>
      </c>
      <c r="H46" s="77" t="s">
        <v>74</v>
      </c>
      <c r="I46" s="77" t="s">
        <v>75</v>
      </c>
      <c r="J46" s="94">
        <v>46099.713888888888</v>
      </c>
      <c r="K46" s="79"/>
      <c r="L46" s="79"/>
      <c r="M46" s="93" t="s">
        <v>77</v>
      </c>
      <c r="N46" s="59">
        <f>IF(ISBLANK(J46),"",IF(OR(M46="Completed",M46="Closed"),"",IF(H46="Issue",IF(I46="High",WORKDAY(J46,2,DATA!A45:A73),IF(I46="Medium",WORKDAY(J46,14,DATA!A45:A73),IF(OR(I46="Low"),WORKDAY(J46,30,DATA!A45:A73),""))),
"")
))</f>
        <v>46119</v>
      </c>
      <c r="O46" s="60">
        <f ca="1">IF(OR(ISBLANK(#REF!), M46="Completed", M46="Closed", H46&lt;&gt;"Issue"), "",
   (NETWORKDAYS.INTL(TODAY(), N46, 1, DATA!A45:A73) - 1))</f>
        <v>-78</v>
      </c>
      <c r="P46" s="88">
        <f t="shared" ca="1" si="0"/>
        <v>78</v>
      </c>
      <c r="Q46" s="88" t="str">
        <f t="shared" ca="1" si="1"/>
        <v>&gt;60 Days</v>
      </c>
    </row>
    <row r="47" spans="1:17" ht="124.2" x14ac:dyDescent="0.3">
      <c r="A47" s="93">
        <v>45</v>
      </c>
      <c r="B47" s="77" t="s">
        <v>579</v>
      </c>
      <c r="C47" s="77" t="s">
        <v>70</v>
      </c>
      <c r="D47" s="77" t="s">
        <v>477</v>
      </c>
      <c r="E47" s="77" t="s">
        <v>356</v>
      </c>
      <c r="F47" s="77" t="s">
        <v>580</v>
      </c>
      <c r="G47" s="77" t="s">
        <v>581</v>
      </c>
      <c r="H47" s="77" t="s">
        <v>74</v>
      </c>
      <c r="I47" s="77" t="s">
        <v>75</v>
      </c>
      <c r="J47" s="94">
        <v>46099.715277777781</v>
      </c>
      <c r="K47" s="94">
        <v>46099.893055555556</v>
      </c>
      <c r="L47" s="94">
        <v>46106.387499999997</v>
      </c>
      <c r="M47" s="93" t="s">
        <v>76</v>
      </c>
      <c r="N47" s="59" t="str">
        <f>IF(ISBLANK(J47),"",IF(OR(M47="Completed",M47="Closed"),"",IF(H47="Issue",IF(I47="High",WORKDAY(J47,2,DATA!A46:A74),IF(I47="Medium",WORKDAY(J47,14,DATA!A46:A74),IF(OR(I47="Low"),WORKDAY(J47,30,DATA!A46:A74),""))),
"")
))</f>
        <v/>
      </c>
      <c r="O47" s="60" t="str">
        <f ca="1">IF(OR(ISBLANK(#REF!), M47="Completed", M47="Closed", H47&lt;&gt;"Issue"), "",
   (NETWORKDAYS.INTL(TODAY(), N47, 1, DATA!A46:A74) - 1))</f>
        <v/>
      </c>
      <c r="P47" s="88" t="str">
        <f t="shared" ca="1" si="0"/>
        <v/>
      </c>
      <c r="Q47" s="88" t="str">
        <f t="shared" ca="1" si="1"/>
        <v/>
      </c>
    </row>
    <row r="48" spans="1:17" ht="41.4" x14ac:dyDescent="0.3">
      <c r="A48" s="93">
        <v>46</v>
      </c>
      <c r="B48" s="77" t="s">
        <v>582</v>
      </c>
      <c r="C48" s="77" t="s">
        <v>70</v>
      </c>
      <c r="D48" s="77" t="s">
        <v>465</v>
      </c>
      <c r="E48" s="77" t="s">
        <v>356</v>
      </c>
      <c r="F48" s="77" t="s">
        <v>583</v>
      </c>
      <c r="G48" s="77" t="s">
        <v>584</v>
      </c>
      <c r="H48" s="77" t="s">
        <v>74</v>
      </c>
      <c r="I48" s="77" t="s">
        <v>75</v>
      </c>
      <c r="J48" s="94">
        <v>46099.716666666667</v>
      </c>
      <c r="K48" s="94">
        <v>46099.892361111109</v>
      </c>
      <c r="L48" s="94">
        <v>46106.387499999997</v>
      </c>
      <c r="M48" s="93" t="s">
        <v>76</v>
      </c>
      <c r="N48" s="59" t="str">
        <f>IF(ISBLANK(J48),"",IF(OR(M48="Completed",M48="Closed"),"",IF(H48="Issue",IF(I48="High",WORKDAY(J48,2,DATA!A47:A75),IF(I48="Medium",WORKDAY(J48,14,DATA!A47:A75),IF(OR(I48="Low"),WORKDAY(J48,30,DATA!A47:A75),""))),
"")
))</f>
        <v/>
      </c>
      <c r="O48" s="60" t="str">
        <f ca="1">IF(OR(ISBLANK(#REF!), M48="Completed", M48="Closed", H48&lt;&gt;"Issue"), "",
   (NETWORKDAYS.INTL(TODAY(), N48, 1, DATA!A47:A75) - 1))</f>
        <v/>
      </c>
      <c r="P48" s="88" t="str">
        <f t="shared" ca="1" si="0"/>
        <v/>
      </c>
      <c r="Q48" s="88" t="str">
        <f t="shared" ca="1" si="1"/>
        <v/>
      </c>
    </row>
    <row r="49" spans="1:17" ht="138" x14ac:dyDescent="0.3">
      <c r="A49" s="93">
        <v>47</v>
      </c>
      <c r="B49" s="77" t="s">
        <v>585</v>
      </c>
      <c r="C49" s="77" t="s">
        <v>70</v>
      </c>
      <c r="D49" s="77" t="s">
        <v>477</v>
      </c>
      <c r="E49" s="77" t="s">
        <v>356</v>
      </c>
      <c r="F49" s="77" t="s">
        <v>586</v>
      </c>
      <c r="G49" s="77" t="s">
        <v>587</v>
      </c>
      <c r="H49" s="77" t="s">
        <v>74</v>
      </c>
      <c r="I49" s="77" t="s">
        <v>75</v>
      </c>
      <c r="J49" s="94">
        <v>46099.718055555553</v>
      </c>
      <c r="K49" s="94">
        <v>46099.892361111109</v>
      </c>
      <c r="L49" s="94">
        <v>46106.387499999997</v>
      </c>
      <c r="M49" s="93" t="s">
        <v>76</v>
      </c>
      <c r="N49" s="59" t="str">
        <f>IF(ISBLANK(J49),"",IF(OR(M49="Completed",M49="Closed"),"",IF(H49="Issue",IF(I49="High",WORKDAY(J49,2,DATA!A48:A76),IF(I49="Medium",WORKDAY(J49,14,DATA!A48:A76),IF(OR(I49="Low"),WORKDAY(J49,30,DATA!A48:A76),""))),
"")
))</f>
        <v/>
      </c>
      <c r="O49" s="60" t="str">
        <f ca="1">IF(OR(ISBLANK(#REF!), M49="Completed", M49="Closed", H49&lt;&gt;"Issue"), "",
   (NETWORKDAYS.INTL(TODAY(), N49, 1, DATA!A48:A76) - 1))</f>
        <v/>
      </c>
      <c r="P49" s="88" t="str">
        <f t="shared" ca="1" si="0"/>
        <v/>
      </c>
      <c r="Q49" s="88" t="str">
        <f t="shared" ca="1" si="1"/>
        <v/>
      </c>
    </row>
    <row r="50" spans="1:17" ht="55.2" x14ac:dyDescent="0.3">
      <c r="A50" s="93">
        <v>48</v>
      </c>
      <c r="B50" s="77" t="s">
        <v>588</v>
      </c>
      <c r="C50" s="77" t="s">
        <v>70</v>
      </c>
      <c r="D50" s="77" t="s">
        <v>465</v>
      </c>
      <c r="E50" s="77" t="s">
        <v>356</v>
      </c>
      <c r="F50" s="77" t="s">
        <v>466</v>
      </c>
      <c r="G50" s="77" t="s">
        <v>589</v>
      </c>
      <c r="H50" s="77" t="s">
        <v>74</v>
      </c>
      <c r="I50" s="77" t="s">
        <v>75</v>
      </c>
      <c r="J50" s="94">
        <v>46099.720138888886</v>
      </c>
      <c r="K50" s="94">
        <v>46099.89166666667</v>
      </c>
      <c r="L50" s="94">
        <v>46106.387499999997</v>
      </c>
      <c r="M50" s="93" t="s">
        <v>76</v>
      </c>
      <c r="N50" s="59" t="str">
        <f>IF(ISBLANK(J50),"",IF(OR(M50="Completed",M50="Closed"),"",IF(H50="Issue",IF(I50="High",WORKDAY(J50,2,DATA!A49:A77),IF(I50="Medium",WORKDAY(J50,14,DATA!A49:A77),IF(OR(I50="Low"),WORKDAY(J50,30,DATA!A49:A77),""))),
"")
))</f>
        <v/>
      </c>
      <c r="O50" s="60" t="str">
        <f ca="1">IF(OR(ISBLANK(#REF!), M50="Completed", M50="Closed", H50&lt;&gt;"Issue"), "",
   (NETWORKDAYS.INTL(TODAY(), N50, 1, DATA!A49:A77) - 1))</f>
        <v/>
      </c>
      <c r="P50" s="88" t="str">
        <f t="shared" ca="1" si="0"/>
        <v/>
      </c>
      <c r="Q50" s="88" t="str">
        <f t="shared" ca="1" si="1"/>
        <v/>
      </c>
    </row>
    <row r="51" spans="1:17" ht="55.2" x14ac:dyDescent="0.3">
      <c r="A51" s="93">
        <v>49</v>
      </c>
      <c r="B51" s="77" t="s">
        <v>590</v>
      </c>
      <c r="C51" s="77" t="s">
        <v>70</v>
      </c>
      <c r="D51" s="77" t="s">
        <v>487</v>
      </c>
      <c r="E51" s="77" t="s">
        <v>356</v>
      </c>
      <c r="F51" s="77" t="s">
        <v>591</v>
      </c>
      <c r="G51" s="77" t="s">
        <v>592</v>
      </c>
      <c r="H51" s="77" t="s">
        <v>74</v>
      </c>
      <c r="I51" s="77" t="s">
        <v>75</v>
      </c>
      <c r="J51" s="94">
        <v>46099.720833333333</v>
      </c>
      <c r="K51" s="94">
        <v>46099.89166666667</v>
      </c>
      <c r="L51" s="94">
        <v>46106.387499999997</v>
      </c>
      <c r="M51" s="93" t="s">
        <v>76</v>
      </c>
      <c r="N51" s="59" t="str">
        <f>IF(ISBLANK(J51),"",IF(OR(M51="Completed",M51="Closed"),"",IF(H51="Issue",IF(I51="High",WORKDAY(J51,2,DATA!A50:A78),IF(I51="Medium",WORKDAY(J51,14,DATA!A50:A78),IF(OR(I51="Low"),WORKDAY(J51,30,DATA!A50:A78),""))),
"")
))</f>
        <v/>
      </c>
      <c r="O51" s="60" t="str">
        <f ca="1">IF(OR(ISBLANK(#REF!), M51="Completed", M51="Closed", H51&lt;&gt;"Issue"), "",
   (NETWORKDAYS.INTL(TODAY(), N51, 1, DATA!A50:A78) - 1))</f>
        <v/>
      </c>
      <c r="P51" s="88" t="str">
        <f t="shared" ca="1" si="0"/>
        <v/>
      </c>
      <c r="Q51" s="88" t="str">
        <f t="shared" ca="1" si="1"/>
        <v/>
      </c>
    </row>
    <row r="52" spans="1:17" ht="96.6" x14ac:dyDescent="0.3">
      <c r="A52" s="93">
        <v>50</v>
      </c>
      <c r="B52" s="77" t="s">
        <v>593</v>
      </c>
      <c r="C52" s="77" t="s">
        <v>70</v>
      </c>
      <c r="D52" s="77" t="s">
        <v>477</v>
      </c>
      <c r="E52" s="77" t="s">
        <v>356</v>
      </c>
      <c r="F52" s="77" t="s">
        <v>594</v>
      </c>
      <c r="G52" s="77" t="s">
        <v>595</v>
      </c>
      <c r="H52" s="77" t="s">
        <v>74</v>
      </c>
      <c r="I52" s="77" t="s">
        <v>75</v>
      </c>
      <c r="J52" s="94">
        <v>46099.722222222219</v>
      </c>
      <c r="K52" s="94">
        <v>46140.652083333334</v>
      </c>
      <c r="L52" s="94">
        <v>46159.879166666666</v>
      </c>
      <c r="M52" s="93" t="s">
        <v>76</v>
      </c>
      <c r="N52" s="59" t="str">
        <f>IF(ISBLANK(J52),"",IF(OR(M52="Completed",M52="Closed"),"",IF(H52="Issue",IF(I52="High",WORKDAY(J52,2,DATA!A51:A79),IF(I52="Medium",WORKDAY(J52,14,DATA!A51:A79),IF(OR(I52="Low"),WORKDAY(J52,30,DATA!A51:A79),""))),
"")
))</f>
        <v/>
      </c>
      <c r="O52" s="60" t="str">
        <f ca="1">IF(OR(ISBLANK(#REF!), M52="Completed", M52="Closed", H52&lt;&gt;"Issue"), "",
   (NETWORKDAYS.INTL(TODAY(), N52, 1, DATA!A51:A79) - 1))</f>
        <v/>
      </c>
      <c r="P52" s="88" t="str">
        <f t="shared" ca="1" si="0"/>
        <v/>
      </c>
      <c r="Q52" s="88" t="str">
        <f t="shared" ca="1" si="1"/>
        <v/>
      </c>
    </row>
    <row r="53" spans="1:17" ht="69" x14ac:dyDescent="0.3">
      <c r="A53" s="93">
        <v>51</v>
      </c>
      <c r="B53" s="77" t="s">
        <v>596</v>
      </c>
      <c r="C53" s="77" t="s">
        <v>70</v>
      </c>
      <c r="D53" s="77" t="s">
        <v>477</v>
      </c>
      <c r="E53" s="77" t="s">
        <v>356</v>
      </c>
      <c r="F53" s="77" t="s">
        <v>597</v>
      </c>
      <c r="G53" s="77" t="s">
        <v>598</v>
      </c>
      <c r="H53" s="77" t="s">
        <v>74</v>
      </c>
      <c r="I53" s="77" t="s">
        <v>75</v>
      </c>
      <c r="J53" s="94">
        <v>46099.722916666666</v>
      </c>
      <c r="K53" s="94">
        <v>46099.890972222223</v>
      </c>
      <c r="L53" s="94">
        <v>46106.387499999997</v>
      </c>
      <c r="M53" s="93" t="s">
        <v>76</v>
      </c>
      <c r="N53" s="59" t="str">
        <f>IF(ISBLANK(J53),"",IF(OR(M53="Completed",M53="Closed"),"",IF(H53="Issue",IF(I53="High",WORKDAY(J53,2,DATA!A52:A80),IF(I53="Medium",WORKDAY(J53,14,DATA!A52:A80),IF(OR(I53="Low"),WORKDAY(J53,30,DATA!A52:A80),""))),
"")
))</f>
        <v/>
      </c>
      <c r="O53" s="60" t="str">
        <f ca="1">IF(OR(ISBLANK(#REF!), M53="Completed", M53="Closed", H53&lt;&gt;"Issue"), "",
   (NETWORKDAYS.INTL(TODAY(), N53, 1, DATA!A52:A80) - 1))</f>
        <v/>
      </c>
      <c r="P53" s="88" t="str">
        <f t="shared" ca="1" si="0"/>
        <v/>
      </c>
      <c r="Q53" s="88" t="str">
        <f t="shared" ca="1" si="1"/>
        <v/>
      </c>
    </row>
    <row r="54" spans="1:17" ht="55.2" x14ac:dyDescent="0.3">
      <c r="A54" s="93">
        <v>52</v>
      </c>
      <c r="B54" s="77" t="s">
        <v>599</v>
      </c>
      <c r="C54" s="79"/>
      <c r="D54" s="77" t="s">
        <v>487</v>
      </c>
      <c r="E54" s="77" t="s">
        <v>356</v>
      </c>
      <c r="F54" s="77" t="s">
        <v>600</v>
      </c>
      <c r="G54" s="77" t="s">
        <v>601</v>
      </c>
      <c r="H54" s="77" t="s">
        <v>74</v>
      </c>
      <c r="I54" s="77" t="s">
        <v>75</v>
      </c>
      <c r="J54" s="94">
        <v>46099.731944444444</v>
      </c>
      <c r="K54" s="79"/>
      <c r="L54" s="79"/>
      <c r="M54" s="93" t="s">
        <v>77</v>
      </c>
      <c r="N54" s="59">
        <f>IF(ISBLANK(J54),"",IF(OR(M54="Completed",M54="Closed"),"",IF(H54="Issue",IF(I54="High",WORKDAY(J54,2,DATA!A53:A81),IF(I54="Medium",WORKDAY(J54,14,DATA!A53:A81),IF(OR(I54="Low"),WORKDAY(J54,30,DATA!A53:A81),""))),
"")
))</f>
        <v>46119</v>
      </c>
      <c r="O54" s="60">
        <f ca="1">IF(OR(ISBLANK(#REF!), M54="Completed", M54="Closed", H54&lt;&gt;"Issue"), "",
   (NETWORKDAYS.INTL(TODAY(), N54, 1, DATA!A53:A81) - 1))</f>
        <v>-78</v>
      </c>
      <c r="P54" s="88">
        <f t="shared" ca="1" si="0"/>
        <v>78</v>
      </c>
      <c r="Q54" s="88" t="str">
        <f t="shared" ca="1" si="1"/>
        <v>&gt;60 Days</v>
      </c>
    </row>
    <row r="55" spans="1:17" ht="82.8" x14ac:dyDescent="0.3">
      <c r="A55" s="93">
        <v>53</v>
      </c>
      <c r="B55" s="77" t="s">
        <v>602</v>
      </c>
      <c r="C55" s="79"/>
      <c r="D55" s="77" t="s">
        <v>465</v>
      </c>
      <c r="E55" s="77" t="s">
        <v>356</v>
      </c>
      <c r="F55" s="77" t="s">
        <v>466</v>
      </c>
      <c r="G55" s="77" t="s">
        <v>603</v>
      </c>
      <c r="H55" s="77" t="s">
        <v>74</v>
      </c>
      <c r="I55" s="77" t="s">
        <v>75</v>
      </c>
      <c r="J55" s="94">
        <v>46099.732638888891</v>
      </c>
      <c r="K55" s="79"/>
      <c r="L55" s="79"/>
      <c r="M55" s="93" t="s">
        <v>77</v>
      </c>
      <c r="N55" s="59">
        <f>IF(ISBLANK(J55),"",IF(OR(M55="Completed",M55="Closed"),"",IF(H55="Issue",IF(I55="High",WORKDAY(J55,2,DATA!A54:A82),IF(I55="Medium",WORKDAY(J55,14,DATA!A54:A82),IF(OR(I55="Low"),WORKDAY(J55,30,DATA!A54:A82),""))),
"")
))</f>
        <v>46119</v>
      </c>
      <c r="O55" s="60">
        <f ca="1">IF(OR(ISBLANK(#REF!), M55="Completed", M55="Closed", H55&lt;&gt;"Issue"), "",
   (NETWORKDAYS.INTL(TODAY(), N55, 1, DATA!A54:A82) - 1))</f>
        <v>-78</v>
      </c>
      <c r="P55" s="88">
        <f t="shared" ca="1" si="0"/>
        <v>78</v>
      </c>
      <c r="Q55" s="88" t="str">
        <f t="shared" ca="1" si="1"/>
        <v>&gt;60 Days</v>
      </c>
    </row>
    <row r="56" spans="1:17" ht="41.4" x14ac:dyDescent="0.3">
      <c r="A56" s="93">
        <v>54</v>
      </c>
      <c r="B56" s="77" t="s">
        <v>604</v>
      </c>
      <c r="C56" s="77" t="s">
        <v>70</v>
      </c>
      <c r="D56" s="77" t="s">
        <v>477</v>
      </c>
      <c r="E56" s="77" t="s">
        <v>356</v>
      </c>
      <c r="F56" s="77" t="s">
        <v>605</v>
      </c>
      <c r="G56" s="77" t="s">
        <v>606</v>
      </c>
      <c r="H56" s="77" t="s">
        <v>74</v>
      </c>
      <c r="I56" s="77" t="s">
        <v>75</v>
      </c>
      <c r="J56" s="94">
        <v>46099.73333333333</v>
      </c>
      <c r="K56" s="79"/>
      <c r="L56" s="79"/>
      <c r="M56" s="93" t="s">
        <v>566</v>
      </c>
      <c r="N56" s="59">
        <f>IF(ISBLANK(J56),"",IF(OR(M56="Completed",M56="Closed"),"",IF(H56="Issue",IF(I56="High",WORKDAY(J56,2,DATA!A55:A83),IF(I56="Medium",WORKDAY(J56,14,DATA!A55:A83),IF(OR(I56="Low"),WORKDAY(J56,30,DATA!A55:A83),""))),
"")
))</f>
        <v>46119</v>
      </c>
      <c r="O56" s="60">
        <f ca="1">IF(OR(ISBLANK(#REF!), M56="Completed", M56="Closed", H56&lt;&gt;"Issue"), "",
   (NETWORKDAYS.INTL(TODAY(), N56, 1, DATA!A55:A83) - 1))</f>
        <v>-78</v>
      </c>
      <c r="P56" s="88">
        <f t="shared" ca="1" si="0"/>
        <v>78</v>
      </c>
      <c r="Q56" s="88" t="str">
        <f t="shared" ca="1" si="1"/>
        <v>&gt;60 Days</v>
      </c>
    </row>
    <row r="57" spans="1:17" ht="110.4" customHeight="1" x14ac:dyDescent="0.3">
      <c r="A57" s="93">
        <v>55</v>
      </c>
      <c r="B57" s="77" t="s">
        <v>607</v>
      </c>
      <c r="C57" s="77" t="s">
        <v>70</v>
      </c>
      <c r="D57" s="77" t="s">
        <v>477</v>
      </c>
      <c r="E57" s="77" t="s">
        <v>356</v>
      </c>
      <c r="F57" s="77" t="s">
        <v>608</v>
      </c>
      <c r="G57" s="77" t="s">
        <v>609</v>
      </c>
      <c r="H57" s="77" t="s">
        <v>74</v>
      </c>
      <c r="I57" s="77" t="s">
        <v>75</v>
      </c>
      <c r="J57" s="94">
        <v>46099.734722222223</v>
      </c>
      <c r="K57" s="94">
        <v>46122.456250000003</v>
      </c>
      <c r="L57" s="94">
        <v>46159.881249999999</v>
      </c>
      <c r="M57" s="93" t="s">
        <v>76</v>
      </c>
      <c r="N57" s="59" t="str">
        <f>IF(ISBLANK(J57),"",IF(OR(M57="Completed",M57="Closed"),"",IF(H57="Issue",IF(I57="High",WORKDAY(J57,2,DATA!A56:A84),IF(I57="Medium",WORKDAY(J57,14,DATA!A56:A84),IF(OR(I57="Low"),WORKDAY(J57,30,DATA!A56:A84),""))),
"")
))</f>
        <v/>
      </c>
      <c r="O57" s="60" t="str">
        <f ca="1">IF(OR(ISBLANK(#REF!), M57="Completed", M57="Closed", H57&lt;&gt;"Issue"), "",
   (NETWORKDAYS.INTL(TODAY(), N57, 1, DATA!A56:A84) - 1))</f>
        <v/>
      </c>
      <c r="P57" s="88" t="str">
        <f t="shared" ca="1" si="0"/>
        <v/>
      </c>
      <c r="Q57" s="88" t="str">
        <f t="shared" ca="1" si="1"/>
        <v/>
      </c>
    </row>
    <row r="58" spans="1:17" ht="124.2" x14ac:dyDescent="0.3">
      <c r="A58" s="93">
        <v>56</v>
      </c>
      <c r="B58" s="77" t="s">
        <v>610</v>
      </c>
      <c r="C58" s="77" t="s">
        <v>70</v>
      </c>
      <c r="D58" s="77" t="s">
        <v>477</v>
      </c>
      <c r="E58" s="77" t="s">
        <v>356</v>
      </c>
      <c r="F58" s="77" t="s">
        <v>611</v>
      </c>
      <c r="G58" s="77" t="s">
        <v>612</v>
      </c>
      <c r="H58" s="77" t="s">
        <v>74</v>
      </c>
      <c r="I58" s="77" t="s">
        <v>75</v>
      </c>
      <c r="J58" s="94">
        <v>46099.73541666667</v>
      </c>
      <c r="K58" s="94">
        <v>46099.890277777777</v>
      </c>
      <c r="L58" s="94">
        <v>46106.387499999997</v>
      </c>
      <c r="M58" s="93" t="s">
        <v>76</v>
      </c>
      <c r="N58" s="59" t="str">
        <f>IF(ISBLANK(J58),"",IF(OR(M58="Completed",M58="Closed"),"",IF(H58="Issue",IF(I58="High",WORKDAY(J58,2,DATA!A57:A85),IF(I58="Medium",WORKDAY(J58,14,DATA!A57:A85),IF(OR(I58="Low"),WORKDAY(J58,30,DATA!A57:A85),""))),
"")
))</f>
        <v/>
      </c>
      <c r="O58" s="60" t="str">
        <f ca="1">IF(OR(ISBLANK(#REF!), M58="Completed", M58="Closed", H58&lt;&gt;"Issue"), "",
   (NETWORKDAYS.INTL(TODAY(), N58, 1, DATA!A57:A85) - 1))</f>
        <v/>
      </c>
      <c r="P58" s="88" t="str">
        <f t="shared" ca="1" si="0"/>
        <v/>
      </c>
      <c r="Q58" s="88" t="str">
        <f t="shared" ca="1" si="1"/>
        <v/>
      </c>
    </row>
    <row r="59" spans="1:17" ht="96.6" x14ac:dyDescent="0.3">
      <c r="A59" s="93">
        <v>57</v>
      </c>
      <c r="B59" s="77" t="s">
        <v>613</v>
      </c>
      <c r="C59" s="77" t="s">
        <v>70</v>
      </c>
      <c r="D59" s="77" t="s">
        <v>465</v>
      </c>
      <c r="E59" s="77" t="s">
        <v>356</v>
      </c>
      <c r="F59" s="77" t="s">
        <v>608</v>
      </c>
      <c r="G59" s="77" t="s">
        <v>614</v>
      </c>
      <c r="H59" s="77" t="s">
        <v>74</v>
      </c>
      <c r="I59" s="77" t="s">
        <v>75</v>
      </c>
      <c r="J59" s="94">
        <v>46099.736111111109</v>
      </c>
      <c r="K59" s="94">
        <v>46099.88958333333</v>
      </c>
      <c r="L59" s="94">
        <v>46106.387499999997</v>
      </c>
      <c r="M59" s="93" t="s">
        <v>76</v>
      </c>
      <c r="N59" s="59" t="str">
        <f>IF(ISBLANK(J59),"",IF(OR(M59="Completed",M59="Closed"),"",IF(H59="Issue",IF(I59="High",WORKDAY(J59,2,DATA!A58:A86),IF(I59="Medium",WORKDAY(J59,14,DATA!A58:A86),IF(OR(I59="Low"),WORKDAY(J59,30,DATA!A58:A86),""))),
"")
))</f>
        <v/>
      </c>
      <c r="O59" s="60" t="str">
        <f ca="1">IF(OR(ISBLANK(#REF!), M59="Completed", M59="Closed", H59&lt;&gt;"Issue"), "",
   (NETWORKDAYS.INTL(TODAY(), N59, 1, DATA!A58:A86) - 1))</f>
        <v/>
      </c>
      <c r="P59" s="88" t="str">
        <f t="shared" ca="1" si="0"/>
        <v/>
      </c>
      <c r="Q59" s="88" t="str">
        <f t="shared" ca="1" si="1"/>
        <v/>
      </c>
    </row>
    <row r="60" spans="1:17" ht="41.4" x14ac:dyDescent="0.3">
      <c r="A60" s="93">
        <v>58</v>
      </c>
      <c r="B60" s="77" t="s">
        <v>615</v>
      </c>
      <c r="C60" s="77" t="s">
        <v>70</v>
      </c>
      <c r="D60" s="77" t="s">
        <v>465</v>
      </c>
      <c r="E60" s="77" t="s">
        <v>356</v>
      </c>
      <c r="F60" s="77" t="s">
        <v>121</v>
      </c>
      <c r="G60" s="77" t="s">
        <v>616</v>
      </c>
      <c r="H60" s="77" t="s">
        <v>74</v>
      </c>
      <c r="I60" s="77" t="s">
        <v>75</v>
      </c>
      <c r="J60" s="94">
        <v>46099.738194444442</v>
      </c>
      <c r="K60" s="94">
        <v>46099.88958333333</v>
      </c>
      <c r="L60" s="94">
        <v>46106.387499999997</v>
      </c>
      <c r="M60" s="93" t="s">
        <v>76</v>
      </c>
      <c r="N60" s="59" t="str">
        <f>IF(ISBLANK(J60),"",IF(OR(M60="Completed",M60="Closed"),"",IF(H60="Issue",IF(I60="High",WORKDAY(J60,2,DATA!A59:A87),IF(I60="Medium",WORKDAY(J60,14,DATA!A59:A87),IF(OR(I60="Low"),WORKDAY(J60,30,DATA!A59:A87),""))),
"")
))</f>
        <v/>
      </c>
      <c r="O60" s="60" t="str">
        <f ca="1">IF(OR(ISBLANK(#REF!), M60="Completed", M60="Closed", H60&lt;&gt;"Issue"), "",
   (NETWORKDAYS.INTL(TODAY(), N60, 1, DATA!A59:A87) - 1))</f>
        <v/>
      </c>
      <c r="P60" s="88" t="str">
        <f t="shared" ca="1" si="0"/>
        <v/>
      </c>
      <c r="Q60" s="88" t="str">
        <f t="shared" ca="1" si="1"/>
        <v/>
      </c>
    </row>
    <row r="61" spans="1:17" ht="96.6" x14ac:dyDescent="0.3">
      <c r="A61" s="93">
        <v>59</v>
      </c>
      <c r="B61" s="77" t="s">
        <v>617</v>
      </c>
      <c r="C61" s="79"/>
      <c r="D61" s="77" t="s">
        <v>487</v>
      </c>
      <c r="E61" s="77" t="s">
        <v>356</v>
      </c>
      <c r="F61" s="77" t="s">
        <v>600</v>
      </c>
      <c r="G61" s="77" t="s">
        <v>618</v>
      </c>
      <c r="H61" s="77" t="s">
        <v>74</v>
      </c>
      <c r="I61" s="77" t="s">
        <v>75</v>
      </c>
      <c r="J61" s="94">
        <v>46099.738888888889</v>
      </c>
      <c r="K61" s="79"/>
      <c r="L61" s="79"/>
      <c r="M61" s="93" t="s">
        <v>77</v>
      </c>
      <c r="N61" s="59">
        <f>IF(ISBLANK(J61),"",IF(OR(M61="Completed",M61="Closed"),"",IF(H61="Issue",IF(I61="High",WORKDAY(J61,2,DATA!A60:A88),IF(I61="Medium",WORKDAY(J61,14,DATA!A60:A88),IF(OR(I61="Low"),WORKDAY(J61,30,DATA!A60:A88),""))),
"")
))</f>
        <v>46119</v>
      </c>
      <c r="O61" s="60">
        <f ca="1">IF(OR(ISBLANK(#REF!), M61="Completed", M61="Closed", H61&lt;&gt;"Issue"), "",
   (NETWORKDAYS.INTL(TODAY(), N61, 1, DATA!A60:A88) - 1))</f>
        <v>-78</v>
      </c>
      <c r="P61" s="88">
        <f t="shared" ca="1" si="0"/>
        <v>78</v>
      </c>
      <c r="Q61" s="88" t="str">
        <f t="shared" ca="1" si="1"/>
        <v>&gt;60 Days</v>
      </c>
    </row>
    <row r="62" spans="1:17" ht="110.4" x14ac:dyDescent="0.3">
      <c r="A62" s="93">
        <v>60</v>
      </c>
      <c r="B62" s="77" t="s">
        <v>619</v>
      </c>
      <c r="C62" s="77" t="s">
        <v>70</v>
      </c>
      <c r="D62" s="77" t="s">
        <v>465</v>
      </c>
      <c r="E62" s="77" t="s">
        <v>356</v>
      </c>
      <c r="F62" s="77" t="s">
        <v>620</v>
      </c>
      <c r="G62" s="77" t="s">
        <v>621</v>
      </c>
      <c r="H62" s="77" t="s">
        <v>74</v>
      </c>
      <c r="I62" s="77" t="s">
        <v>75</v>
      </c>
      <c r="J62" s="94">
        <v>46099.740277777775</v>
      </c>
      <c r="K62" s="79"/>
      <c r="L62" s="79"/>
      <c r="M62" s="93" t="s">
        <v>566</v>
      </c>
      <c r="N62" s="59">
        <f>IF(ISBLANK(J62),"",IF(OR(M62="Completed",M62="Closed"),"",IF(H62="Issue",IF(I62="High",WORKDAY(J62,2,DATA!A61:A89),IF(I62="Medium",WORKDAY(J62,14,DATA!A61:A89),IF(OR(I62="Low"),WORKDAY(J62,30,DATA!A61:A89),""))),
"")
))</f>
        <v>46119</v>
      </c>
      <c r="O62" s="60">
        <f ca="1">IF(OR(ISBLANK(#REF!), M62="Completed", M62="Closed", H62&lt;&gt;"Issue"), "",
   (NETWORKDAYS.INTL(TODAY(), N62, 1, DATA!A61:A89) - 1))</f>
        <v>-78</v>
      </c>
      <c r="P62" s="88">
        <f t="shared" ca="1" si="0"/>
        <v>78</v>
      </c>
      <c r="Q62" s="88" t="str">
        <f t="shared" ca="1" si="1"/>
        <v>&gt;60 Days</v>
      </c>
    </row>
    <row r="63" spans="1:17" ht="41.4" x14ac:dyDescent="0.3">
      <c r="A63" s="93">
        <v>61</v>
      </c>
      <c r="B63" s="77" t="s">
        <v>622</v>
      </c>
      <c r="C63" s="77" t="s">
        <v>70</v>
      </c>
      <c r="D63" s="77" t="s">
        <v>465</v>
      </c>
      <c r="E63" s="77" t="s">
        <v>356</v>
      </c>
      <c r="F63" s="77" t="s">
        <v>620</v>
      </c>
      <c r="G63" s="77" t="s">
        <v>623</v>
      </c>
      <c r="H63" s="77" t="s">
        <v>74</v>
      </c>
      <c r="I63" s="77" t="s">
        <v>75</v>
      </c>
      <c r="J63" s="94">
        <v>46099.741666666669</v>
      </c>
      <c r="K63" s="94">
        <v>46136.613194444442</v>
      </c>
      <c r="L63" s="94">
        <v>46136.614583333336</v>
      </c>
      <c r="M63" s="93" t="s">
        <v>76</v>
      </c>
      <c r="N63" s="59" t="str">
        <f>IF(ISBLANK(J63),"",IF(OR(M63="Completed",M63="Closed"),"",IF(H63="Issue",IF(I63="High",WORKDAY(J63,2,DATA!A62:A90),IF(I63="Medium",WORKDAY(J63,14,DATA!A62:A90),IF(OR(I63="Low"),WORKDAY(J63,30,DATA!A62:A90),""))),
"")
))</f>
        <v/>
      </c>
      <c r="O63" s="60" t="str">
        <f ca="1">IF(OR(ISBLANK(#REF!), M63="Completed", M63="Closed", H63&lt;&gt;"Issue"), "",
   (NETWORKDAYS.INTL(TODAY(), N63, 1, DATA!A62:A90) - 1))</f>
        <v/>
      </c>
      <c r="P63" s="88" t="str">
        <f t="shared" ca="1" si="0"/>
        <v/>
      </c>
      <c r="Q63" s="88" t="str">
        <f t="shared" ca="1" si="1"/>
        <v/>
      </c>
    </row>
    <row r="64" spans="1:17" ht="69" x14ac:dyDescent="0.3">
      <c r="A64" s="93">
        <v>62</v>
      </c>
      <c r="B64" s="77" t="s">
        <v>624</v>
      </c>
      <c r="C64" s="77" t="s">
        <v>70</v>
      </c>
      <c r="D64" s="77" t="s">
        <v>465</v>
      </c>
      <c r="E64" s="77" t="s">
        <v>356</v>
      </c>
      <c r="F64" s="77" t="s">
        <v>500</v>
      </c>
      <c r="G64" s="77" t="s">
        <v>625</v>
      </c>
      <c r="H64" s="77" t="s">
        <v>74</v>
      </c>
      <c r="I64" s="77" t="s">
        <v>75</v>
      </c>
      <c r="J64" s="94">
        <v>46099.819444444445</v>
      </c>
      <c r="K64" s="94">
        <v>46099.888888888891</v>
      </c>
      <c r="L64" s="94">
        <v>46106.387499999997</v>
      </c>
      <c r="M64" s="93" t="s">
        <v>76</v>
      </c>
      <c r="N64" s="59" t="str">
        <f>IF(ISBLANK(J64),"",IF(OR(M64="Completed",M64="Closed"),"",IF(H64="Issue",IF(I64="High",WORKDAY(J64,2,DATA!A63:A91),IF(I64="Medium",WORKDAY(J64,14,DATA!A63:A91),IF(OR(I64="Low"),WORKDAY(J64,30,DATA!A63:A91),""))),
"")
))</f>
        <v/>
      </c>
      <c r="O64" s="60" t="str">
        <f ca="1">IF(OR(ISBLANK(#REF!), M64="Completed", M64="Closed", H64&lt;&gt;"Issue"), "",
   (NETWORKDAYS.INTL(TODAY(), N64, 1, DATA!A63:A91) - 1))</f>
        <v/>
      </c>
      <c r="P64" s="88" t="str">
        <f t="shared" ca="1" si="0"/>
        <v/>
      </c>
      <c r="Q64" s="88" t="str">
        <f t="shared" ca="1" si="1"/>
        <v/>
      </c>
    </row>
    <row r="65" spans="1:17" ht="124.2" x14ac:dyDescent="0.3">
      <c r="A65" s="93">
        <v>63</v>
      </c>
      <c r="B65" s="77" t="s">
        <v>626</v>
      </c>
      <c r="C65" s="77" t="s">
        <v>70</v>
      </c>
      <c r="D65" s="77" t="s">
        <v>465</v>
      </c>
      <c r="E65" s="77" t="s">
        <v>356</v>
      </c>
      <c r="F65" s="77" t="s">
        <v>627</v>
      </c>
      <c r="G65" s="77" t="s">
        <v>628</v>
      </c>
      <c r="H65" s="77" t="s">
        <v>74</v>
      </c>
      <c r="I65" s="77" t="s">
        <v>75</v>
      </c>
      <c r="J65" s="94">
        <v>46099.820138888892</v>
      </c>
      <c r="K65" s="94">
        <v>46099.888194444444</v>
      </c>
      <c r="L65" s="94">
        <v>46106.387499999997</v>
      </c>
      <c r="M65" s="93" t="s">
        <v>76</v>
      </c>
      <c r="N65" s="59" t="str">
        <f>IF(ISBLANK(J65),"",IF(OR(M65="Completed",M65="Closed"),"",IF(H65="Issue",IF(I65="High",WORKDAY(J65,2,DATA!A64:A92),IF(I65="Medium",WORKDAY(J65,14,DATA!A64:A92),IF(OR(I65="Low"),WORKDAY(J65,30,DATA!A64:A92),""))),
"")
))</f>
        <v/>
      </c>
      <c r="O65" s="60" t="str">
        <f ca="1">IF(OR(ISBLANK(#REF!), M65="Completed", M65="Closed", H65&lt;&gt;"Issue"), "",
   (NETWORKDAYS.INTL(TODAY(), N65, 1, DATA!A64:A92) - 1))</f>
        <v/>
      </c>
      <c r="P65" s="88" t="str">
        <f t="shared" ca="1" si="0"/>
        <v/>
      </c>
      <c r="Q65" s="88" t="str">
        <f t="shared" ca="1" si="1"/>
        <v/>
      </c>
    </row>
    <row r="66" spans="1:17" ht="41.4" x14ac:dyDescent="0.3">
      <c r="A66" s="93">
        <v>64</v>
      </c>
      <c r="B66" s="77" t="s">
        <v>629</v>
      </c>
      <c r="C66" s="77" t="s">
        <v>70</v>
      </c>
      <c r="D66" s="77" t="s">
        <v>465</v>
      </c>
      <c r="E66" s="77" t="s">
        <v>356</v>
      </c>
      <c r="F66" s="77" t="s">
        <v>630</v>
      </c>
      <c r="G66" s="77" t="s">
        <v>631</v>
      </c>
      <c r="H66" s="77" t="s">
        <v>74</v>
      </c>
      <c r="I66" s="77" t="s">
        <v>75</v>
      </c>
      <c r="J66" s="94">
        <v>46099.821527777778</v>
      </c>
      <c r="K66" s="94">
        <v>46099.888194444444</v>
      </c>
      <c r="L66" s="94">
        <v>46106.387499999997</v>
      </c>
      <c r="M66" s="93" t="s">
        <v>76</v>
      </c>
      <c r="N66" s="59" t="str">
        <f>IF(ISBLANK(J66),"",IF(OR(M66="Completed",M66="Closed"),"",IF(H66="Issue",IF(I66="High",WORKDAY(J66,2,DATA!A65:A93),IF(I66="Medium",WORKDAY(J66,14,DATA!A65:A93),IF(OR(I66="Low"),WORKDAY(J66,30,DATA!A65:A93),""))),
"")
))</f>
        <v/>
      </c>
      <c r="O66" s="60" t="str">
        <f ca="1">IF(OR(ISBLANK(#REF!), M66="Completed", M66="Closed", H66&lt;&gt;"Issue"), "",
   (NETWORKDAYS.INTL(TODAY(), N66, 1, DATA!A65:A93) - 1))</f>
        <v/>
      </c>
      <c r="P66" s="88" t="str">
        <f t="shared" ca="1" si="0"/>
        <v/>
      </c>
      <c r="Q66" s="88" t="str">
        <f t="shared" ca="1" si="1"/>
        <v/>
      </c>
    </row>
    <row r="67" spans="1:17" ht="69" x14ac:dyDescent="0.3">
      <c r="A67" s="93">
        <v>65</v>
      </c>
      <c r="B67" s="77" t="s">
        <v>632</v>
      </c>
      <c r="C67" s="77" t="s">
        <v>70</v>
      </c>
      <c r="D67" s="77" t="s">
        <v>465</v>
      </c>
      <c r="E67" s="77" t="s">
        <v>356</v>
      </c>
      <c r="F67" s="77" t="s">
        <v>633</v>
      </c>
      <c r="G67" s="77" t="s">
        <v>634</v>
      </c>
      <c r="H67" s="77" t="s">
        <v>74</v>
      </c>
      <c r="I67" s="77" t="s">
        <v>75</v>
      </c>
      <c r="J67" s="94">
        <v>46099.822222222225</v>
      </c>
      <c r="K67" s="94">
        <v>46099.887499999997</v>
      </c>
      <c r="L67" s="94">
        <v>46106.386805555558</v>
      </c>
      <c r="M67" s="93" t="s">
        <v>76</v>
      </c>
      <c r="N67" s="59" t="str">
        <f>IF(ISBLANK(J67),"",IF(OR(M67="Completed",M67="Closed"),"",IF(H67="Issue",IF(I67="High",WORKDAY(J67,2,DATA!A66:A94),IF(I67="Medium",WORKDAY(J67,14,DATA!A66:A94),IF(OR(I67="Low"),WORKDAY(J67,30,DATA!A66:A94),""))),
"")
))</f>
        <v/>
      </c>
      <c r="O67" s="60" t="str">
        <f ca="1">IF(OR(ISBLANK(#REF!), M67="Completed", M67="Closed", H67&lt;&gt;"Issue"), "",
   (NETWORKDAYS.INTL(TODAY(), N67, 1, DATA!A66:A94) - 1))</f>
        <v/>
      </c>
      <c r="P67" s="88" t="str">
        <f t="shared" ca="1" si="0"/>
        <v/>
      </c>
      <c r="Q67" s="88" t="str">
        <f t="shared" ca="1" si="1"/>
        <v/>
      </c>
    </row>
    <row r="68" spans="1:17" ht="41.4" x14ac:dyDescent="0.3">
      <c r="A68" s="93">
        <v>66</v>
      </c>
      <c r="B68" s="77" t="s">
        <v>635</v>
      </c>
      <c r="C68" s="77" t="s">
        <v>70</v>
      </c>
      <c r="D68" s="77" t="s">
        <v>465</v>
      </c>
      <c r="E68" s="77" t="s">
        <v>356</v>
      </c>
      <c r="F68" s="77" t="s">
        <v>636</v>
      </c>
      <c r="G68" s="77" t="s">
        <v>637</v>
      </c>
      <c r="H68" s="77" t="s">
        <v>74</v>
      </c>
      <c r="I68" s="77" t="s">
        <v>75</v>
      </c>
      <c r="J68" s="94">
        <v>46099.823611111111</v>
      </c>
      <c r="K68" s="94">
        <v>46099.886805555558</v>
      </c>
      <c r="L68" s="94">
        <v>46106.386805555558</v>
      </c>
      <c r="M68" s="93" t="s">
        <v>76</v>
      </c>
      <c r="N68" s="59" t="str">
        <f>IF(ISBLANK(J68),"",IF(OR(M68="Completed",M68="Closed"),"",IF(H68="Issue",IF(I68="High",WORKDAY(J68,2,DATA!A67:A95),IF(I68="Medium",WORKDAY(J68,14,DATA!A67:A95),IF(OR(I68="Low"),WORKDAY(J68,30,DATA!A67:A95),""))),
"")
))</f>
        <v/>
      </c>
      <c r="O68" s="60" t="str">
        <f ca="1">IF(OR(ISBLANK(#REF!), M68="Completed", M68="Closed", H68&lt;&gt;"Issue"), "",
   (NETWORKDAYS.INTL(TODAY(), N68, 1, DATA!A67:A95) - 1))</f>
        <v/>
      </c>
      <c r="P68" s="88" t="str">
        <f t="shared" ref="P68:P131" ca="1" si="2">IF(O68="","",LEFT(O68,10)*(-1))</f>
        <v/>
      </c>
      <c r="Q68" s="88" t="str">
        <f t="shared" ref="Q68:Q131" ca="1" si="3">IF(P68="","",
IF(P68&lt;=0,"Not Due",
IF(P68&lt;=30,"1-30 Days",
IF(P68&lt;=60,"31-60 Days",
"&gt;60 Days"))))</f>
        <v/>
      </c>
    </row>
    <row r="69" spans="1:17" ht="331.2" x14ac:dyDescent="0.3">
      <c r="A69" s="93">
        <v>67</v>
      </c>
      <c r="B69" s="77" t="s">
        <v>638</v>
      </c>
      <c r="C69" s="77" t="s">
        <v>70</v>
      </c>
      <c r="D69" s="77" t="s">
        <v>477</v>
      </c>
      <c r="E69" s="77" t="s">
        <v>356</v>
      </c>
      <c r="F69" s="77" t="s">
        <v>639</v>
      </c>
      <c r="G69" s="77" t="s">
        <v>640</v>
      </c>
      <c r="H69" s="77" t="s">
        <v>74</v>
      </c>
      <c r="I69" s="77" t="s">
        <v>75</v>
      </c>
      <c r="J69" s="94">
        <v>46099.824305555558</v>
      </c>
      <c r="K69" s="94">
        <v>46099.886111111111</v>
      </c>
      <c r="L69" s="94">
        <v>46106.386805555558</v>
      </c>
      <c r="M69" s="93" t="s">
        <v>76</v>
      </c>
      <c r="N69" s="59" t="str">
        <f>IF(ISBLANK(J69),"",IF(OR(M69="Completed",M69="Closed"),"",IF(H69="Issue",IF(I69="High",WORKDAY(J69,2,DATA!A68:A96),IF(I69="Medium",WORKDAY(J69,14,DATA!A68:A96),IF(OR(I69="Low"),WORKDAY(J69,30,DATA!A68:A96),""))),
"")
))</f>
        <v/>
      </c>
      <c r="O69" s="60" t="str">
        <f ca="1">IF(OR(ISBLANK(#REF!), M69="Completed", M69="Closed", H69&lt;&gt;"Issue"), "",
   (NETWORKDAYS.INTL(TODAY(), N69, 1, DATA!A68:A96) - 1))</f>
        <v/>
      </c>
      <c r="P69" s="88" t="str">
        <f t="shared" ca="1" si="2"/>
        <v/>
      </c>
      <c r="Q69" s="88" t="str">
        <f t="shared" ca="1" si="3"/>
        <v/>
      </c>
    </row>
    <row r="70" spans="1:17" ht="55.2" x14ac:dyDescent="0.3">
      <c r="A70" s="93">
        <v>68</v>
      </c>
      <c r="B70" s="77" t="s">
        <v>641</v>
      </c>
      <c r="C70" s="77" t="s">
        <v>70</v>
      </c>
      <c r="D70" s="77" t="s">
        <v>465</v>
      </c>
      <c r="E70" s="77" t="s">
        <v>356</v>
      </c>
      <c r="F70" s="77" t="s">
        <v>466</v>
      </c>
      <c r="G70" s="77" t="s">
        <v>642</v>
      </c>
      <c r="H70" s="77" t="s">
        <v>74</v>
      </c>
      <c r="I70" s="77" t="s">
        <v>75</v>
      </c>
      <c r="J70" s="94">
        <v>46099.824999999997</v>
      </c>
      <c r="K70" s="94">
        <v>46099.885416666664</v>
      </c>
      <c r="L70" s="94">
        <v>46106.386805555558</v>
      </c>
      <c r="M70" s="93" t="s">
        <v>76</v>
      </c>
      <c r="N70" s="59" t="str">
        <f>IF(ISBLANK(J70),"",IF(OR(M70="Completed",M70="Closed"),"",IF(H70="Issue",IF(I70="High",WORKDAY(J70,2,DATA!A69:A97),IF(I70="Medium",WORKDAY(J70,14,DATA!A69:A97),IF(OR(I70="Low"),WORKDAY(J70,30,DATA!A69:A97),""))),
"")
))</f>
        <v/>
      </c>
      <c r="O70" s="60" t="str">
        <f ca="1">IF(OR(ISBLANK(#REF!), M70="Completed", M70="Closed", H70&lt;&gt;"Issue"), "",
   (NETWORKDAYS.INTL(TODAY(), N70, 1, DATA!A69:A97) - 1))</f>
        <v/>
      </c>
      <c r="P70" s="88" t="str">
        <f t="shared" ca="1" si="2"/>
        <v/>
      </c>
      <c r="Q70" s="88" t="str">
        <f t="shared" ca="1" si="3"/>
        <v/>
      </c>
    </row>
    <row r="71" spans="1:17" ht="27.6" x14ac:dyDescent="0.3">
      <c r="A71" s="93">
        <v>69</v>
      </c>
      <c r="B71" s="77" t="s">
        <v>643</v>
      </c>
      <c r="C71" s="79"/>
      <c r="D71" s="77" t="s">
        <v>465</v>
      </c>
      <c r="E71" s="77" t="s">
        <v>356</v>
      </c>
      <c r="F71" s="77" t="s">
        <v>466</v>
      </c>
      <c r="G71" s="77" t="s">
        <v>644</v>
      </c>
      <c r="H71" s="77" t="s">
        <v>74</v>
      </c>
      <c r="I71" s="77" t="s">
        <v>75</v>
      </c>
      <c r="J71" s="94">
        <v>46099.825694444444</v>
      </c>
      <c r="K71" s="79"/>
      <c r="L71" s="79"/>
      <c r="M71" s="93" t="s">
        <v>77</v>
      </c>
      <c r="N71" s="59">
        <f>IF(ISBLANK(J71),"",IF(OR(M71="Completed",M71="Closed"),"",IF(H71="Issue",IF(I71="High",WORKDAY(J71,2,DATA!A70:A98),IF(I71="Medium",WORKDAY(J71,14,DATA!A70:A98),IF(OR(I71="Low"),WORKDAY(J71,30,DATA!A70:A98),""))),
"")
))</f>
        <v>46119</v>
      </c>
      <c r="O71" s="60">
        <f ca="1">IF(OR(ISBLANK(#REF!), M71="Completed", M71="Closed", H71&lt;&gt;"Issue"), "",
   (NETWORKDAYS.INTL(TODAY(), N71, 1, DATA!A70:A98) - 1))</f>
        <v>-78</v>
      </c>
      <c r="P71" s="88">
        <f t="shared" ca="1" si="2"/>
        <v>78</v>
      </c>
      <c r="Q71" s="88" t="str">
        <f t="shared" ca="1" si="3"/>
        <v>&gt;60 Days</v>
      </c>
    </row>
    <row r="72" spans="1:17" ht="82.8" x14ac:dyDescent="0.3">
      <c r="A72" s="93">
        <v>70</v>
      </c>
      <c r="B72" s="77" t="s">
        <v>645</v>
      </c>
      <c r="C72" s="77" t="s">
        <v>70</v>
      </c>
      <c r="D72" s="77" t="s">
        <v>477</v>
      </c>
      <c r="E72" s="77" t="s">
        <v>356</v>
      </c>
      <c r="F72" s="77" t="s">
        <v>646</v>
      </c>
      <c r="G72" s="77" t="s">
        <v>647</v>
      </c>
      <c r="H72" s="77" t="s">
        <v>74</v>
      </c>
      <c r="I72" s="77" t="s">
        <v>75</v>
      </c>
      <c r="J72" s="94">
        <v>46099.82708333333</v>
      </c>
      <c r="K72" s="79"/>
      <c r="L72" s="79"/>
      <c r="M72" s="93" t="s">
        <v>566</v>
      </c>
      <c r="N72" s="59">
        <f>IF(ISBLANK(J72),"",IF(OR(M72="Completed",M72="Closed"),"",IF(H72="Issue",IF(I72="High",WORKDAY(J72,2,DATA!A71:A99),IF(I72="Medium",WORKDAY(J72,14,DATA!A71:A99),IF(OR(I72="Low"),WORKDAY(J72,30,DATA!A71:A99),""))),
"")
))</f>
        <v>46119</v>
      </c>
      <c r="O72" s="60">
        <f ca="1">IF(OR(ISBLANK(#REF!), M72="Completed", M72="Closed", H72&lt;&gt;"Issue"), "",
   (NETWORKDAYS.INTL(TODAY(), N72, 1, DATA!A71:A99) - 1))</f>
        <v>-78</v>
      </c>
      <c r="P72" s="88">
        <f t="shared" ca="1" si="2"/>
        <v>78</v>
      </c>
      <c r="Q72" s="88" t="str">
        <f t="shared" ca="1" si="3"/>
        <v>&gt;60 Days</v>
      </c>
    </row>
    <row r="73" spans="1:17" ht="55.2" x14ac:dyDescent="0.3">
      <c r="A73" s="93">
        <v>71</v>
      </c>
      <c r="B73" s="77" t="s">
        <v>648</v>
      </c>
      <c r="C73" s="77" t="s">
        <v>70</v>
      </c>
      <c r="D73" s="77" t="s">
        <v>477</v>
      </c>
      <c r="E73" s="77" t="s">
        <v>356</v>
      </c>
      <c r="F73" s="77" t="s">
        <v>649</v>
      </c>
      <c r="G73" s="77" t="s">
        <v>650</v>
      </c>
      <c r="H73" s="77" t="s">
        <v>74</v>
      </c>
      <c r="I73" s="77" t="s">
        <v>75</v>
      </c>
      <c r="J73" s="94">
        <v>46099.827777777777</v>
      </c>
      <c r="K73" s="94">
        <v>46099.884722222225</v>
      </c>
      <c r="L73" s="94">
        <v>46106.386805555558</v>
      </c>
      <c r="M73" s="93" t="s">
        <v>76</v>
      </c>
      <c r="N73" s="59" t="str">
        <f>IF(ISBLANK(J73),"",IF(OR(M73="Completed",M73="Closed"),"",IF(H73="Issue",IF(I73="High",WORKDAY(J73,2,DATA!A72:A100),IF(I73="Medium",WORKDAY(J73,14,DATA!A72:A100),IF(OR(I73="Low"),WORKDAY(J73,30,DATA!A72:A100),""))),
"")
))</f>
        <v/>
      </c>
      <c r="O73" s="60" t="str">
        <f ca="1">IF(OR(ISBLANK(#REF!), M73="Completed", M73="Closed", H73&lt;&gt;"Issue"), "",
   (NETWORKDAYS.INTL(TODAY(), N73, 1, DATA!A72:A100) - 1))</f>
        <v/>
      </c>
      <c r="P73" s="88" t="str">
        <f t="shared" ca="1" si="2"/>
        <v/>
      </c>
      <c r="Q73" s="88" t="str">
        <f t="shared" ca="1" si="3"/>
        <v/>
      </c>
    </row>
    <row r="74" spans="1:17" ht="55.2" x14ac:dyDescent="0.3">
      <c r="A74" s="93">
        <v>72</v>
      </c>
      <c r="B74" s="77" t="s">
        <v>651</v>
      </c>
      <c r="C74" s="77" t="s">
        <v>70</v>
      </c>
      <c r="D74" s="77" t="s">
        <v>465</v>
      </c>
      <c r="E74" s="77" t="s">
        <v>356</v>
      </c>
      <c r="F74" s="77" t="s">
        <v>124</v>
      </c>
      <c r="G74" s="77" t="s">
        <v>652</v>
      </c>
      <c r="H74" s="77" t="s">
        <v>74</v>
      </c>
      <c r="I74" s="77" t="s">
        <v>75</v>
      </c>
      <c r="J74" s="94">
        <v>46099.828472222223</v>
      </c>
      <c r="K74" s="94">
        <v>46099.884027777778</v>
      </c>
      <c r="L74" s="94">
        <v>46106.386805555558</v>
      </c>
      <c r="M74" s="93" t="s">
        <v>76</v>
      </c>
      <c r="N74" s="59" t="str">
        <f>IF(ISBLANK(J74),"",IF(OR(M74="Completed",M74="Closed"),"",IF(H74="Issue",IF(I74="High",WORKDAY(J74,2,DATA!A73:A101),IF(I74="Medium",WORKDAY(J74,14,DATA!A73:A101),IF(OR(I74="Low"),WORKDAY(J74,30,DATA!A73:A101),""))),
"")
))</f>
        <v/>
      </c>
      <c r="O74" s="60" t="str">
        <f ca="1">IF(OR(ISBLANK(#REF!), M74="Completed", M74="Closed", H74&lt;&gt;"Issue"), "",
   (NETWORKDAYS.INTL(TODAY(), N74, 1, DATA!A73:A101) - 1))</f>
        <v/>
      </c>
      <c r="P74" s="88" t="str">
        <f t="shared" ca="1" si="2"/>
        <v/>
      </c>
      <c r="Q74" s="88" t="str">
        <f t="shared" ca="1" si="3"/>
        <v/>
      </c>
    </row>
    <row r="75" spans="1:17" ht="138" x14ac:dyDescent="0.3">
      <c r="A75" s="93">
        <v>73</v>
      </c>
      <c r="B75" s="77" t="s">
        <v>653</v>
      </c>
      <c r="C75" s="77" t="s">
        <v>70</v>
      </c>
      <c r="D75" s="77" t="s">
        <v>477</v>
      </c>
      <c r="E75" s="77" t="s">
        <v>356</v>
      </c>
      <c r="F75" s="77" t="s">
        <v>654</v>
      </c>
      <c r="G75" s="77" t="s">
        <v>655</v>
      </c>
      <c r="H75" s="77" t="s">
        <v>74</v>
      </c>
      <c r="I75" s="77" t="s">
        <v>75</v>
      </c>
      <c r="J75" s="94">
        <v>46099.829861111109</v>
      </c>
      <c r="K75" s="94">
        <v>46099.884027777778</v>
      </c>
      <c r="L75" s="94">
        <v>46106.386805555558</v>
      </c>
      <c r="M75" s="93" t="s">
        <v>76</v>
      </c>
      <c r="N75" s="59" t="str">
        <f>IF(ISBLANK(J75),"",IF(OR(M75="Completed",M75="Closed"),"",IF(H75="Issue",IF(I75="High",WORKDAY(J75,2,DATA!A74:A102),IF(I75="Medium",WORKDAY(J75,14,DATA!A74:A102),IF(OR(I75="Low"),WORKDAY(J75,30,DATA!A74:A102),""))),
"")
))</f>
        <v/>
      </c>
      <c r="O75" s="60" t="str">
        <f ca="1">IF(OR(ISBLANK(#REF!), M75="Completed", M75="Closed", H75&lt;&gt;"Issue"), "",
   (NETWORKDAYS.INTL(TODAY(), N75, 1, DATA!A74:A102) - 1))</f>
        <v/>
      </c>
      <c r="P75" s="88" t="str">
        <f t="shared" ca="1" si="2"/>
        <v/>
      </c>
      <c r="Q75" s="88" t="str">
        <f t="shared" ca="1" si="3"/>
        <v/>
      </c>
    </row>
    <row r="76" spans="1:17" ht="41.4" x14ac:dyDescent="0.3">
      <c r="A76" s="93">
        <v>74</v>
      </c>
      <c r="B76" s="77" t="s">
        <v>656</v>
      </c>
      <c r="C76" s="77" t="s">
        <v>70</v>
      </c>
      <c r="D76" s="77" t="s">
        <v>465</v>
      </c>
      <c r="E76" s="77" t="s">
        <v>356</v>
      </c>
      <c r="F76" s="77" t="s">
        <v>657</v>
      </c>
      <c r="G76" s="77" t="s">
        <v>658</v>
      </c>
      <c r="H76" s="77" t="s">
        <v>74</v>
      </c>
      <c r="I76" s="77" t="s">
        <v>75</v>
      </c>
      <c r="J76" s="94">
        <v>46099.830555555556</v>
      </c>
      <c r="K76" s="94">
        <v>46099.883333333331</v>
      </c>
      <c r="L76" s="94">
        <v>46106.386111111111</v>
      </c>
      <c r="M76" s="93" t="s">
        <v>76</v>
      </c>
      <c r="N76" s="59" t="str">
        <f>IF(ISBLANK(J76),"",IF(OR(M76="Completed",M76="Closed"),"",IF(H76="Issue",IF(I76="High",WORKDAY(J76,2,DATA!A75:A103),IF(I76="Medium",WORKDAY(J76,14,DATA!A75:A103),IF(OR(I76="Low"),WORKDAY(J76,30,DATA!A75:A103),""))),
"")
))</f>
        <v/>
      </c>
      <c r="O76" s="60" t="str">
        <f ca="1">IF(OR(ISBLANK(#REF!), M76="Completed", M76="Closed", H76&lt;&gt;"Issue"), "",
   (NETWORKDAYS.INTL(TODAY(), N76, 1, DATA!A75:A103) - 1))</f>
        <v/>
      </c>
      <c r="P76" s="88" t="str">
        <f t="shared" ca="1" si="2"/>
        <v/>
      </c>
      <c r="Q76" s="88" t="str">
        <f t="shared" ca="1" si="3"/>
        <v/>
      </c>
    </row>
    <row r="77" spans="1:17" ht="55.2" x14ac:dyDescent="0.3">
      <c r="A77" s="93">
        <v>75</v>
      </c>
      <c r="B77" s="77" t="s">
        <v>659</v>
      </c>
      <c r="C77" s="77" t="s">
        <v>70</v>
      </c>
      <c r="D77" s="77" t="s">
        <v>465</v>
      </c>
      <c r="E77" s="77" t="s">
        <v>356</v>
      </c>
      <c r="F77" s="77" t="s">
        <v>660</v>
      </c>
      <c r="G77" s="77" t="s">
        <v>661</v>
      </c>
      <c r="H77" s="77" t="s">
        <v>74</v>
      </c>
      <c r="I77" s="77" t="s">
        <v>75</v>
      </c>
      <c r="J77" s="94">
        <v>46099.831250000003</v>
      </c>
      <c r="K77" s="94">
        <v>46099.883333333331</v>
      </c>
      <c r="L77" s="94">
        <v>46106.386111111111</v>
      </c>
      <c r="M77" s="93" t="s">
        <v>76</v>
      </c>
      <c r="N77" s="59" t="str">
        <f>IF(ISBLANK(J77),"",IF(OR(M77="Completed",M77="Closed"),"",IF(H77="Issue",IF(I77="High",WORKDAY(J77,2,DATA!A76:A104),IF(I77="Medium",WORKDAY(J77,14,DATA!A76:A104),IF(OR(I77="Low"),WORKDAY(J77,30,DATA!A76:A104),""))),
"")
))</f>
        <v/>
      </c>
      <c r="O77" s="60" t="str">
        <f ca="1">IF(OR(ISBLANK(#REF!), M77="Completed", M77="Closed", H77&lt;&gt;"Issue"), "",
   (NETWORKDAYS.INTL(TODAY(), N77, 1, DATA!A76:A104) - 1))</f>
        <v/>
      </c>
      <c r="P77" s="88" t="str">
        <f t="shared" ca="1" si="2"/>
        <v/>
      </c>
      <c r="Q77" s="88" t="str">
        <f t="shared" ca="1" si="3"/>
        <v/>
      </c>
    </row>
    <row r="78" spans="1:17" ht="96.6" x14ac:dyDescent="0.3">
      <c r="A78" s="93">
        <v>76</v>
      </c>
      <c r="B78" s="77" t="s">
        <v>662</v>
      </c>
      <c r="C78" s="77" t="s">
        <v>70</v>
      </c>
      <c r="D78" s="77" t="s">
        <v>465</v>
      </c>
      <c r="E78" s="77" t="s">
        <v>356</v>
      </c>
      <c r="F78" s="77" t="s">
        <v>663</v>
      </c>
      <c r="G78" s="77" t="s">
        <v>664</v>
      </c>
      <c r="H78" s="77" t="s">
        <v>74</v>
      </c>
      <c r="I78" s="77" t="s">
        <v>75</v>
      </c>
      <c r="J78" s="94">
        <v>46099.831944444442</v>
      </c>
      <c r="K78" s="94">
        <v>46099.882638888892</v>
      </c>
      <c r="L78" s="94">
        <v>46106.385416666664</v>
      </c>
      <c r="M78" s="93" t="s">
        <v>76</v>
      </c>
      <c r="N78" s="59" t="str">
        <f>IF(ISBLANK(J78),"",IF(OR(M78="Completed",M78="Closed"),"",IF(H78="Issue",IF(I78="High",WORKDAY(J78,2,DATA!A77:A105),IF(I78="Medium",WORKDAY(J78,14,DATA!A77:A105),IF(OR(I78="Low"),WORKDAY(J78,30,DATA!A77:A105),""))),
"")
))</f>
        <v/>
      </c>
      <c r="O78" s="60" t="str">
        <f ca="1">IF(OR(ISBLANK(#REF!), M78="Completed", M78="Closed", H78&lt;&gt;"Issue"), "",
   (NETWORKDAYS.INTL(TODAY(), N78, 1, DATA!A77:A105) - 1))</f>
        <v/>
      </c>
      <c r="P78" s="88" t="str">
        <f t="shared" ca="1" si="2"/>
        <v/>
      </c>
      <c r="Q78" s="88" t="str">
        <f t="shared" ca="1" si="3"/>
        <v/>
      </c>
    </row>
    <row r="79" spans="1:17" ht="82.8" x14ac:dyDescent="0.3">
      <c r="A79" s="93">
        <v>77</v>
      </c>
      <c r="B79" s="77" t="s">
        <v>665</v>
      </c>
      <c r="C79" s="77" t="s">
        <v>70</v>
      </c>
      <c r="D79" s="77" t="s">
        <v>477</v>
      </c>
      <c r="E79" s="77" t="s">
        <v>356</v>
      </c>
      <c r="F79" s="77" t="s">
        <v>666</v>
      </c>
      <c r="G79" s="77" t="s">
        <v>667</v>
      </c>
      <c r="H79" s="77" t="s">
        <v>74</v>
      </c>
      <c r="I79" s="77" t="s">
        <v>75</v>
      </c>
      <c r="J79" s="94">
        <v>46099.833333333336</v>
      </c>
      <c r="K79" s="94">
        <v>46099.882638888892</v>
      </c>
      <c r="L79" s="94">
        <v>46106.385416666664</v>
      </c>
      <c r="M79" s="93" t="s">
        <v>76</v>
      </c>
      <c r="N79" s="59" t="str">
        <f>IF(ISBLANK(J79),"",IF(OR(M79="Completed",M79="Closed"),"",IF(H79="Issue",IF(I79="High",WORKDAY(J79,2,DATA!A78:A106),IF(I79="Medium",WORKDAY(J79,14,DATA!A78:A106),IF(OR(I79="Low"),WORKDAY(J79,30,DATA!A78:A106),""))),
"")
))</f>
        <v/>
      </c>
      <c r="O79" s="60" t="str">
        <f ca="1">IF(OR(ISBLANK(#REF!), M79="Completed", M79="Closed", H79&lt;&gt;"Issue"), "",
   (NETWORKDAYS.INTL(TODAY(), N79, 1, DATA!A78:A106) - 1))</f>
        <v/>
      </c>
      <c r="P79" s="88" t="str">
        <f t="shared" ca="1" si="2"/>
        <v/>
      </c>
      <c r="Q79" s="88" t="str">
        <f t="shared" ca="1" si="3"/>
        <v/>
      </c>
    </row>
    <row r="80" spans="1:17" ht="41.4" x14ac:dyDescent="0.3">
      <c r="A80" s="93">
        <v>78</v>
      </c>
      <c r="B80" s="77" t="s">
        <v>668</v>
      </c>
      <c r="C80" s="79"/>
      <c r="D80" s="77" t="s">
        <v>465</v>
      </c>
      <c r="E80" s="77" t="s">
        <v>356</v>
      </c>
      <c r="F80" s="77" t="s">
        <v>669</v>
      </c>
      <c r="G80" s="77" t="s">
        <v>670</v>
      </c>
      <c r="H80" s="77" t="s">
        <v>74</v>
      </c>
      <c r="I80" s="77" t="s">
        <v>75</v>
      </c>
      <c r="J80" s="94">
        <v>46099.834027777775</v>
      </c>
      <c r="K80" s="79"/>
      <c r="L80" s="79"/>
      <c r="M80" s="93" t="s">
        <v>77</v>
      </c>
      <c r="N80" s="59">
        <f>IF(ISBLANK(J80),"",IF(OR(M80="Completed",M80="Closed"),"",IF(H80="Issue",IF(I80="High",WORKDAY(J80,2,DATA!A79:A107),IF(I80="Medium",WORKDAY(J80,14,DATA!A79:A107),IF(OR(I80="Low"),WORKDAY(J80,30,DATA!A79:A107),""))),
"")
))</f>
        <v>46119</v>
      </c>
      <c r="O80" s="60">
        <f ca="1">IF(OR(ISBLANK(#REF!), M80="Completed", M80="Closed", H80&lt;&gt;"Issue"), "",
   (NETWORKDAYS.INTL(TODAY(), N80, 1, DATA!A79:A107) - 1))</f>
        <v>-78</v>
      </c>
      <c r="P80" s="88">
        <f t="shared" ca="1" si="2"/>
        <v>78</v>
      </c>
      <c r="Q80" s="88" t="str">
        <f t="shared" ca="1" si="3"/>
        <v>&gt;60 Days</v>
      </c>
    </row>
    <row r="81" spans="1:17" ht="151.80000000000001" x14ac:dyDescent="0.3">
      <c r="A81" s="93">
        <v>79</v>
      </c>
      <c r="B81" s="77" t="s">
        <v>671</v>
      </c>
      <c r="C81" s="79"/>
      <c r="D81" s="77" t="s">
        <v>465</v>
      </c>
      <c r="E81" s="77" t="s">
        <v>356</v>
      </c>
      <c r="F81" s="77" t="s">
        <v>672</v>
      </c>
      <c r="G81" s="77" t="s">
        <v>673</v>
      </c>
      <c r="H81" s="77" t="s">
        <v>74</v>
      </c>
      <c r="I81" s="77" t="s">
        <v>75</v>
      </c>
      <c r="J81" s="94">
        <v>46099.834722222222</v>
      </c>
      <c r="K81" s="79"/>
      <c r="L81" s="79"/>
      <c r="M81" s="93" t="s">
        <v>77</v>
      </c>
      <c r="N81" s="59">
        <f>IF(ISBLANK(J81),"",IF(OR(M81="Completed",M81="Closed"),"",IF(H81="Issue",IF(I81="High",WORKDAY(J81,2,DATA!A80:A108),IF(I81="Medium",WORKDAY(J81,14,DATA!A80:A108),IF(OR(I81="Low"),WORKDAY(J81,30,DATA!A80:A108),""))),
"")
))</f>
        <v>46119</v>
      </c>
      <c r="O81" s="60">
        <f ca="1">IF(OR(ISBLANK(#REF!), M81="Completed", M81="Closed", H81&lt;&gt;"Issue"), "",
   (NETWORKDAYS.INTL(TODAY(), N81, 1, DATA!A80:A108) - 1))</f>
        <v>-78</v>
      </c>
      <c r="P81" s="88">
        <f t="shared" ca="1" si="2"/>
        <v>78</v>
      </c>
      <c r="Q81" s="88" t="str">
        <f t="shared" ca="1" si="3"/>
        <v>&gt;60 Days</v>
      </c>
    </row>
    <row r="82" spans="1:17" ht="55.2" x14ac:dyDescent="0.3">
      <c r="A82" s="93">
        <v>80</v>
      </c>
      <c r="B82" s="77" t="s">
        <v>674</v>
      </c>
      <c r="C82" s="77" t="s">
        <v>70</v>
      </c>
      <c r="D82" s="77" t="s">
        <v>465</v>
      </c>
      <c r="E82" s="77" t="s">
        <v>356</v>
      </c>
      <c r="F82" s="77" t="s">
        <v>675</v>
      </c>
      <c r="G82" s="77" t="s">
        <v>676</v>
      </c>
      <c r="H82" s="77" t="s">
        <v>74</v>
      </c>
      <c r="I82" s="77" t="s">
        <v>75</v>
      </c>
      <c r="J82" s="94">
        <v>46099.836111111108</v>
      </c>
      <c r="K82" s="94">
        <v>46099.881944444445</v>
      </c>
      <c r="L82" s="94">
        <v>46106.385416666664</v>
      </c>
      <c r="M82" s="93" t="s">
        <v>76</v>
      </c>
      <c r="N82" s="59" t="str">
        <f>IF(ISBLANK(J82),"",IF(OR(M82="Completed",M82="Closed"),"",IF(H82="Issue",IF(I82="High",WORKDAY(J82,2,DATA!A81:A109),IF(I82="Medium",WORKDAY(J82,14,DATA!A81:A109),IF(OR(I82="Low"),WORKDAY(J82,30,DATA!A81:A109),""))),
"")
))</f>
        <v/>
      </c>
      <c r="O82" s="60" t="str">
        <f ca="1">IF(OR(ISBLANK(#REF!), M82="Completed", M82="Closed", H82&lt;&gt;"Issue"), "",
   (NETWORKDAYS.INTL(TODAY(), N82, 1, DATA!A81:A109) - 1))</f>
        <v/>
      </c>
      <c r="P82" s="88" t="str">
        <f t="shared" ca="1" si="2"/>
        <v/>
      </c>
      <c r="Q82" s="88" t="str">
        <f t="shared" ca="1" si="3"/>
        <v/>
      </c>
    </row>
    <row r="83" spans="1:17" ht="110.4" x14ac:dyDescent="0.3">
      <c r="A83" s="93">
        <v>81</v>
      </c>
      <c r="B83" s="77" t="s">
        <v>677</v>
      </c>
      <c r="C83" s="77" t="s">
        <v>70</v>
      </c>
      <c r="D83" s="77" t="s">
        <v>465</v>
      </c>
      <c r="E83" s="77" t="s">
        <v>356</v>
      </c>
      <c r="F83" s="77" t="s">
        <v>678</v>
      </c>
      <c r="G83" s="77" t="s">
        <v>679</v>
      </c>
      <c r="H83" s="77" t="s">
        <v>74</v>
      </c>
      <c r="I83" s="77" t="s">
        <v>75</v>
      </c>
      <c r="J83" s="94">
        <v>46099.836805555555</v>
      </c>
      <c r="K83" s="94">
        <v>46099.881249999999</v>
      </c>
      <c r="L83" s="94">
        <v>46106.384722222225</v>
      </c>
      <c r="M83" s="93" t="s">
        <v>76</v>
      </c>
      <c r="N83" s="59" t="str">
        <f>IF(ISBLANK(J83),"",IF(OR(M83="Completed",M83="Closed"),"",IF(H83="Issue",IF(I83="High",WORKDAY(J83,2,DATA!A82:A110),IF(I83="Medium",WORKDAY(J83,14,DATA!A82:A110),IF(OR(I83="Low"),WORKDAY(J83,30,DATA!A82:A110),""))),
"")
))</f>
        <v/>
      </c>
      <c r="O83" s="60" t="str">
        <f ca="1">IF(OR(ISBLANK(#REF!), M83="Completed", M83="Closed", H83&lt;&gt;"Issue"), "",
   (NETWORKDAYS.INTL(TODAY(), N83, 1, DATA!A82:A110) - 1))</f>
        <v/>
      </c>
      <c r="P83" s="88" t="str">
        <f t="shared" ca="1" si="2"/>
        <v/>
      </c>
      <c r="Q83" s="88" t="str">
        <f t="shared" ca="1" si="3"/>
        <v/>
      </c>
    </row>
    <row r="84" spans="1:17" ht="138" x14ac:dyDescent="0.3">
      <c r="A84" s="93">
        <v>82</v>
      </c>
      <c r="B84" s="77" t="s">
        <v>680</v>
      </c>
      <c r="C84" s="77" t="s">
        <v>70</v>
      </c>
      <c r="D84" s="77" t="s">
        <v>465</v>
      </c>
      <c r="E84" s="77" t="s">
        <v>356</v>
      </c>
      <c r="F84" s="77" t="s">
        <v>639</v>
      </c>
      <c r="G84" s="77" t="s">
        <v>681</v>
      </c>
      <c r="H84" s="77" t="s">
        <v>74</v>
      </c>
      <c r="I84" s="77" t="s">
        <v>75</v>
      </c>
      <c r="J84" s="94">
        <v>46099.837500000001</v>
      </c>
      <c r="K84" s="94">
        <v>46099.880555555559</v>
      </c>
      <c r="L84" s="94">
        <v>46106.384722222225</v>
      </c>
      <c r="M84" s="93" t="s">
        <v>76</v>
      </c>
      <c r="N84" s="59" t="str">
        <f>IF(ISBLANK(J84),"",IF(OR(M84="Completed",M84="Closed"),"",IF(H84="Issue",IF(I84="High",WORKDAY(J84,2,DATA!A83:A111),IF(I84="Medium",WORKDAY(J84,14,DATA!A83:A111),IF(OR(I84="Low"),WORKDAY(J84,30,DATA!A83:A111),""))),
"")
))</f>
        <v/>
      </c>
      <c r="O84" s="60" t="str">
        <f ca="1">IF(OR(ISBLANK(#REF!), M84="Completed", M84="Closed", H84&lt;&gt;"Issue"), "",
   (NETWORKDAYS.INTL(TODAY(), N84, 1, DATA!A83:A111) - 1))</f>
        <v/>
      </c>
      <c r="P84" s="88" t="str">
        <f t="shared" ca="1" si="2"/>
        <v/>
      </c>
      <c r="Q84" s="88" t="str">
        <f t="shared" ca="1" si="3"/>
        <v/>
      </c>
    </row>
    <row r="85" spans="1:17" ht="96.6" x14ac:dyDescent="0.3">
      <c r="A85" s="93">
        <v>83</v>
      </c>
      <c r="B85" s="77" t="s">
        <v>682</v>
      </c>
      <c r="C85" s="77" t="s">
        <v>70</v>
      </c>
      <c r="D85" s="77" t="s">
        <v>465</v>
      </c>
      <c r="E85" s="77" t="s">
        <v>356</v>
      </c>
      <c r="F85" s="77" t="s">
        <v>683</v>
      </c>
      <c r="G85" s="77" t="s">
        <v>684</v>
      </c>
      <c r="H85" s="77" t="s">
        <v>74</v>
      </c>
      <c r="I85" s="77" t="s">
        <v>75</v>
      </c>
      <c r="J85" s="94">
        <v>46099.838888888888</v>
      </c>
      <c r="K85" s="94">
        <v>46099.880555555559</v>
      </c>
      <c r="L85" s="94">
        <v>46106.384722222225</v>
      </c>
      <c r="M85" s="93" t="s">
        <v>76</v>
      </c>
      <c r="N85" s="59" t="str">
        <f>IF(ISBLANK(J85),"",IF(OR(M85="Completed",M85="Closed"),"",IF(H85="Issue",IF(I85="High",WORKDAY(J85,2,DATA!A84:A112),IF(I85="Medium",WORKDAY(J85,14,DATA!A84:A112),IF(OR(I85="Low"),WORKDAY(J85,30,DATA!A84:A112),""))),
"")
))</f>
        <v/>
      </c>
      <c r="O85" s="60" t="str">
        <f ca="1">IF(OR(ISBLANK(#REF!), M85="Completed", M85="Closed", H85&lt;&gt;"Issue"), "",
   (NETWORKDAYS.INTL(TODAY(), N85, 1, DATA!A84:A112) - 1))</f>
        <v/>
      </c>
      <c r="P85" s="88" t="str">
        <f t="shared" ca="1" si="2"/>
        <v/>
      </c>
      <c r="Q85" s="88" t="str">
        <f t="shared" ca="1" si="3"/>
        <v/>
      </c>
    </row>
    <row r="86" spans="1:17" ht="124.2" x14ac:dyDescent="0.3">
      <c r="A86" s="93">
        <v>84</v>
      </c>
      <c r="B86" s="77" t="s">
        <v>685</v>
      </c>
      <c r="C86" s="77" t="s">
        <v>70</v>
      </c>
      <c r="D86" s="77" t="s">
        <v>477</v>
      </c>
      <c r="E86" s="77" t="s">
        <v>356</v>
      </c>
      <c r="F86" s="77" t="s">
        <v>686</v>
      </c>
      <c r="G86" s="77" t="s">
        <v>687</v>
      </c>
      <c r="H86" s="77" t="s">
        <v>74</v>
      </c>
      <c r="I86" s="77" t="s">
        <v>75</v>
      </c>
      <c r="J86" s="94">
        <v>46099.840277777781</v>
      </c>
      <c r="K86" s="94">
        <v>46099.879861111112</v>
      </c>
      <c r="L86" s="94">
        <v>46106.384722222225</v>
      </c>
      <c r="M86" s="93" t="s">
        <v>76</v>
      </c>
      <c r="N86" s="59" t="str">
        <f>IF(ISBLANK(J86),"",IF(OR(M86="Completed",M86="Closed"),"",IF(H86="Issue",IF(I86="High",WORKDAY(J86,2,DATA!A85:A113),IF(I86="Medium",WORKDAY(J86,14,DATA!A85:A113),IF(OR(I86="Low"),WORKDAY(J86,30,DATA!A85:A113),""))),
"")
))</f>
        <v/>
      </c>
      <c r="O86" s="60" t="str">
        <f ca="1">IF(OR(ISBLANK(#REF!), M86="Completed", M86="Closed", H86&lt;&gt;"Issue"), "",
   (NETWORKDAYS.INTL(TODAY(), N86, 1, DATA!A85:A113) - 1))</f>
        <v/>
      </c>
      <c r="P86" s="88" t="str">
        <f t="shared" ca="1" si="2"/>
        <v/>
      </c>
      <c r="Q86" s="88" t="str">
        <f t="shared" ca="1" si="3"/>
        <v/>
      </c>
    </row>
    <row r="87" spans="1:17" ht="41.4" x14ac:dyDescent="0.3">
      <c r="A87" s="93">
        <v>85</v>
      </c>
      <c r="B87" s="77" t="s">
        <v>688</v>
      </c>
      <c r="C87" s="77" t="s">
        <v>70</v>
      </c>
      <c r="D87" s="77" t="s">
        <v>465</v>
      </c>
      <c r="E87" s="77" t="s">
        <v>356</v>
      </c>
      <c r="F87" s="77" t="s">
        <v>689</v>
      </c>
      <c r="G87" s="77" t="s">
        <v>690</v>
      </c>
      <c r="H87" s="77" t="s">
        <v>74</v>
      </c>
      <c r="I87" s="77" t="s">
        <v>75</v>
      </c>
      <c r="J87" s="94">
        <v>46099.84097222222</v>
      </c>
      <c r="K87" s="94">
        <v>46099.879861111112</v>
      </c>
      <c r="L87" s="94">
        <v>46106.384722222225</v>
      </c>
      <c r="M87" s="93" t="s">
        <v>76</v>
      </c>
      <c r="N87" s="59" t="str">
        <f>IF(ISBLANK(J87),"",IF(OR(M87="Completed",M87="Closed"),"",IF(H87="Issue",IF(I87="High",WORKDAY(J87,2,DATA!A86:A114),IF(I87="Medium",WORKDAY(J87,14,DATA!A86:A114),IF(OR(I87="Low"),WORKDAY(J87,30,DATA!A86:A114),""))),
"")
))</f>
        <v/>
      </c>
      <c r="O87" s="60" t="str">
        <f ca="1">IF(OR(ISBLANK(#REF!), M87="Completed", M87="Closed", H87&lt;&gt;"Issue"), "",
   (NETWORKDAYS.INTL(TODAY(), N87, 1, DATA!A86:A114) - 1))</f>
        <v/>
      </c>
      <c r="P87" s="88" t="str">
        <f t="shared" ca="1" si="2"/>
        <v/>
      </c>
      <c r="Q87" s="88" t="str">
        <f t="shared" ca="1" si="3"/>
        <v/>
      </c>
    </row>
    <row r="88" spans="1:17" ht="82.8" x14ac:dyDescent="0.3">
      <c r="A88" s="93">
        <v>86</v>
      </c>
      <c r="B88" s="77" t="s">
        <v>691</v>
      </c>
      <c r="C88" s="77" t="s">
        <v>70</v>
      </c>
      <c r="D88" s="77" t="s">
        <v>465</v>
      </c>
      <c r="E88" s="77" t="s">
        <v>356</v>
      </c>
      <c r="F88" s="77" t="s">
        <v>657</v>
      </c>
      <c r="G88" s="77" t="s">
        <v>692</v>
      </c>
      <c r="H88" s="77" t="s">
        <v>74</v>
      </c>
      <c r="I88" s="77" t="s">
        <v>75</v>
      </c>
      <c r="J88" s="94">
        <v>46099.841666666667</v>
      </c>
      <c r="K88" s="94">
        <v>46099.879166666666</v>
      </c>
      <c r="L88" s="94">
        <v>46106.384722222225</v>
      </c>
      <c r="M88" s="93" t="s">
        <v>76</v>
      </c>
      <c r="N88" s="59" t="str">
        <f>IF(ISBLANK(J88),"",IF(OR(M88="Completed",M88="Closed"),"",IF(H88="Issue",IF(I88="High",WORKDAY(J88,2,DATA!A87:A115),IF(I88="Medium",WORKDAY(J88,14,DATA!A87:A115),IF(OR(I88="Low"),WORKDAY(J88,30,DATA!A87:A115),""))),
"")
))</f>
        <v/>
      </c>
      <c r="O88" s="60" t="str">
        <f ca="1">IF(OR(ISBLANK(#REF!), M88="Completed", M88="Closed", H88&lt;&gt;"Issue"), "",
   (NETWORKDAYS.INTL(TODAY(), N88, 1, DATA!A87:A115) - 1))</f>
        <v/>
      </c>
      <c r="P88" s="88" t="str">
        <f t="shared" ca="1" si="2"/>
        <v/>
      </c>
      <c r="Q88" s="88" t="str">
        <f t="shared" ca="1" si="3"/>
        <v/>
      </c>
    </row>
    <row r="89" spans="1:17" ht="41.4" x14ac:dyDescent="0.3">
      <c r="A89" s="93">
        <v>87</v>
      </c>
      <c r="B89" s="77" t="s">
        <v>693</v>
      </c>
      <c r="C89" s="77" t="s">
        <v>70</v>
      </c>
      <c r="D89" s="77" t="s">
        <v>465</v>
      </c>
      <c r="E89" s="77" t="s">
        <v>356</v>
      </c>
      <c r="F89" s="77" t="s">
        <v>694</v>
      </c>
      <c r="G89" s="77" t="s">
        <v>695</v>
      </c>
      <c r="H89" s="77" t="s">
        <v>74</v>
      </c>
      <c r="I89" s="77" t="s">
        <v>75</v>
      </c>
      <c r="J89" s="94">
        <v>46099.84375</v>
      </c>
      <c r="K89" s="94">
        <v>46099.878472222219</v>
      </c>
      <c r="L89" s="94">
        <v>46106.384722222225</v>
      </c>
      <c r="M89" s="93" t="s">
        <v>76</v>
      </c>
      <c r="N89" s="59" t="str">
        <f>IF(ISBLANK(J89),"",IF(OR(M89="Completed",M89="Closed"),"",IF(H89="Issue",IF(I89="High",WORKDAY(J89,2,DATA!A88:A116),IF(I89="Medium",WORKDAY(J89,14,DATA!A88:A116),IF(OR(I89="Low"),WORKDAY(J89,30,DATA!A88:A116),""))),
"")
))</f>
        <v/>
      </c>
      <c r="O89" s="60" t="str">
        <f ca="1">IF(OR(ISBLANK(#REF!), M89="Completed", M89="Closed", H89&lt;&gt;"Issue"), "",
   (NETWORKDAYS.INTL(TODAY(), N89, 1, DATA!A88:A116) - 1))</f>
        <v/>
      </c>
      <c r="P89" s="88" t="str">
        <f t="shared" ca="1" si="2"/>
        <v/>
      </c>
      <c r="Q89" s="88" t="str">
        <f t="shared" ca="1" si="3"/>
        <v/>
      </c>
    </row>
    <row r="90" spans="1:17" ht="69" x14ac:dyDescent="0.3">
      <c r="A90" s="93">
        <v>88</v>
      </c>
      <c r="B90" s="77" t="s">
        <v>696</v>
      </c>
      <c r="C90" s="77" t="s">
        <v>70</v>
      </c>
      <c r="D90" s="77" t="s">
        <v>465</v>
      </c>
      <c r="E90" s="77" t="s">
        <v>356</v>
      </c>
      <c r="F90" s="77" t="s">
        <v>697</v>
      </c>
      <c r="G90" s="77" t="s">
        <v>698</v>
      </c>
      <c r="H90" s="77" t="s">
        <v>74</v>
      </c>
      <c r="I90" s="77" t="s">
        <v>75</v>
      </c>
      <c r="J90" s="94">
        <v>46099.845833333333</v>
      </c>
      <c r="K90" s="94">
        <v>46099.878472222219</v>
      </c>
      <c r="L90" s="94">
        <v>46106.384722222225</v>
      </c>
      <c r="M90" s="93" t="s">
        <v>76</v>
      </c>
      <c r="N90" s="59" t="str">
        <f>IF(ISBLANK(J90),"",IF(OR(M90="Completed",M90="Closed"),"",IF(H90="Issue",IF(I90="High",WORKDAY(J90,2,DATA!A89:A117),IF(I90="Medium",WORKDAY(J90,14,DATA!A89:A117),IF(OR(I90="Low"),WORKDAY(J90,30,DATA!A89:A117),""))),
"")
))</f>
        <v/>
      </c>
      <c r="O90" s="60" t="str">
        <f ca="1">IF(OR(ISBLANK(#REF!), M90="Completed", M90="Closed", H90&lt;&gt;"Issue"), "",
   (NETWORKDAYS.INTL(TODAY(), N90, 1, DATA!A89:A117) - 1))</f>
        <v/>
      </c>
      <c r="P90" s="88" t="str">
        <f t="shared" ca="1" si="2"/>
        <v/>
      </c>
      <c r="Q90" s="88" t="str">
        <f t="shared" ca="1" si="3"/>
        <v/>
      </c>
    </row>
    <row r="91" spans="1:17" ht="124.2" x14ac:dyDescent="0.3">
      <c r="A91" s="93">
        <v>89</v>
      </c>
      <c r="B91" s="77" t="s">
        <v>699</v>
      </c>
      <c r="C91" s="77" t="s">
        <v>70</v>
      </c>
      <c r="D91" s="77" t="s">
        <v>465</v>
      </c>
      <c r="E91" s="77" t="s">
        <v>356</v>
      </c>
      <c r="F91" s="77" t="s">
        <v>700</v>
      </c>
      <c r="G91" s="77" t="s">
        <v>701</v>
      </c>
      <c r="H91" s="77" t="s">
        <v>74</v>
      </c>
      <c r="I91" s="77" t="s">
        <v>75</v>
      </c>
      <c r="J91" s="94">
        <v>46099.84652777778</v>
      </c>
      <c r="K91" s="94">
        <v>46099.87777777778</v>
      </c>
      <c r="L91" s="94">
        <v>46106.384722222225</v>
      </c>
      <c r="M91" s="93" t="s">
        <v>76</v>
      </c>
      <c r="N91" s="59" t="str">
        <f>IF(ISBLANK(J91),"",IF(OR(M91="Completed",M91="Closed"),"",IF(H91="Issue",IF(I91="High",WORKDAY(J91,2,DATA!A90:A118),IF(I91="Medium",WORKDAY(J91,14,DATA!A90:A118),IF(OR(I91="Low"),WORKDAY(J91,30,DATA!A90:A118),""))),
"")
))</f>
        <v/>
      </c>
      <c r="O91" s="60" t="str">
        <f ca="1">IF(OR(ISBLANK(#REF!), M91="Completed", M91="Closed", H91&lt;&gt;"Issue"), "",
   (NETWORKDAYS.INTL(TODAY(), N91, 1, DATA!A90:A118) - 1))</f>
        <v/>
      </c>
      <c r="P91" s="88" t="str">
        <f t="shared" ca="1" si="2"/>
        <v/>
      </c>
      <c r="Q91" s="88" t="str">
        <f t="shared" ca="1" si="3"/>
        <v/>
      </c>
    </row>
    <row r="92" spans="1:17" ht="96.6" x14ac:dyDescent="0.3">
      <c r="A92" s="93">
        <v>90</v>
      </c>
      <c r="B92" s="77" t="s">
        <v>702</v>
      </c>
      <c r="C92" s="79"/>
      <c r="D92" s="77" t="s">
        <v>487</v>
      </c>
      <c r="E92" s="77" t="s">
        <v>356</v>
      </c>
      <c r="F92" s="77" t="s">
        <v>703</v>
      </c>
      <c r="G92" s="77" t="s">
        <v>704</v>
      </c>
      <c r="H92" s="77" t="s">
        <v>74</v>
      </c>
      <c r="I92" s="77" t="s">
        <v>75</v>
      </c>
      <c r="J92" s="94">
        <v>46099.847916666666</v>
      </c>
      <c r="K92" s="79"/>
      <c r="L92" s="79"/>
      <c r="M92" s="93" t="s">
        <v>77</v>
      </c>
      <c r="N92" s="59">
        <f>IF(ISBLANK(J92),"",IF(OR(M92="Completed",M92="Closed"),"",IF(H92="Issue",IF(I92="High",WORKDAY(J92,2,DATA!A91:A119),IF(I92="Medium",WORKDAY(J92,14,DATA!A91:A119),IF(OR(I92="Low"),WORKDAY(J92,30,DATA!A91:A119),""))),
"")
))</f>
        <v>46119</v>
      </c>
      <c r="O92" s="60">
        <f ca="1">IF(OR(ISBLANK(#REF!), M92="Completed", M92="Closed", H92&lt;&gt;"Issue"), "",
   (NETWORKDAYS.INTL(TODAY(), N92, 1, DATA!A91:A119) - 1))</f>
        <v>-78</v>
      </c>
      <c r="P92" s="88">
        <f t="shared" ca="1" si="2"/>
        <v>78</v>
      </c>
      <c r="Q92" s="88" t="str">
        <f t="shared" ca="1" si="3"/>
        <v>&gt;60 Days</v>
      </c>
    </row>
    <row r="93" spans="1:17" ht="96.6" x14ac:dyDescent="0.3">
      <c r="A93" s="93">
        <v>91</v>
      </c>
      <c r="B93" s="77" t="s">
        <v>705</v>
      </c>
      <c r="C93" s="77" t="s">
        <v>70</v>
      </c>
      <c r="D93" s="77" t="s">
        <v>465</v>
      </c>
      <c r="E93" s="77" t="s">
        <v>356</v>
      </c>
      <c r="F93" s="77" t="s">
        <v>706</v>
      </c>
      <c r="G93" s="77" t="s">
        <v>707</v>
      </c>
      <c r="H93" s="77" t="s">
        <v>74</v>
      </c>
      <c r="I93" s="77" t="s">
        <v>75</v>
      </c>
      <c r="J93" s="94">
        <v>46099.848611111112</v>
      </c>
      <c r="K93" s="94">
        <v>46099.877083333333</v>
      </c>
      <c r="L93" s="94">
        <v>46106.384722222225</v>
      </c>
      <c r="M93" s="93" t="s">
        <v>76</v>
      </c>
      <c r="N93" s="59" t="str">
        <f>IF(ISBLANK(J93),"",IF(OR(M93="Completed",M93="Closed"),"",IF(H93="Issue",IF(I93="High",WORKDAY(J93,2,DATA!A92:A120),IF(I93="Medium",WORKDAY(J93,14,DATA!A92:A120),IF(OR(I93="Low"),WORKDAY(J93,30,DATA!A92:A120),""))),
"")
))</f>
        <v/>
      </c>
      <c r="O93" s="60" t="str">
        <f ca="1">IF(OR(ISBLANK(#REF!), M93="Completed", M93="Closed", H93&lt;&gt;"Issue"), "",
   (NETWORKDAYS.INTL(TODAY(), N93, 1, DATA!A92:A120) - 1))</f>
        <v/>
      </c>
      <c r="P93" s="88" t="str">
        <f t="shared" ca="1" si="2"/>
        <v/>
      </c>
      <c r="Q93" s="88" t="str">
        <f t="shared" ca="1" si="3"/>
        <v/>
      </c>
    </row>
    <row r="94" spans="1:17" ht="82.8" x14ac:dyDescent="0.3">
      <c r="A94" s="93">
        <v>92</v>
      </c>
      <c r="B94" s="77" t="s">
        <v>708</v>
      </c>
      <c r="C94" s="77" t="s">
        <v>70</v>
      </c>
      <c r="D94" s="77" t="s">
        <v>465</v>
      </c>
      <c r="E94" s="77" t="s">
        <v>356</v>
      </c>
      <c r="F94" s="77" t="s">
        <v>709</v>
      </c>
      <c r="G94" s="77" t="s">
        <v>710</v>
      </c>
      <c r="H94" s="77" t="s">
        <v>74</v>
      </c>
      <c r="I94" s="77" t="s">
        <v>75</v>
      </c>
      <c r="J94" s="94">
        <v>46099.849305555559</v>
      </c>
      <c r="K94" s="94">
        <v>46099.876388888886</v>
      </c>
      <c r="L94" s="94">
        <v>46106.384722222225</v>
      </c>
      <c r="M94" s="93" t="s">
        <v>76</v>
      </c>
      <c r="N94" s="59" t="str">
        <f>IF(ISBLANK(J94),"",IF(OR(M94="Completed",M94="Closed"),"",IF(H94="Issue",IF(I94="High",WORKDAY(J94,2,DATA!A93:A121),IF(I94="Medium",WORKDAY(J94,14,DATA!A93:A121),IF(OR(I94="Low"),WORKDAY(J94,30,DATA!A93:A121),""))),
"")
))</f>
        <v/>
      </c>
      <c r="O94" s="60" t="str">
        <f ca="1">IF(OR(ISBLANK(#REF!), M94="Completed", M94="Closed", H94&lt;&gt;"Issue"), "",
   (NETWORKDAYS.INTL(TODAY(), N94, 1, DATA!A93:A121) - 1))</f>
        <v/>
      </c>
      <c r="P94" s="88" t="str">
        <f t="shared" ca="1" si="2"/>
        <v/>
      </c>
      <c r="Q94" s="88" t="str">
        <f t="shared" ca="1" si="3"/>
        <v/>
      </c>
    </row>
    <row r="95" spans="1:17" ht="193.2" x14ac:dyDescent="0.3">
      <c r="A95" s="93">
        <v>93</v>
      </c>
      <c r="B95" s="77" t="s">
        <v>711</v>
      </c>
      <c r="C95" s="77" t="s">
        <v>70</v>
      </c>
      <c r="D95" s="77" t="s">
        <v>465</v>
      </c>
      <c r="E95" s="77" t="s">
        <v>356</v>
      </c>
      <c r="F95" s="77" t="s">
        <v>672</v>
      </c>
      <c r="G95" s="77" t="s">
        <v>712</v>
      </c>
      <c r="H95" s="77" t="s">
        <v>74</v>
      </c>
      <c r="I95" s="77" t="s">
        <v>75</v>
      </c>
      <c r="J95" s="94">
        <v>46099.850694444445</v>
      </c>
      <c r="K95" s="94">
        <v>46099.875694444447</v>
      </c>
      <c r="L95" s="94">
        <v>46106.384027777778</v>
      </c>
      <c r="M95" s="93" t="s">
        <v>76</v>
      </c>
      <c r="N95" s="59" t="str">
        <f>IF(ISBLANK(J95),"",IF(OR(M95="Completed",M95="Closed"),"",IF(H95="Issue",IF(I95="High",WORKDAY(J95,2,DATA!A94:A122),IF(I95="Medium",WORKDAY(J95,14,DATA!A94:A122),IF(OR(I95="Low"),WORKDAY(J95,30,DATA!A94:A122),""))),
"")
))</f>
        <v/>
      </c>
      <c r="O95" s="60" t="str">
        <f ca="1">IF(OR(ISBLANK(#REF!), M95="Completed", M95="Closed", H95&lt;&gt;"Issue"), "",
   (NETWORKDAYS.INTL(TODAY(), N95, 1, DATA!A94:A122) - 1))</f>
        <v/>
      </c>
      <c r="P95" s="88" t="str">
        <f t="shared" ca="1" si="2"/>
        <v/>
      </c>
      <c r="Q95" s="88" t="str">
        <f t="shared" ca="1" si="3"/>
        <v/>
      </c>
    </row>
    <row r="96" spans="1:17" ht="55.2" x14ac:dyDescent="0.3">
      <c r="A96" s="93">
        <v>94</v>
      </c>
      <c r="B96" s="77" t="s">
        <v>713</v>
      </c>
      <c r="C96" s="77" t="s">
        <v>70</v>
      </c>
      <c r="D96" s="77" t="s">
        <v>465</v>
      </c>
      <c r="E96" s="77" t="s">
        <v>356</v>
      </c>
      <c r="F96" s="77" t="s">
        <v>608</v>
      </c>
      <c r="G96" s="77" t="s">
        <v>714</v>
      </c>
      <c r="H96" s="77" t="s">
        <v>74</v>
      </c>
      <c r="I96" s="77" t="s">
        <v>75</v>
      </c>
      <c r="J96" s="94">
        <v>46099.852083333331</v>
      </c>
      <c r="K96" s="94">
        <v>46099.875</v>
      </c>
      <c r="L96" s="94">
        <v>46106.384027777778</v>
      </c>
      <c r="M96" s="93" t="s">
        <v>76</v>
      </c>
      <c r="N96" s="59" t="str">
        <f>IF(ISBLANK(J96),"",IF(OR(M96="Completed",M96="Closed"),"",IF(H96="Issue",IF(I96="High",WORKDAY(J96,2,DATA!A95:A123),IF(I96="Medium",WORKDAY(J96,14,DATA!A95:A123),IF(OR(I96="Low"),WORKDAY(J96,30,DATA!A95:A123),""))),
"")
))</f>
        <v/>
      </c>
      <c r="O96" s="60" t="str">
        <f ca="1">IF(OR(ISBLANK(#REF!), M96="Completed", M96="Closed", H96&lt;&gt;"Issue"), "",
   (NETWORKDAYS.INTL(TODAY(), N96, 1, DATA!A95:A123) - 1))</f>
        <v/>
      </c>
      <c r="P96" s="88" t="str">
        <f t="shared" ca="1" si="2"/>
        <v/>
      </c>
      <c r="Q96" s="88" t="str">
        <f t="shared" ca="1" si="3"/>
        <v/>
      </c>
    </row>
    <row r="97" spans="1:17" ht="55.2" x14ac:dyDescent="0.3">
      <c r="A97" s="93">
        <v>95</v>
      </c>
      <c r="B97" s="77" t="s">
        <v>715</v>
      </c>
      <c r="C97" s="77" t="s">
        <v>70</v>
      </c>
      <c r="D97" s="77" t="s">
        <v>465</v>
      </c>
      <c r="E97" s="77" t="s">
        <v>356</v>
      </c>
      <c r="F97" s="77" t="s">
        <v>124</v>
      </c>
      <c r="G97" s="77" t="s">
        <v>716</v>
      </c>
      <c r="H97" s="77" t="s">
        <v>74</v>
      </c>
      <c r="I97" s="77" t="s">
        <v>75</v>
      </c>
      <c r="J97" s="94">
        <v>46099.852083333331</v>
      </c>
      <c r="K97" s="94">
        <v>46099.875</v>
      </c>
      <c r="L97" s="94">
        <v>46106.384027777778</v>
      </c>
      <c r="M97" s="93" t="s">
        <v>76</v>
      </c>
      <c r="N97" s="59" t="str">
        <f>IF(ISBLANK(J97),"",IF(OR(M97="Completed",M97="Closed"),"",IF(H97="Issue",IF(I97="High",WORKDAY(J97,2,DATA!A96:A124),IF(I97="Medium",WORKDAY(J97,14,DATA!A96:A124),IF(OR(I97="Low"),WORKDAY(J97,30,DATA!A96:A124),""))),
"")
))</f>
        <v/>
      </c>
      <c r="O97" s="60" t="str">
        <f ca="1">IF(OR(ISBLANK(#REF!), M97="Completed", M97="Closed", H97&lt;&gt;"Issue"), "",
   (NETWORKDAYS.INTL(TODAY(), N97, 1, DATA!A96:A124) - 1))</f>
        <v/>
      </c>
      <c r="P97" s="88" t="str">
        <f t="shared" ca="1" si="2"/>
        <v/>
      </c>
      <c r="Q97" s="88" t="str">
        <f t="shared" ca="1" si="3"/>
        <v/>
      </c>
    </row>
    <row r="98" spans="1:17" ht="55.2" x14ac:dyDescent="0.3">
      <c r="A98" s="93">
        <v>96</v>
      </c>
      <c r="B98" s="77" t="s">
        <v>717</v>
      </c>
      <c r="C98" s="77" t="s">
        <v>70</v>
      </c>
      <c r="D98" s="77" t="s">
        <v>465</v>
      </c>
      <c r="E98" s="77" t="s">
        <v>356</v>
      </c>
      <c r="F98" s="77" t="s">
        <v>672</v>
      </c>
      <c r="G98" s="77" t="s">
        <v>718</v>
      </c>
      <c r="H98" s="77" t="s">
        <v>74</v>
      </c>
      <c r="I98" s="77" t="s">
        <v>75</v>
      </c>
      <c r="J98" s="94">
        <v>46099.852777777778</v>
      </c>
      <c r="K98" s="94">
        <v>46099.874305555553</v>
      </c>
      <c r="L98" s="94">
        <v>46106.384027777778</v>
      </c>
      <c r="M98" s="93" t="s">
        <v>76</v>
      </c>
      <c r="N98" s="59" t="str">
        <f>IF(ISBLANK(J98),"",IF(OR(M98="Completed",M98="Closed"),"",IF(H98="Issue",IF(I98="High",WORKDAY(J98,2,DATA!A97:A125),IF(I98="Medium",WORKDAY(J98,14,DATA!A97:A125),IF(OR(I98="Low"),WORKDAY(J98,30,DATA!A97:A125),""))),
"")
))</f>
        <v/>
      </c>
      <c r="O98" s="60" t="str">
        <f ca="1">IF(OR(ISBLANK(#REF!), M98="Completed", M98="Closed", H98&lt;&gt;"Issue"), "",
   (NETWORKDAYS.INTL(TODAY(), N98, 1, DATA!A97:A125) - 1))</f>
        <v/>
      </c>
      <c r="P98" s="88" t="str">
        <f t="shared" ca="1" si="2"/>
        <v/>
      </c>
      <c r="Q98" s="88" t="str">
        <f t="shared" ca="1" si="3"/>
        <v/>
      </c>
    </row>
    <row r="99" spans="1:17" ht="41.4" x14ac:dyDescent="0.3">
      <c r="A99" s="93">
        <v>97</v>
      </c>
      <c r="B99" s="77" t="s">
        <v>719</v>
      </c>
      <c r="C99" s="77" t="s">
        <v>70</v>
      </c>
      <c r="D99" s="77" t="s">
        <v>465</v>
      </c>
      <c r="E99" s="77" t="s">
        <v>356</v>
      </c>
      <c r="F99" s="77" t="s">
        <v>709</v>
      </c>
      <c r="G99" s="77" t="s">
        <v>720</v>
      </c>
      <c r="H99" s="77" t="s">
        <v>74</v>
      </c>
      <c r="I99" s="77" t="s">
        <v>75</v>
      </c>
      <c r="J99" s="94">
        <v>46099.853472222225</v>
      </c>
      <c r="K99" s="94">
        <v>46099.872916666667</v>
      </c>
      <c r="L99" s="94">
        <v>46106.384027777778</v>
      </c>
      <c r="M99" s="93" t="s">
        <v>76</v>
      </c>
      <c r="N99" s="59" t="str">
        <f>IF(ISBLANK(J99),"",IF(OR(M99="Completed",M99="Closed"),"",IF(H99="Issue",IF(I99="High",WORKDAY(J99,2,DATA!A98:A126),IF(I99="Medium",WORKDAY(J99,14,DATA!A98:A126),IF(OR(I99="Low"),WORKDAY(J99,30,DATA!A98:A126),""))),
"")
))</f>
        <v/>
      </c>
      <c r="O99" s="60" t="str">
        <f ca="1">IF(OR(ISBLANK(#REF!), M99="Completed", M99="Closed", H99&lt;&gt;"Issue"), "",
   (NETWORKDAYS.INTL(TODAY(), N99, 1, DATA!A98:A126) - 1))</f>
        <v/>
      </c>
      <c r="P99" s="88" t="str">
        <f t="shared" ca="1" si="2"/>
        <v/>
      </c>
      <c r="Q99" s="88" t="str">
        <f t="shared" ca="1" si="3"/>
        <v/>
      </c>
    </row>
    <row r="100" spans="1:17" ht="41.4" x14ac:dyDescent="0.3">
      <c r="A100" s="93">
        <v>98</v>
      </c>
      <c r="B100" s="77" t="s">
        <v>721</v>
      </c>
      <c r="C100" s="77" t="s">
        <v>70</v>
      </c>
      <c r="D100" s="77" t="s">
        <v>465</v>
      </c>
      <c r="E100" s="77" t="s">
        <v>356</v>
      </c>
      <c r="F100" s="77" t="s">
        <v>722</v>
      </c>
      <c r="G100" s="77" t="s">
        <v>723</v>
      </c>
      <c r="H100" s="77" t="s">
        <v>74</v>
      </c>
      <c r="I100" s="77" t="s">
        <v>75</v>
      </c>
      <c r="J100" s="94">
        <v>46099.854166666664</v>
      </c>
      <c r="K100" s="94">
        <v>46099.872916666667</v>
      </c>
      <c r="L100" s="94">
        <v>46106.384027777778</v>
      </c>
      <c r="M100" s="93" t="s">
        <v>76</v>
      </c>
      <c r="N100" s="59" t="str">
        <f>IF(ISBLANK(J100),"",IF(OR(M100="Completed",M100="Closed"),"",IF(H100="Issue",IF(I100="High",WORKDAY(J100,2,DATA!A99:A127),IF(I100="Medium",WORKDAY(J100,14,DATA!A99:A127),IF(OR(I100="Low"),WORKDAY(J100,30,DATA!A99:A127),""))),
"")
))</f>
        <v/>
      </c>
      <c r="O100" s="60" t="str">
        <f ca="1">IF(OR(ISBLANK(#REF!), M100="Completed", M100="Closed", H100&lt;&gt;"Issue"), "",
   (NETWORKDAYS.INTL(TODAY(), N100, 1, DATA!A99:A127) - 1))</f>
        <v/>
      </c>
      <c r="P100" s="88" t="str">
        <f t="shared" ca="1" si="2"/>
        <v/>
      </c>
      <c r="Q100" s="88" t="str">
        <f t="shared" ca="1" si="3"/>
        <v/>
      </c>
    </row>
    <row r="101" spans="1:17" ht="55.2" x14ac:dyDescent="0.3">
      <c r="A101" s="93">
        <v>99</v>
      </c>
      <c r="B101" s="77" t="s">
        <v>724</v>
      </c>
      <c r="C101" s="77" t="s">
        <v>70</v>
      </c>
      <c r="D101" s="77" t="s">
        <v>465</v>
      </c>
      <c r="E101" s="77" t="s">
        <v>356</v>
      </c>
      <c r="F101" s="77" t="s">
        <v>725</v>
      </c>
      <c r="G101" s="77" t="s">
        <v>726</v>
      </c>
      <c r="H101" s="77" t="s">
        <v>74</v>
      </c>
      <c r="I101" s="77" t="s">
        <v>75</v>
      </c>
      <c r="J101" s="94">
        <v>46099.855555555558</v>
      </c>
      <c r="K101" s="94">
        <v>46099.872916666667</v>
      </c>
      <c r="L101" s="94">
        <v>46106.384027777778</v>
      </c>
      <c r="M101" s="93" t="s">
        <v>76</v>
      </c>
      <c r="N101" s="59" t="str">
        <f>IF(ISBLANK(J101),"",IF(OR(M101="Completed",M101="Closed"),"",IF(H101="Issue",IF(I101="High",WORKDAY(J101,2,DATA!A100:A128),IF(I101="Medium",WORKDAY(J101,14,DATA!A100:A128),IF(OR(I101="Low"),WORKDAY(J101,30,DATA!A100:A128),""))),
"")
))</f>
        <v/>
      </c>
      <c r="O101" s="60" t="str">
        <f ca="1">IF(OR(ISBLANK(#REF!), M101="Completed", M101="Closed", H101&lt;&gt;"Issue"), "",
   (NETWORKDAYS.INTL(TODAY(), N101, 1, DATA!A100:A128) - 1))</f>
        <v/>
      </c>
      <c r="P101" s="88" t="str">
        <f t="shared" ca="1" si="2"/>
        <v/>
      </c>
      <c r="Q101" s="88" t="str">
        <f t="shared" ca="1" si="3"/>
        <v/>
      </c>
    </row>
    <row r="102" spans="1:17" ht="41.4" x14ac:dyDescent="0.3">
      <c r="A102" s="93">
        <v>100</v>
      </c>
      <c r="B102" s="77" t="s">
        <v>727</v>
      </c>
      <c r="C102" s="77" t="s">
        <v>70</v>
      </c>
      <c r="D102" s="77" t="s">
        <v>465</v>
      </c>
      <c r="E102" s="77" t="s">
        <v>356</v>
      </c>
      <c r="F102" s="77" t="s">
        <v>728</v>
      </c>
      <c r="G102" s="77" t="s">
        <v>729</v>
      </c>
      <c r="H102" s="77" t="s">
        <v>74</v>
      </c>
      <c r="I102" s="77" t="s">
        <v>75</v>
      </c>
      <c r="J102" s="94">
        <v>46099.856249999997</v>
      </c>
      <c r="K102" s="94">
        <v>46099.87222222222</v>
      </c>
      <c r="L102" s="94">
        <v>46106.384027777778</v>
      </c>
      <c r="M102" s="93" t="s">
        <v>76</v>
      </c>
      <c r="N102" s="59" t="str">
        <f>IF(ISBLANK(J102),"",IF(OR(M102="Completed",M102="Closed"),"",IF(H102="Issue",IF(I102="High",WORKDAY(J102,2,DATA!A101:A129),IF(I102="Medium",WORKDAY(J102,14,DATA!A101:A129),IF(OR(I102="Low"),WORKDAY(J102,30,DATA!A101:A129),""))),
"")
))</f>
        <v/>
      </c>
      <c r="O102" s="60" t="str">
        <f ca="1">IF(OR(ISBLANK(#REF!), M102="Completed", M102="Closed", H102&lt;&gt;"Issue"), "",
   (NETWORKDAYS.INTL(TODAY(), N102, 1, DATA!A101:A129) - 1))</f>
        <v/>
      </c>
      <c r="P102" s="88" t="str">
        <f t="shared" ca="1" si="2"/>
        <v/>
      </c>
      <c r="Q102" s="88" t="str">
        <f t="shared" ca="1" si="3"/>
        <v/>
      </c>
    </row>
    <row r="103" spans="1:17" ht="55.2" x14ac:dyDescent="0.3">
      <c r="A103" s="93">
        <v>101</v>
      </c>
      <c r="B103" s="77" t="s">
        <v>730</v>
      </c>
      <c r="C103" s="77" t="s">
        <v>70</v>
      </c>
      <c r="D103" s="77" t="s">
        <v>465</v>
      </c>
      <c r="E103" s="77" t="s">
        <v>356</v>
      </c>
      <c r="F103" s="77" t="s">
        <v>639</v>
      </c>
      <c r="G103" s="77" t="s">
        <v>731</v>
      </c>
      <c r="H103" s="77" t="s">
        <v>74</v>
      </c>
      <c r="I103" s="77" t="s">
        <v>75</v>
      </c>
      <c r="J103" s="94">
        <v>46099.856944444444</v>
      </c>
      <c r="K103" s="94">
        <v>46099.871527777781</v>
      </c>
      <c r="L103" s="94">
        <v>46106.384027777778</v>
      </c>
      <c r="M103" s="93" t="s">
        <v>76</v>
      </c>
      <c r="N103" s="59" t="str">
        <f>IF(ISBLANK(J103),"",IF(OR(M103="Completed",M103="Closed"),"",IF(H103="Issue",IF(I103="High",WORKDAY(J103,2,DATA!A102:A130),IF(I103="Medium",WORKDAY(J103,14,DATA!A102:A130),IF(OR(I103="Low"),WORKDAY(J103,30,DATA!A102:A130),""))),
"")
))</f>
        <v/>
      </c>
      <c r="O103" s="60" t="str">
        <f ca="1">IF(OR(ISBLANK(#REF!), M103="Completed", M103="Closed", H103&lt;&gt;"Issue"), "",
   (NETWORKDAYS.INTL(TODAY(), N103, 1, DATA!A102:A130) - 1))</f>
        <v/>
      </c>
      <c r="P103" s="88" t="str">
        <f t="shared" ca="1" si="2"/>
        <v/>
      </c>
      <c r="Q103" s="88" t="str">
        <f t="shared" ca="1" si="3"/>
        <v/>
      </c>
    </row>
    <row r="104" spans="1:17" ht="82.8" x14ac:dyDescent="0.3">
      <c r="A104" s="93">
        <v>102</v>
      </c>
      <c r="B104" s="77" t="s">
        <v>732</v>
      </c>
      <c r="C104" s="77" t="s">
        <v>70</v>
      </c>
      <c r="D104" s="77" t="s">
        <v>465</v>
      </c>
      <c r="E104" s="77" t="s">
        <v>356</v>
      </c>
      <c r="F104" s="77" t="s">
        <v>733</v>
      </c>
      <c r="G104" s="77" t="s">
        <v>734</v>
      </c>
      <c r="H104" s="77" t="s">
        <v>74</v>
      </c>
      <c r="I104" s="77" t="s">
        <v>75</v>
      </c>
      <c r="J104" s="94">
        <v>46099.857638888891</v>
      </c>
      <c r="K104" s="94">
        <v>46099.870833333334</v>
      </c>
      <c r="L104" s="94">
        <v>46106.384027777778</v>
      </c>
      <c r="M104" s="93" t="s">
        <v>76</v>
      </c>
      <c r="N104" s="59" t="str">
        <f>IF(ISBLANK(J104),"",IF(OR(M104="Completed",M104="Closed"),"",IF(H104="Issue",IF(I104="High",WORKDAY(J104,2,DATA!A103:A131),IF(I104="Medium",WORKDAY(J104,14,DATA!A103:A131),IF(OR(I104="Low"),WORKDAY(J104,30,DATA!A103:A131),""))),
"")
))</f>
        <v/>
      </c>
      <c r="O104" s="60" t="str">
        <f ca="1">IF(OR(ISBLANK(#REF!), M104="Completed", M104="Closed", H104&lt;&gt;"Issue"), "",
   (NETWORKDAYS.INTL(TODAY(), N104, 1, DATA!A103:A131) - 1))</f>
        <v/>
      </c>
      <c r="P104" s="88" t="str">
        <f t="shared" ca="1" si="2"/>
        <v/>
      </c>
      <c r="Q104" s="88" t="str">
        <f t="shared" ca="1" si="3"/>
        <v/>
      </c>
    </row>
    <row r="105" spans="1:17" ht="82.8" x14ac:dyDescent="0.3">
      <c r="A105" s="93">
        <v>103</v>
      </c>
      <c r="B105" s="77" t="s">
        <v>735</v>
      </c>
      <c r="C105" s="77" t="s">
        <v>70</v>
      </c>
      <c r="D105" s="77" t="s">
        <v>465</v>
      </c>
      <c r="E105" s="77" t="s">
        <v>356</v>
      </c>
      <c r="F105" s="77" t="s">
        <v>694</v>
      </c>
      <c r="G105" s="77" t="s">
        <v>736</v>
      </c>
      <c r="H105" s="77" t="s">
        <v>74</v>
      </c>
      <c r="I105" s="77" t="s">
        <v>75</v>
      </c>
      <c r="J105" s="94">
        <v>46099.85833333333</v>
      </c>
      <c r="K105" s="94">
        <v>46099.870833333334</v>
      </c>
      <c r="L105" s="94">
        <v>46106.384027777778</v>
      </c>
      <c r="M105" s="93" t="s">
        <v>76</v>
      </c>
      <c r="N105" s="59" t="str">
        <f>IF(ISBLANK(J105),"",IF(OR(M105="Completed",M105="Closed"),"",IF(H105="Issue",IF(I105="High",WORKDAY(J105,2,DATA!A104:A132),IF(I105="Medium",WORKDAY(J105,14,DATA!A104:A132),IF(OR(I105="Low"),WORKDAY(J105,30,DATA!A104:A132),""))),
"")
))</f>
        <v/>
      </c>
      <c r="O105" s="60" t="str">
        <f ca="1">IF(OR(ISBLANK(#REF!), M105="Completed", M105="Closed", H105&lt;&gt;"Issue"), "",
   (NETWORKDAYS.INTL(TODAY(), N105, 1, DATA!A104:A132) - 1))</f>
        <v/>
      </c>
      <c r="P105" s="88" t="str">
        <f t="shared" ca="1" si="2"/>
        <v/>
      </c>
      <c r="Q105" s="88" t="str">
        <f t="shared" ca="1" si="3"/>
        <v/>
      </c>
    </row>
    <row r="106" spans="1:17" ht="110.4" customHeight="1" x14ac:dyDescent="0.3">
      <c r="A106" s="93">
        <v>104</v>
      </c>
      <c r="B106" s="77" t="s">
        <v>737</v>
      </c>
      <c r="C106" s="77" t="s">
        <v>70</v>
      </c>
      <c r="D106" s="77" t="s">
        <v>465</v>
      </c>
      <c r="E106" s="77" t="s">
        <v>356</v>
      </c>
      <c r="F106" s="77" t="s">
        <v>738</v>
      </c>
      <c r="G106" s="77" t="s">
        <v>739</v>
      </c>
      <c r="H106" s="77" t="s">
        <v>74</v>
      </c>
      <c r="I106" s="77" t="s">
        <v>75</v>
      </c>
      <c r="J106" s="94">
        <v>46099.859722222223</v>
      </c>
      <c r="K106" s="94">
        <v>46099.870138888888</v>
      </c>
      <c r="L106" s="94">
        <v>46106.384027777778</v>
      </c>
      <c r="M106" s="93" t="s">
        <v>76</v>
      </c>
      <c r="N106" s="59" t="str">
        <f>IF(ISBLANK(J106),"",IF(OR(M106="Completed",M106="Closed"),"",IF(H106="Issue",IF(I106="High",WORKDAY(J106,2,DATA!A105:A133),IF(I106="Medium",WORKDAY(J106,14,DATA!A105:A133),IF(OR(I106="Low"),WORKDAY(J106,30,DATA!A105:A133),""))),
"")
))</f>
        <v/>
      </c>
      <c r="O106" s="60" t="str">
        <f ca="1">IF(OR(ISBLANK(#REF!), M106="Completed", M106="Closed", H106&lt;&gt;"Issue"), "",
   (NETWORKDAYS.INTL(TODAY(), N106, 1, DATA!A105:A133) - 1))</f>
        <v/>
      </c>
      <c r="P106" s="88" t="str">
        <f t="shared" ca="1" si="2"/>
        <v/>
      </c>
      <c r="Q106" s="88" t="str">
        <f t="shared" ca="1" si="3"/>
        <v/>
      </c>
    </row>
    <row r="107" spans="1:17" ht="69" x14ac:dyDescent="0.3">
      <c r="A107" s="93">
        <v>105</v>
      </c>
      <c r="B107" s="77" t="s">
        <v>740</v>
      </c>
      <c r="C107" s="77" t="s">
        <v>70</v>
      </c>
      <c r="D107" s="77" t="s">
        <v>487</v>
      </c>
      <c r="E107" s="77" t="s">
        <v>356</v>
      </c>
      <c r="F107" s="77" t="s">
        <v>741</v>
      </c>
      <c r="G107" s="77" t="s">
        <v>742</v>
      </c>
      <c r="H107" s="77" t="s">
        <v>74</v>
      </c>
      <c r="I107" s="77" t="s">
        <v>75</v>
      </c>
      <c r="J107" s="94">
        <v>46099.86041666667</v>
      </c>
      <c r="K107" s="94">
        <v>46099.869444444441</v>
      </c>
      <c r="L107" s="94">
        <v>46106.384027777778</v>
      </c>
      <c r="M107" s="93" t="s">
        <v>76</v>
      </c>
      <c r="N107" s="59" t="str">
        <f>IF(ISBLANK(J107),"",IF(OR(M107="Completed",M107="Closed"),"",IF(H107="Issue",IF(I107="High",WORKDAY(J107,2,DATA!A106:A134),IF(I107="Medium",WORKDAY(J107,14,DATA!A106:A134),IF(OR(I107="Low"),WORKDAY(J107,30,DATA!A106:A134),""))),
"")
))</f>
        <v/>
      </c>
      <c r="O107" s="60" t="str">
        <f ca="1">IF(OR(ISBLANK(#REF!), M107="Completed", M107="Closed", H107&lt;&gt;"Issue"), "",
   (NETWORKDAYS.INTL(TODAY(), N107, 1, DATA!A106:A134) - 1))</f>
        <v/>
      </c>
      <c r="P107" s="88" t="str">
        <f t="shared" ca="1" si="2"/>
        <v/>
      </c>
      <c r="Q107" s="88" t="str">
        <f t="shared" ca="1" si="3"/>
        <v/>
      </c>
    </row>
    <row r="108" spans="1:17" ht="82.8" x14ac:dyDescent="0.3">
      <c r="A108" s="93">
        <v>106</v>
      </c>
      <c r="B108" s="77" t="s">
        <v>743</v>
      </c>
      <c r="C108" s="77" t="s">
        <v>70</v>
      </c>
      <c r="D108" s="77" t="s">
        <v>465</v>
      </c>
      <c r="E108" s="77" t="s">
        <v>356</v>
      </c>
      <c r="F108" s="77" t="s">
        <v>744</v>
      </c>
      <c r="G108" s="77" t="s">
        <v>745</v>
      </c>
      <c r="H108" s="77" t="s">
        <v>74</v>
      </c>
      <c r="I108" s="77" t="s">
        <v>75</v>
      </c>
      <c r="J108" s="94">
        <v>46099.861111111109</v>
      </c>
      <c r="K108" s="94">
        <v>46099.869444444441</v>
      </c>
      <c r="L108" s="94">
        <v>46106.384027777778</v>
      </c>
      <c r="M108" s="93" t="s">
        <v>76</v>
      </c>
      <c r="N108" s="59" t="str">
        <f>IF(ISBLANK(J108),"",IF(OR(M108="Completed",M108="Closed"),"",IF(H108="Issue",IF(I108="High",WORKDAY(J108,2,DATA!A107:A135),IF(I108="Medium",WORKDAY(J108,14,DATA!A107:A135),IF(OR(I108="Low"),WORKDAY(J108,30,DATA!A107:A135),""))),
"")
))</f>
        <v/>
      </c>
      <c r="O108" s="60" t="str">
        <f ca="1">IF(OR(ISBLANK(#REF!), M108="Completed", M108="Closed", H108&lt;&gt;"Issue"), "",
   (NETWORKDAYS.INTL(TODAY(), N108, 1, DATA!A107:A135) - 1))</f>
        <v/>
      </c>
      <c r="P108" s="88" t="str">
        <f t="shared" ca="1" si="2"/>
        <v/>
      </c>
      <c r="Q108" s="88" t="str">
        <f t="shared" ca="1" si="3"/>
        <v/>
      </c>
    </row>
    <row r="109" spans="1:17" ht="96.6" x14ac:dyDescent="0.3">
      <c r="A109" s="93">
        <v>107</v>
      </c>
      <c r="B109" s="77" t="s">
        <v>746</v>
      </c>
      <c r="C109" s="77" t="s">
        <v>70</v>
      </c>
      <c r="D109" s="77" t="s">
        <v>465</v>
      </c>
      <c r="E109" s="77" t="s">
        <v>356</v>
      </c>
      <c r="F109" s="77" t="s">
        <v>657</v>
      </c>
      <c r="G109" s="77" t="s">
        <v>747</v>
      </c>
      <c r="H109" s="77" t="s">
        <v>74</v>
      </c>
      <c r="I109" s="77" t="s">
        <v>75</v>
      </c>
      <c r="J109" s="94">
        <v>46099.861805555556</v>
      </c>
      <c r="K109" s="94">
        <v>46099.868750000001</v>
      </c>
      <c r="L109" s="94">
        <v>46106.384027777778</v>
      </c>
      <c r="M109" s="93" t="s">
        <v>76</v>
      </c>
      <c r="N109" s="59" t="str">
        <f>IF(ISBLANK(J109),"",IF(OR(M109="Completed",M109="Closed"),"",IF(H109="Issue",IF(I109="High",WORKDAY(J109,2,DATA!A108:A136),IF(I109="Medium",WORKDAY(J109,14,DATA!A108:A136),IF(OR(I109="Low"),WORKDAY(J109,30,DATA!A108:A136),""))),
"")
))</f>
        <v/>
      </c>
      <c r="O109" s="60" t="str">
        <f ca="1">IF(OR(ISBLANK(#REF!), M109="Completed", M109="Closed", H109&lt;&gt;"Issue"), "",
   (NETWORKDAYS.INTL(TODAY(), N109, 1, DATA!A108:A136) - 1))</f>
        <v/>
      </c>
      <c r="P109" s="88" t="str">
        <f t="shared" ca="1" si="2"/>
        <v/>
      </c>
      <c r="Q109" s="88" t="str">
        <f t="shared" ca="1" si="3"/>
        <v/>
      </c>
    </row>
    <row r="110" spans="1:17" ht="55.2" x14ac:dyDescent="0.3">
      <c r="A110" s="93">
        <v>108</v>
      </c>
      <c r="B110" s="77" t="s">
        <v>748</v>
      </c>
      <c r="C110" s="77" t="s">
        <v>70</v>
      </c>
      <c r="D110" s="77" t="s">
        <v>465</v>
      </c>
      <c r="E110" s="77" t="s">
        <v>356</v>
      </c>
      <c r="F110" s="77" t="s">
        <v>749</v>
      </c>
      <c r="G110" s="77" t="s">
        <v>750</v>
      </c>
      <c r="H110" s="77" t="s">
        <v>74</v>
      </c>
      <c r="I110" s="77" t="s">
        <v>75</v>
      </c>
      <c r="J110" s="94">
        <v>46099.862500000003</v>
      </c>
      <c r="K110" s="94">
        <v>46099.868055555555</v>
      </c>
      <c r="L110" s="94">
        <v>46106.384027777778</v>
      </c>
      <c r="M110" s="93" t="s">
        <v>76</v>
      </c>
      <c r="N110" s="59" t="str">
        <f>IF(ISBLANK(J110),"",IF(OR(M110="Completed",M110="Closed"),"",IF(H110="Issue",IF(I110="High",WORKDAY(J110,2,DATA!A109:A137),IF(I110="Medium",WORKDAY(J110,14,DATA!A109:A137),IF(OR(I110="Low"),WORKDAY(J110,30,DATA!A109:A137),""))),
"")
))</f>
        <v/>
      </c>
      <c r="O110" s="60" t="str">
        <f ca="1">IF(OR(ISBLANK(#REF!), M110="Completed", M110="Closed", H110&lt;&gt;"Issue"), "",
   (NETWORKDAYS.INTL(TODAY(), N110, 1, DATA!A109:A137) - 1))</f>
        <v/>
      </c>
      <c r="P110" s="88" t="str">
        <f t="shared" ca="1" si="2"/>
        <v/>
      </c>
      <c r="Q110" s="88" t="str">
        <f t="shared" ca="1" si="3"/>
        <v/>
      </c>
    </row>
    <row r="111" spans="1:17" ht="55.2" x14ac:dyDescent="0.3">
      <c r="A111" s="93">
        <v>109</v>
      </c>
      <c r="B111" s="77" t="s">
        <v>751</v>
      </c>
      <c r="C111" s="77" t="s">
        <v>70</v>
      </c>
      <c r="D111" s="77" t="s">
        <v>465</v>
      </c>
      <c r="E111" s="77" t="s">
        <v>356</v>
      </c>
      <c r="F111" s="77" t="s">
        <v>749</v>
      </c>
      <c r="G111" s="77" t="s">
        <v>752</v>
      </c>
      <c r="H111" s="77" t="s">
        <v>74</v>
      </c>
      <c r="I111" s="77" t="s">
        <v>75</v>
      </c>
      <c r="J111" s="94">
        <v>46099.863194444442</v>
      </c>
      <c r="K111" s="94">
        <v>46099.867361111108</v>
      </c>
      <c r="L111" s="94">
        <v>46106.384027777778</v>
      </c>
      <c r="M111" s="93" t="s">
        <v>76</v>
      </c>
      <c r="N111" s="59" t="str">
        <f>IF(ISBLANK(J111),"",IF(OR(M111="Completed",M111="Closed"),"",IF(H111="Issue",IF(I111="High",WORKDAY(J111,2,DATA!A110:A138),IF(I111="Medium",WORKDAY(J111,14,DATA!A110:A138),IF(OR(I111="Low"),WORKDAY(J111,30,DATA!A110:A138),""))),
"")
))</f>
        <v/>
      </c>
      <c r="O111" s="60" t="str">
        <f ca="1">IF(OR(ISBLANK(#REF!), M111="Completed", M111="Closed", H111&lt;&gt;"Issue"), "",
   (NETWORKDAYS.INTL(TODAY(), N111, 1, DATA!A110:A138) - 1))</f>
        <v/>
      </c>
      <c r="P111" s="88" t="str">
        <f t="shared" ca="1" si="2"/>
        <v/>
      </c>
      <c r="Q111" s="88" t="str">
        <f t="shared" ca="1" si="3"/>
        <v/>
      </c>
    </row>
    <row r="112" spans="1:17" ht="41.4" x14ac:dyDescent="0.3">
      <c r="A112" s="93">
        <v>110</v>
      </c>
      <c r="B112" s="77" t="s">
        <v>753</v>
      </c>
      <c r="C112" s="77" t="s">
        <v>70</v>
      </c>
      <c r="D112" s="77" t="s">
        <v>465</v>
      </c>
      <c r="E112" s="77" t="s">
        <v>356</v>
      </c>
      <c r="F112" s="77" t="s">
        <v>639</v>
      </c>
      <c r="G112" s="77" t="s">
        <v>754</v>
      </c>
      <c r="H112" s="77" t="s">
        <v>74</v>
      </c>
      <c r="I112" s="77" t="s">
        <v>75</v>
      </c>
      <c r="J112" s="94">
        <v>46099.863888888889</v>
      </c>
      <c r="K112" s="94">
        <v>46099.866666666669</v>
      </c>
      <c r="L112" s="94">
        <v>46106.383333333331</v>
      </c>
      <c r="M112" s="93" t="s">
        <v>76</v>
      </c>
      <c r="N112" s="59" t="str">
        <f>IF(ISBLANK(J112),"",IF(OR(M112="Completed",M112="Closed"),"",IF(H112="Issue",IF(I112="High",WORKDAY(J112,2,DATA!A111:A139),IF(I112="Medium",WORKDAY(J112,14,DATA!A111:A139),IF(OR(I112="Low"),WORKDAY(J112,30,DATA!A111:A139),""))),
"")
))</f>
        <v/>
      </c>
      <c r="O112" s="60" t="str">
        <f ca="1">IF(OR(ISBLANK(#REF!), M112="Completed", M112="Closed", H112&lt;&gt;"Issue"), "",
   (NETWORKDAYS.INTL(TODAY(), N112, 1, DATA!A111:A139) - 1))</f>
        <v/>
      </c>
      <c r="P112" s="88" t="str">
        <f t="shared" ca="1" si="2"/>
        <v/>
      </c>
      <c r="Q112" s="88" t="str">
        <f t="shared" ca="1" si="3"/>
        <v/>
      </c>
    </row>
    <row r="113" spans="1:17" ht="69" x14ac:dyDescent="0.3">
      <c r="A113" s="93">
        <v>111</v>
      </c>
      <c r="B113" s="77" t="s">
        <v>755</v>
      </c>
      <c r="C113" s="77" t="s">
        <v>70</v>
      </c>
      <c r="D113" s="77" t="s">
        <v>465</v>
      </c>
      <c r="E113" s="77" t="s">
        <v>356</v>
      </c>
      <c r="F113" s="77" t="s">
        <v>756</v>
      </c>
      <c r="G113" s="77" t="s">
        <v>757</v>
      </c>
      <c r="H113" s="77" t="s">
        <v>74</v>
      </c>
      <c r="I113" s="77" t="s">
        <v>75</v>
      </c>
      <c r="J113" s="94">
        <v>46099.864583333336</v>
      </c>
      <c r="K113" s="94">
        <v>46099.865972222222</v>
      </c>
      <c r="L113" s="94">
        <v>46106.383333333331</v>
      </c>
      <c r="M113" s="93" t="s">
        <v>76</v>
      </c>
      <c r="N113" s="59" t="str">
        <f>IF(ISBLANK(J113),"",IF(OR(M113="Completed",M113="Closed"),"",IF(H113="Issue",IF(I113="High",WORKDAY(J113,2,DATA!A112:A140),IF(I113="Medium",WORKDAY(J113,14,DATA!A112:A140),IF(OR(I113="Low"),WORKDAY(J113,30,DATA!A112:A140),""))),
"")
))</f>
        <v/>
      </c>
      <c r="O113" s="60" t="str">
        <f ca="1">IF(OR(ISBLANK(#REF!), M113="Completed", M113="Closed", H113&lt;&gt;"Issue"), "",
   (NETWORKDAYS.INTL(TODAY(), N113, 1, DATA!A112:A140) - 1))</f>
        <v/>
      </c>
      <c r="P113" s="88" t="str">
        <f t="shared" ca="1" si="2"/>
        <v/>
      </c>
      <c r="Q113" s="88" t="str">
        <f t="shared" ca="1" si="3"/>
        <v/>
      </c>
    </row>
    <row r="114" spans="1:17" ht="69" x14ac:dyDescent="0.3">
      <c r="A114" s="93">
        <v>112</v>
      </c>
      <c r="B114" s="77" t="s">
        <v>758</v>
      </c>
      <c r="C114" s="77" t="s">
        <v>70</v>
      </c>
      <c r="D114" s="77" t="s">
        <v>477</v>
      </c>
      <c r="E114" s="77" t="s">
        <v>356</v>
      </c>
      <c r="F114" s="77" t="s">
        <v>759</v>
      </c>
      <c r="G114" s="77" t="s">
        <v>760</v>
      </c>
      <c r="H114" s="77" t="s">
        <v>74</v>
      </c>
      <c r="I114" s="77" t="s">
        <v>75</v>
      </c>
      <c r="J114" s="94">
        <v>46113.491666666669</v>
      </c>
      <c r="K114" s="94">
        <v>46115.705555555556</v>
      </c>
      <c r="L114" s="94">
        <v>46115.713194444441</v>
      </c>
      <c r="M114" s="93" t="s">
        <v>76</v>
      </c>
      <c r="N114" s="59" t="str">
        <f>IF(ISBLANK(J114),"",IF(OR(M114="Completed",M114="Closed"),"",IF(H114="Issue",IF(I114="High",WORKDAY(J114,2,DATA!A113:A141),IF(I114="Medium",WORKDAY(J114,14,DATA!A113:A141),IF(OR(I114="Low"),WORKDAY(J114,30,DATA!A113:A141),""))),
"")
))</f>
        <v/>
      </c>
      <c r="O114" s="60" t="str">
        <f ca="1">IF(OR(ISBLANK(#REF!), M114="Completed", M114="Closed", H114&lt;&gt;"Issue"), "",
   (NETWORKDAYS.INTL(TODAY(), N114, 1, DATA!A113:A141) - 1))</f>
        <v/>
      </c>
      <c r="P114" s="88" t="str">
        <f t="shared" ca="1" si="2"/>
        <v/>
      </c>
      <c r="Q114" s="88" t="str">
        <f t="shared" ca="1" si="3"/>
        <v/>
      </c>
    </row>
    <row r="115" spans="1:17" ht="82.8" x14ac:dyDescent="0.3">
      <c r="A115" s="93">
        <v>113</v>
      </c>
      <c r="B115" s="77" t="s">
        <v>761</v>
      </c>
      <c r="C115" s="77" t="s">
        <v>70</v>
      </c>
      <c r="D115" s="77" t="s">
        <v>477</v>
      </c>
      <c r="E115" s="77" t="s">
        <v>356</v>
      </c>
      <c r="F115" s="77" t="s">
        <v>762</v>
      </c>
      <c r="G115" s="77" t="s">
        <v>763</v>
      </c>
      <c r="H115" s="77" t="s">
        <v>74</v>
      </c>
      <c r="I115" s="77" t="s">
        <v>75</v>
      </c>
      <c r="J115" s="94">
        <v>46113.658333333333</v>
      </c>
      <c r="K115" s="94">
        <v>46114.441666666666</v>
      </c>
      <c r="L115" s="94">
        <v>46159.930555555555</v>
      </c>
      <c r="M115" s="93" t="s">
        <v>76</v>
      </c>
      <c r="N115" s="59" t="str">
        <f>IF(ISBLANK(J115),"",IF(OR(M115="Completed",M115="Closed"),"",IF(H115="Issue",IF(I115="High",WORKDAY(J115,2,DATA!A114:A142),IF(I115="Medium",WORKDAY(J115,14,DATA!A114:A142),IF(OR(I115="Low"),WORKDAY(J115,30,DATA!A114:A142),""))),
"")
))</f>
        <v/>
      </c>
      <c r="O115" s="60" t="str">
        <f ca="1">IF(OR(ISBLANK(#REF!), M115="Completed", M115="Closed", H115&lt;&gt;"Issue"), "",
   (NETWORKDAYS.INTL(TODAY(), N115, 1, DATA!A114:A142) - 1))</f>
        <v/>
      </c>
      <c r="P115" s="88" t="str">
        <f t="shared" ca="1" si="2"/>
        <v/>
      </c>
      <c r="Q115" s="88" t="str">
        <f t="shared" ca="1" si="3"/>
        <v/>
      </c>
    </row>
    <row r="116" spans="1:17" ht="27.6" x14ac:dyDescent="0.3">
      <c r="A116" s="93">
        <v>114</v>
      </c>
      <c r="B116" s="77" t="s">
        <v>764</v>
      </c>
      <c r="C116" s="77" t="s">
        <v>70</v>
      </c>
      <c r="D116" s="77" t="s">
        <v>465</v>
      </c>
      <c r="E116" s="77" t="s">
        <v>356</v>
      </c>
      <c r="F116" s="77" t="s">
        <v>765</v>
      </c>
      <c r="G116" s="77" t="s">
        <v>766</v>
      </c>
      <c r="H116" s="77" t="s">
        <v>74</v>
      </c>
      <c r="I116" s="77" t="s">
        <v>75</v>
      </c>
      <c r="J116" s="94">
        <v>46114.410416666666</v>
      </c>
      <c r="K116" s="79"/>
      <c r="L116" s="79"/>
      <c r="M116" s="93" t="s">
        <v>566</v>
      </c>
      <c r="N116" s="59">
        <f>IF(ISBLANK(J116),"",IF(OR(M116="Completed",M116="Closed"),"",IF(H116="Issue",IF(I116="High",WORKDAY(J116,2,DATA!A115:A143),IF(I116="Medium",WORKDAY(J116,14,DATA!A115:A143),IF(OR(I116="Low"),WORKDAY(J116,30,DATA!A115:A143),""))),
"")
))</f>
        <v>46134</v>
      </c>
      <c r="O116" s="60">
        <f ca="1">IF(OR(ISBLANK(#REF!), M116="Completed", M116="Closed", H116&lt;&gt;"Issue"), "",
   (NETWORKDAYS.INTL(TODAY(), N116, 1, DATA!A115:A143) - 1))</f>
        <v>-67</v>
      </c>
      <c r="P116" s="88">
        <f t="shared" ca="1" si="2"/>
        <v>67</v>
      </c>
      <c r="Q116" s="88" t="str">
        <f t="shared" ca="1" si="3"/>
        <v>&gt;60 Days</v>
      </c>
    </row>
    <row r="117" spans="1:17" ht="55.2" x14ac:dyDescent="0.3">
      <c r="A117" s="93">
        <v>115</v>
      </c>
      <c r="B117" s="77" t="s">
        <v>767</v>
      </c>
      <c r="C117" s="77" t="s">
        <v>70</v>
      </c>
      <c r="D117" s="77" t="s">
        <v>477</v>
      </c>
      <c r="E117" s="77" t="s">
        <v>356</v>
      </c>
      <c r="F117" s="77" t="s">
        <v>768</v>
      </c>
      <c r="G117" s="77" t="s">
        <v>769</v>
      </c>
      <c r="H117" s="77" t="s">
        <v>74</v>
      </c>
      <c r="I117" s="77" t="s">
        <v>75</v>
      </c>
      <c r="J117" s="94">
        <v>46114.439583333333</v>
      </c>
      <c r="K117" s="94">
        <v>46121.381249999999</v>
      </c>
      <c r="L117" s="94">
        <v>46159.931250000001</v>
      </c>
      <c r="M117" s="93" t="s">
        <v>76</v>
      </c>
      <c r="N117" s="59" t="str">
        <f>IF(ISBLANK(J117),"",IF(OR(M117="Completed",M117="Closed"),"",IF(H117="Issue",IF(I117="High",WORKDAY(J117,2,DATA!A116:A144),IF(I117="Medium",WORKDAY(J117,14,DATA!A116:A144),IF(OR(I117="Low"),WORKDAY(J117,30,DATA!A116:A144),""))),
"")
))</f>
        <v/>
      </c>
      <c r="O117" s="60" t="str">
        <f ca="1">IF(OR(ISBLANK(#REF!), M117="Completed", M117="Closed", H117&lt;&gt;"Issue"), "",
   (NETWORKDAYS.INTL(TODAY(), N117, 1, DATA!A116:A144) - 1))</f>
        <v/>
      </c>
      <c r="P117" s="88" t="str">
        <f t="shared" ca="1" si="2"/>
        <v/>
      </c>
      <c r="Q117" s="88" t="str">
        <f t="shared" ca="1" si="3"/>
        <v/>
      </c>
    </row>
    <row r="118" spans="1:17" ht="41.4" x14ac:dyDescent="0.3">
      <c r="A118" s="93">
        <v>116</v>
      </c>
      <c r="B118" s="77" t="s">
        <v>770</v>
      </c>
      <c r="C118" s="77" t="s">
        <v>70</v>
      </c>
      <c r="D118" s="77" t="s">
        <v>477</v>
      </c>
      <c r="E118" s="77" t="s">
        <v>356</v>
      </c>
      <c r="F118" s="77" t="s">
        <v>771</v>
      </c>
      <c r="G118" s="77" t="s">
        <v>772</v>
      </c>
      <c r="H118" s="77" t="s">
        <v>74</v>
      </c>
      <c r="I118" s="77" t="s">
        <v>75</v>
      </c>
      <c r="J118" s="94">
        <v>46114.463888888888</v>
      </c>
      <c r="K118" s="94">
        <v>46115.707638888889</v>
      </c>
      <c r="L118" s="94">
        <v>46159.931944444441</v>
      </c>
      <c r="M118" s="93" t="s">
        <v>76</v>
      </c>
      <c r="N118" s="59" t="str">
        <f>IF(ISBLANK(J118),"",IF(OR(M118="Completed",M118="Closed"),"",IF(H118="Issue",IF(I118="High",WORKDAY(J118,2,DATA!A117:A145),IF(I118="Medium",WORKDAY(J118,14,DATA!A117:A145),IF(OR(I118="Low"),WORKDAY(J118,30,DATA!A117:A145),""))),
"")
))</f>
        <v/>
      </c>
      <c r="O118" s="60" t="str">
        <f ca="1">IF(OR(ISBLANK(#REF!), M118="Completed", M118="Closed", H118&lt;&gt;"Issue"), "",
   (NETWORKDAYS.INTL(TODAY(), N118, 1, DATA!A117:A145) - 1))</f>
        <v/>
      </c>
      <c r="P118" s="88" t="str">
        <f t="shared" ca="1" si="2"/>
        <v/>
      </c>
      <c r="Q118" s="88" t="str">
        <f t="shared" ca="1" si="3"/>
        <v/>
      </c>
    </row>
    <row r="119" spans="1:17" ht="41.4" x14ac:dyDescent="0.3">
      <c r="A119" s="93">
        <v>117</v>
      </c>
      <c r="B119" s="77" t="s">
        <v>773</v>
      </c>
      <c r="C119" s="77" t="s">
        <v>70</v>
      </c>
      <c r="D119" s="77" t="s">
        <v>477</v>
      </c>
      <c r="E119" s="77" t="s">
        <v>356</v>
      </c>
      <c r="F119" s="77" t="s">
        <v>774</v>
      </c>
      <c r="G119" s="77" t="s">
        <v>775</v>
      </c>
      <c r="H119" s="77" t="s">
        <v>74</v>
      </c>
      <c r="I119" s="77" t="s">
        <v>75</v>
      </c>
      <c r="J119" s="94">
        <v>46114.640277777777</v>
      </c>
      <c r="K119" s="94">
        <v>46140.393750000003</v>
      </c>
      <c r="L119" s="94">
        <v>46159.932638888888</v>
      </c>
      <c r="M119" s="93" t="s">
        <v>76</v>
      </c>
      <c r="N119" s="59" t="str">
        <f>IF(ISBLANK(J119),"",IF(OR(M119="Completed",M119="Closed"),"",IF(H119="Issue",IF(I119="High",WORKDAY(J119,2,DATA!A118:A146),IF(I119="Medium",WORKDAY(J119,14,DATA!A118:A146),IF(OR(I119="Low"),WORKDAY(J119,30,DATA!A118:A146),""))),
"")
))</f>
        <v/>
      </c>
      <c r="O119" s="60" t="str">
        <f ca="1">IF(OR(ISBLANK(#REF!), M119="Completed", M119="Closed", H119&lt;&gt;"Issue"), "",
   (NETWORKDAYS.INTL(TODAY(), N119, 1, DATA!A118:A146) - 1))</f>
        <v/>
      </c>
      <c r="P119" s="88" t="str">
        <f t="shared" ca="1" si="2"/>
        <v/>
      </c>
      <c r="Q119" s="88" t="str">
        <f t="shared" ca="1" si="3"/>
        <v/>
      </c>
    </row>
    <row r="120" spans="1:17" ht="27.6" x14ac:dyDescent="0.3">
      <c r="A120" s="93">
        <v>118</v>
      </c>
      <c r="B120" s="77" t="s">
        <v>776</v>
      </c>
      <c r="C120" s="77" t="s">
        <v>70</v>
      </c>
      <c r="D120" s="77" t="s">
        <v>465</v>
      </c>
      <c r="E120" s="77" t="s">
        <v>356</v>
      </c>
      <c r="F120" s="77" t="s">
        <v>777</v>
      </c>
      <c r="G120" s="77" t="s">
        <v>778</v>
      </c>
      <c r="H120" s="77" t="s">
        <v>74</v>
      </c>
      <c r="I120" s="77" t="s">
        <v>75</v>
      </c>
      <c r="J120" s="94">
        <v>46114.681250000001</v>
      </c>
      <c r="K120" s="94">
        <v>46127.507638888892</v>
      </c>
      <c r="L120" s="94">
        <v>46127.508333333331</v>
      </c>
      <c r="M120" s="93" t="s">
        <v>76</v>
      </c>
      <c r="N120" s="59" t="str">
        <f>IF(ISBLANK(J120),"",IF(OR(M120="Completed",M120="Closed"),"",IF(H120="Issue",IF(I120="High",WORKDAY(J120,2,DATA!A119:A147),IF(I120="Medium",WORKDAY(J120,14,DATA!A119:A147),IF(OR(I120="Low"),WORKDAY(J120,30,DATA!A119:A147),""))),
"")
))</f>
        <v/>
      </c>
      <c r="O120" s="60" t="str">
        <f ca="1">IF(OR(ISBLANK(#REF!), M120="Completed", M120="Closed", H120&lt;&gt;"Issue"), "",
   (NETWORKDAYS.INTL(TODAY(), N120, 1, DATA!A119:A147) - 1))</f>
        <v/>
      </c>
      <c r="P120" s="88" t="str">
        <f t="shared" ca="1" si="2"/>
        <v/>
      </c>
      <c r="Q120" s="88" t="str">
        <f t="shared" ca="1" si="3"/>
        <v/>
      </c>
    </row>
    <row r="121" spans="1:17" ht="41.4" x14ac:dyDescent="0.3">
      <c r="A121" s="93">
        <v>119</v>
      </c>
      <c r="B121" s="77" t="s">
        <v>779</v>
      </c>
      <c r="C121" s="77" t="s">
        <v>70</v>
      </c>
      <c r="D121" s="77" t="s">
        <v>465</v>
      </c>
      <c r="E121" s="77" t="s">
        <v>356</v>
      </c>
      <c r="F121" s="77" t="s">
        <v>780</v>
      </c>
      <c r="G121" s="77" t="s">
        <v>781</v>
      </c>
      <c r="H121" s="77" t="s">
        <v>74</v>
      </c>
      <c r="I121" s="77" t="s">
        <v>75</v>
      </c>
      <c r="J121" s="94">
        <v>46114.685416666667</v>
      </c>
      <c r="K121" s="94">
        <v>46115.480555555558</v>
      </c>
      <c r="L121" s="94">
        <v>46159.933333333334</v>
      </c>
      <c r="M121" s="93" t="s">
        <v>76</v>
      </c>
      <c r="N121" s="59" t="str">
        <f>IF(ISBLANK(J121),"",IF(OR(M121="Completed",M121="Closed"),"",IF(H121="Issue",IF(I121="High",WORKDAY(J121,2,DATA!A120:A148),IF(I121="Medium",WORKDAY(J121,14,DATA!A120:A148),IF(OR(I121="Low"),WORKDAY(J121,30,DATA!A120:A148),""))),
"")
))</f>
        <v/>
      </c>
      <c r="O121" s="60" t="str">
        <f ca="1">IF(OR(ISBLANK(#REF!), M121="Completed", M121="Closed", H121&lt;&gt;"Issue"), "",
   (NETWORKDAYS.INTL(TODAY(), N121, 1, DATA!A120:A148) - 1))</f>
        <v/>
      </c>
      <c r="P121" s="88" t="str">
        <f t="shared" ca="1" si="2"/>
        <v/>
      </c>
      <c r="Q121" s="88" t="str">
        <f t="shared" ca="1" si="3"/>
        <v/>
      </c>
    </row>
    <row r="122" spans="1:17" ht="55.2" x14ac:dyDescent="0.3">
      <c r="A122" s="93">
        <v>120</v>
      </c>
      <c r="B122" s="77" t="s">
        <v>782</v>
      </c>
      <c r="C122" s="77" t="s">
        <v>70</v>
      </c>
      <c r="D122" s="77" t="s">
        <v>465</v>
      </c>
      <c r="E122" s="77" t="s">
        <v>356</v>
      </c>
      <c r="F122" s="77" t="s">
        <v>783</v>
      </c>
      <c r="G122" s="77" t="s">
        <v>784</v>
      </c>
      <c r="H122" s="77" t="s">
        <v>74</v>
      </c>
      <c r="I122" s="77" t="s">
        <v>75</v>
      </c>
      <c r="J122" s="94">
        <v>46114.740277777775</v>
      </c>
      <c r="K122" s="94">
        <v>46115.39166666667</v>
      </c>
      <c r="L122" s="94">
        <v>46118.654861111114</v>
      </c>
      <c r="M122" s="93" t="s">
        <v>76</v>
      </c>
      <c r="N122" s="59" t="str">
        <f>IF(ISBLANK(J122),"",IF(OR(M122="Completed",M122="Closed"),"",IF(H122="Issue",IF(I122="High",WORKDAY(J122,2,DATA!A121:A149),IF(I122="Medium",WORKDAY(J122,14,DATA!A121:A149),IF(OR(I122="Low"),WORKDAY(J122,30,DATA!A121:A149),""))),
"")
))</f>
        <v/>
      </c>
      <c r="O122" s="60" t="str">
        <f ca="1">IF(OR(ISBLANK(#REF!), M122="Completed", M122="Closed", H122&lt;&gt;"Issue"), "",
   (NETWORKDAYS.INTL(TODAY(), N122, 1, DATA!A121:A149) - 1))</f>
        <v/>
      </c>
      <c r="P122" s="88" t="str">
        <f t="shared" ca="1" si="2"/>
        <v/>
      </c>
      <c r="Q122" s="88" t="str">
        <f t="shared" ca="1" si="3"/>
        <v/>
      </c>
    </row>
    <row r="123" spans="1:17" ht="69" x14ac:dyDescent="0.3">
      <c r="A123" s="93">
        <v>121</v>
      </c>
      <c r="B123" s="77" t="s">
        <v>785</v>
      </c>
      <c r="C123" s="77" t="s">
        <v>70</v>
      </c>
      <c r="D123" s="77" t="s">
        <v>477</v>
      </c>
      <c r="E123" s="77" t="s">
        <v>356</v>
      </c>
      <c r="F123" s="77" t="s">
        <v>786</v>
      </c>
      <c r="G123" s="77" t="s">
        <v>787</v>
      </c>
      <c r="H123" s="77" t="s">
        <v>74</v>
      </c>
      <c r="I123" s="77" t="s">
        <v>75</v>
      </c>
      <c r="J123" s="94">
        <v>46115.490972222222</v>
      </c>
      <c r="K123" s="94">
        <v>46127.511111111111</v>
      </c>
      <c r="L123" s="94">
        <v>46159.93472222222</v>
      </c>
      <c r="M123" s="93" t="s">
        <v>76</v>
      </c>
      <c r="N123" s="59" t="str">
        <f>IF(ISBLANK(J123),"",IF(OR(M123="Completed",M123="Closed"),"",IF(H123="Issue",IF(I123="High",WORKDAY(J123,2,DATA!A122:A150),IF(I123="Medium",WORKDAY(J123,14,DATA!A122:A150),IF(OR(I123="Low"),WORKDAY(J123,30,DATA!A122:A150),""))),
"")
))</f>
        <v/>
      </c>
      <c r="O123" s="60" t="str">
        <f ca="1">IF(OR(ISBLANK(#REF!), M123="Completed", M123="Closed", H123&lt;&gt;"Issue"), "",
   (NETWORKDAYS.INTL(TODAY(), N123, 1, DATA!A122:A150) - 1))</f>
        <v/>
      </c>
      <c r="P123" s="88" t="str">
        <f t="shared" ca="1" si="2"/>
        <v/>
      </c>
      <c r="Q123" s="88" t="str">
        <f t="shared" ca="1" si="3"/>
        <v/>
      </c>
    </row>
    <row r="124" spans="1:17" ht="41.4" x14ac:dyDescent="0.3">
      <c r="A124" s="93">
        <v>122</v>
      </c>
      <c r="B124" s="77" t="s">
        <v>788</v>
      </c>
      <c r="C124" s="77" t="s">
        <v>70</v>
      </c>
      <c r="D124" s="77" t="s">
        <v>477</v>
      </c>
      <c r="E124" s="77" t="s">
        <v>356</v>
      </c>
      <c r="F124" s="77" t="s">
        <v>789</v>
      </c>
      <c r="G124" s="77" t="s">
        <v>790</v>
      </c>
      <c r="H124" s="77" t="s">
        <v>74</v>
      </c>
      <c r="I124" s="77" t="s">
        <v>75</v>
      </c>
      <c r="J124" s="94">
        <v>46115.495138888888</v>
      </c>
      <c r="K124" s="94">
        <v>46120.488888888889</v>
      </c>
      <c r="L124" s="94">
        <v>46159.935416666667</v>
      </c>
      <c r="M124" s="93" t="s">
        <v>76</v>
      </c>
      <c r="N124" s="59" t="str">
        <f>IF(ISBLANK(J124),"",IF(OR(M124="Completed",M124="Closed"),"",IF(H124="Issue",IF(I124="High",WORKDAY(J124,2,DATA!A123:A151),IF(I124="Medium",WORKDAY(J124,14,DATA!A123:A151),IF(OR(I124="Low"),WORKDAY(J124,30,DATA!A123:A151),""))),
"")
))</f>
        <v/>
      </c>
      <c r="O124" s="60" t="str">
        <f ca="1">IF(OR(ISBLANK(#REF!), M124="Completed", M124="Closed", H124&lt;&gt;"Issue"), "",
   (NETWORKDAYS.INTL(TODAY(), N124, 1, DATA!A123:A151) - 1))</f>
        <v/>
      </c>
      <c r="P124" s="88" t="str">
        <f t="shared" ca="1" si="2"/>
        <v/>
      </c>
      <c r="Q124" s="88" t="str">
        <f t="shared" ca="1" si="3"/>
        <v/>
      </c>
    </row>
    <row r="125" spans="1:17" ht="41.4" x14ac:dyDescent="0.3">
      <c r="A125" s="93">
        <v>123</v>
      </c>
      <c r="B125" s="77" t="s">
        <v>791</v>
      </c>
      <c r="C125" s="77" t="s">
        <v>70</v>
      </c>
      <c r="D125" s="77" t="s">
        <v>477</v>
      </c>
      <c r="E125" s="77" t="s">
        <v>356</v>
      </c>
      <c r="F125" s="77" t="s">
        <v>792</v>
      </c>
      <c r="G125" s="77" t="s">
        <v>793</v>
      </c>
      <c r="H125" s="77" t="s">
        <v>74</v>
      </c>
      <c r="I125" s="77" t="s">
        <v>75</v>
      </c>
      <c r="J125" s="94">
        <v>46115.665277777778</v>
      </c>
      <c r="K125" s="94">
        <v>46120.611805555556</v>
      </c>
      <c r="L125" s="94">
        <v>46159.936111111114</v>
      </c>
      <c r="M125" s="93" t="s">
        <v>76</v>
      </c>
      <c r="N125" s="59" t="str">
        <f>IF(ISBLANK(J125),"",IF(OR(M125="Completed",M125="Closed"),"",IF(H125="Issue",IF(I125="High",WORKDAY(J125,2,DATA!A124:A152),IF(I125="Medium",WORKDAY(J125,14,DATA!A124:A152),IF(OR(I125="Low"),WORKDAY(J125,30,DATA!A124:A152),""))),
"")
))</f>
        <v/>
      </c>
      <c r="O125" s="60" t="str">
        <f ca="1">IF(OR(ISBLANK(#REF!), M125="Completed", M125="Closed", H125&lt;&gt;"Issue"), "",
   (NETWORKDAYS.INTL(TODAY(), N125, 1, DATA!A124:A152) - 1))</f>
        <v/>
      </c>
      <c r="P125" s="88" t="str">
        <f t="shared" ca="1" si="2"/>
        <v/>
      </c>
      <c r="Q125" s="88" t="str">
        <f t="shared" ca="1" si="3"/>
        <v/>
      </c>
    </row>
    <row r="126" spans="1:17" ht="55.2" x14ac:dyDescent="0.3">
      <c r="A126" s="93">
        <v>124</v>
      </c>
      <c r="B126" s="77" t="s">
        <v>794</v>
      </c>
      <c r="C126" s="77" t="s">
        <v>70</v>
      </c>
      <c r="D126" s="77" t="s">
        <v>465</v>
      </c>
      <c r="E126" s="77" t="s">
        <v>356</v>
      </c>
      <c r="F126" s="77" t="s">
        <v>795</v>
      </c>
      <c r="G126" s="77" t="s">
        <v>796</v>
      </c>
      <c r="H126" s="77" t="s">
        <v>74</v>
      </c>
      <c r="I126" s="77" t="s">
        <v>75</v>
      </c>
      <c r="J126" s="94">
        <v>46115.742361111108</v>
      </c>
      <c r="K126" s="94">
        <v>46136.724999999999</v>
      </c>
      <c r="L126" s="94">
        <v>46159.936805555553</v>
      </c>
      <c r="M126" s="93" t="s">
        <v>76</v>
      </c>
      <c r="N126" s="59" t="str">
        <f>IF(ISBLANK(J126),"",IF(OR(M126="Completed",M126="Closed"),"",IF(H126="Issue",IF(I126="High",WORKDAY(J126,2,DATA!A125:A153),IF(I126="Medium",WORKDAY(J126,14,DATA!A125:A153),IF(OR(I126="Low"),WORKDAY(J126,30,DATA!A125:A153),""))),
"")
))</f>
        <v/>
      </c>
      <c r="O126" s="60" t="str">
        <f ca="1">IF(OR(ISBLANK(#REF!), M126="Completed", M126="Closed", H126&lt;&gt;"Issue"), "",
   (NETWORKDAYS.INTL(TODAY(), N126, 1, DATA!A125:A153) - 1))</f>
        <v/>
      </c>
      <c r="P126" s="88" t="str">
        <f t="shared" ca="1" si="2"/>
        <v/>
      </c>
      <c r="Q126" s="88" t="str">
        <f t="shared" ca="1" si="3"/>
        <v/>
      </c>
    </row>
    <row r="127" spans="1:17" ht="55.2" x14ac:dyDescent="0.3">
      <c r="A127" s="93">
        <v>125</v>
      </c>
      <c r="B127" s="77" t="s">
        <v>797</v>
      </c>
      <c r="C127" s="79"/>
      <c r="D127" s="77" t="s">
        <v>465</v>
      </c>
      <c r="E127" s="77" t="s">
        <v>356</v>
      </c>
      <c r="F127" s="77" t="s">
        <v>798</v>
      </c>
      <c r="G127" s="77" t="s">
        <v>799</v>
      </c>
      <c r="H127" s="77" t="s">
        <v>74</v>
      </c>
      <c r="I127" s="77" t="s">
        <v>75</v>
      </c>
      <c r="J127" s="94">
        <v>46115.745833333334</v>
      </c>
      <c r="K127" s="79"/>
      <c r="L127" s="79"/>
      <c r="M127" s="93" t="s">
        <v>77</v>
      </c>
      <c r="N127" s="59">
        <f>IF(ISBLANK(J127),"",IF(OR(M127="Completed",M127="Closed"),"",IF(H127="Issue",IF(I127="High",WORKDAY(J127,2,DATA!A126:A154),IF(I127="Medium",WORKDAY(J127,14,DATA!A126:A154),IF(OR(I127="Low"),WORKDAY(J127,30,DATA!A126:A154),""))),
"")
))</f>
        <v>46135</v>
      </c>
      <c r="O127" s="60">
        <f ca="1">IF(OR(ISBLANK(#REF!), M127="Completed", M127="Closed", H127&lt;&gt;"Issue"), "",
   (NETWORKDAYS.INTL(TODAY(), N127, 1, DATA!A126:A154) - 1))</f>
        <v>-66</v>
      </c>
      <c r="P127" s="88">
        <f t="shared" ca="1" si="2"/>
        <v>66</v>
      </c>
      <c r="Q127" s="88" t="str">
        <f t="shared" ca="1" si="3"/>
        <v>&gt;60 Days</v>
      </c>
    </row>
    <row r="128" spans="1:17" x14ac:dyDescent="0.3">
      <c r="A128" s="93">
        <v>126</v>
      </c>
      <c r="B128" s="77" t="s">
        <v>800</v>
      </c>
      <c r="C128" s="77" t="s">
        <v>70</v>
      </c>
      <c r="D128" s="77" t="s">
        <v>465</v>
      </c>
      <c r="E128" s="77" t="s">
        <v>356</v>
      </c>
      <c r="F128" s="77" t="s">
        <v>801</v>
      </c>
      <c r="G128" s="77" t="s">
        <v>802</v>
      </c>
      <c r="H128" s="77" t="s">
        <v>74</v>
      </c>
      <c r="I128" s="77" t="s">
        <v>75</v>
      </c>
      <c r="J128" s="94">
        <v>46118.428472222222</v>
      </c>
      <c r="K128" s="94">
        <v>46118.46597222222</v>
      </c>
      <c r="L128" s="94">
        <v>46118.466666666667</v>
      </c>
      <c r="M128" s="93" t="s">
        <v>76</v>
      </c>
      <c r="N128" s="59" t="str">
        <f>IF(ISBLANK(J128),"",IF(OR(M128="Completed",M128="Closed"),"",IF(H128="Issue",IF(I128="High",WORKDAY(J128,2,DATA!A127:A155),IF(I128="Medium",WORKDAY(J128,14,DATA!A127:A155),IF(OR(I128="Low"),WORKDAY(J128,30,DATA!A127:A155),""))),
"")
))</f>
        <v/>
      </c>
      <c r="O128" s="60" t="str">
        <f ca="1">IF(OR(ISBLANK(#REF!), M128="Completed", M128="Closed", H128&lt;&gt;"Issue"), "",
   (NETWORKDAYS.INTL(TODAY(), N128, 1, DATA!A127:A155) - 1))</f>
        <v/>
      </c>
      <c r="P128" s="88" t="str">
        <f t="shared" ca="1" si="2"/>
        <v/>
      </c>
      <c r="Q128" s="88" t="str">
        <f t="shared" ca="1" si="3"/>
        <v/>
      </c>
    </row>
    <row r="129" spans="1:17" ht="138" customHeight="1" x14ac:dyDescent="0.3">
      <c r="A129" s="93">
        <v>127</v>
      </c>
      <c r="B129" s="77" t="s">
        <v>803</v>
      </c>
      <c r="C129" s="79"/>
      <c r="D129" s="77" t="s">
        <v>804</v>
      </c>
      <c r="E129" s="77" t="s">
        <v>356</v>
      </c>
      <c r="F129" s="77" t="s">
        <v>805</v>
      </c>
      <c r="G129" s="77" t="s">
        <v>806</v>
      </c>
      <c r="H129" s="77" t="s">
        <v>74</v>
      </c>
      <c r="I129" s="77" t="s">
        <v>75</v>
      </c>
      <c r="J129" s="94">
        <v>46118.638888888891</v>
      </c>
      <c r="K129" s="79"/>
      <c r="L129" s="79"/>
      <c r="M129" s="93" t="s">
        <v>77</v>
      </c>
      <c r="N129" s="59">
        <f>IF(ISBLANK(J129),"",IF(OR(M129="Completed",M129="Closed"),"",IF(H129="Issue",IF(I129="High",WORKDAY(J129,2,DATA!A128:A156),IF(I129="Medium",WORKDAY(J129,14,DATA!A128:A156),IF(OR(I129="Low"),WORKDAY(J129,30,DATA!A128:A156),""))),
"")
))</f>
        <v>46136</v>
      </c>
      <c r="O129" s="60">
        <f ca="1">IF(OR(ISBLANK(#REF!), M129="Completed", M129="Closed", H129&lt;&gt;"Issue"), "",
   (NETWORKDAYS.INTL(TODAY(), N129, 1, DATA!A128:A156) - 1))</f>
        <v>-65</v>
      </c>
      <c r="P129" s="88">
        <f t="shared" ca="1" si="2"/>
        <v>65</v>
      </c>
      <c r="Q129" s="88" t="str">
        <f t="shared" ca="1" si="3"/>
        <v>&gt;60 Days</v>
      </c>
    </row>
    <row r="130" spans="1:17" ht="69" x14ac:dyDescent="0.3">
      <c r="A130" s="93">
        <v>128</v>
      </c>
      <c r="B130" s="77" t="s">
        <v>807</v>
      </c>
      <c r="C130" s="79"/>
      <c r="D130" s="77" t="s">
        <v>465</v>
      </c>
      <c r="E130" s="77" t="s">
        <v>356</v>
      </c>
      <c r="F130" s="77" t="s">
        <v>808</v>
      </c>
      <c r="G130" s="77" t="s">
        <v>809</v>
      </c>
      <c r="H130" s="77" t="s">
        <v>74</v>
      </c>
      <c r="I130" s="77" t="s">
        <v>75</v>
      </c>
      <c r="J130" s="94">
        <v>46119.431250000001</v>
      </c>
      <c r="K130" s="79"/>
      <c r="L130" s="79"/>
      <c r="M130" s="93" t="s">
        <v>77</v>
      </c>
      <c r="N130" s="59">
        <f>IF(ISBLANK(J130),"",IF(OR(M130="Completed",M130="Closed"),"",IF(H130="Issue",IF(I130="High",WORKDAY(J130,2,DATA!A129:A157),IF(I130="Medium",WORKDAY(J130,14,DATA!A129:A157),IF(OR(I130="Low"),WORKDAY(J130,30,DATA!A129:A157),""))),
"")
))</f>
        <v>46139</v>
      </c>
      <c r="O130" s="60">
        <f ca="1">IF(OR(ISBLANK(#REF!), M130="Completed", M130="Closed", H130&lt;&gt;"Issue"), "",
   (NETWORKDAYS.INTL(TODAY(), N130, 1, DATA!A129:A157) - 1))</f>
        <v>-64</v>
      </c>
      <c r="P130" s="88">
        <f t="shared" ca="1" si="2"/>
        <v>64</v>
      </c>
      <c r="Q130" s="88" t="str">
        <f t="shared" ca="1" si="3"/>
        <v>&gt;60 Days</v>
      </c>
    </row>
    <row r="131" spans="1:17" ht="96.6" x14ac:dyDescent="0.3">
      <c r="A131" s="93">
        <v>129</v>
      </c>
      <c r="B131" s="77" t="s">
        <v>810</v>
      </c>
      <c r="C131" s="77" t="s">
        <v>70</v>
      </c>
      <c r="D131" s="77" t="s">
        <v>465</v>
      </c>
      <c r="E131" s="77" t="s">
        <v>356</v>
      </c>
      <c r="F131" s="77" t="s">
        <v>811</v>
      </c>
      <c r="G131" s="77" t="s">
        <v>812</v>
      </c>
      <c r="H131" s="77" t="s">
        <v>74</v>
      </c>
      <c r="I131" s="77" t="s">
        <v>75</v>
      </c>
      <c r="J131" s="94">
        <v>46119.445833333331</v>
      </c>
      <c r="K131" s="94">
        <v>46204.615277777775</v>
      </c>
      <c r="L131" s="79"/>
      <c r="M131" s="93" t="s">
        <v>85</v>
      </c>
      <c r="N131" s="59" t="str">
        <f>IF(ISBLANK(J131),"",IF(OR(M131="Completed",M131="Closed"),"",IF(H131="Issue",IF(I131="High",WORKDAY(J131,2,DATA!A130:A158),IF(I131="Medium",WORKDAY(J131,14,DATA!A130:A158),IF(OR(I131="Low"),WORKDAY(J131,30,DATA!A130:A158),""))),
"")
))</f>
        <v/>
      </c>
      <c r="O131" s="60" t="str">
        <f ca="1">IF(OR(ISBLANK(#REF!), M131="Completed", M131="Closed", H131&lt;&gt;"Issue"), "",
   (NETWORKDAYS.INTL(TODAY(), N131, 1, DATA!A130:A158) - 1))</f>
        <v/>
      </c>
      <c r="P131" s="88" t="str">
        <f t="shared" ca="1" si="2"/>
        <v/>
      </c>
      <c r="Q131" s="88" t="str">
        <f t="shared" ca="1" si="3"/>
        <v/>
      </c>
    </row>
    <row r="132" spans="1:17" ht="41.4" x14ac:dyDescent="0.3">
      <c r="A132" s="93">
        <v>130</v>
      </c>
      <c r="B132" s="77" t="s">
        <v>813</v>
      </c>
      <c r="C132" s="77" t="s">
        <v>70</v>
      </c>
      <c r="D132" s="77" t="s">
        <v>477</v>
      </c>
      <c r="E132" s="77" t="s">
        <v>356</v>
      </c>
      <c r="F132" s="77" t="s">
        <v>814</v>
      </c>
      <c r="G132" s="77" t="s">
        <v>815</v>
      </c>
      <c r="H132" s="77" t="s">
        <v>74</v>
      </c>
      <c r="I132" s="77" t="s">
        <v>75</v>
      </c>
      <c r="J132" s="94">
        <v>46119.459722222222</v>
      </c>
      <c r="K132" s="94">
        <v>46119.628472222219</v>
      </c>
      <c r="L132" s="94">
        <v>46119.628472222219</v>
      </c>
      <c r="M132" s="93" t="s">
        <v>76</v>
      </c>
      <c r="N132" s="59" t="str">
        <f>IF(ISBLANK(J132),"",IF(OR(M132="Completed",M132="Closed"),"",IF(H132="Issue",IF(I132="High",WORKDAY(J132,2,DATA!A131:A159),IF(I132="Medium",WORKDAY(J132,14,DATA!A131:A159),IF(OR(I132="Low"),WORKDAY(J132,30,DATA!A131:A159),""))),
"")
))</f>
        <v/>
      </c>
      <c r="O132" s="60" t="str">
        <f ca="1">IF(OR(ISBLANK(#REF!), M132="Completed", M132="Closed", H132&lt;&gt;"Issue"), "",
   (NETWORKDAYS.INTL(TODAY(), N132, 1, DATA!A131:A159) - 1))</f>
        <v/>
      </c>
      <c r="P132" s="88" t="str">
        <f t="shared" ref="P132:P189" ca="1" si="4">IF(O132="","",LEFT(O132,10)*(-1))</f>
        <v/>
      </c>
      <c r="Q132" s="88" t="str">
        <f t="shared" ref="Q132:Q189" ca="1" si="5">IF(P132="","",
IF(P132&lt;=0,"Not Due",
IF(P132&lt;=30,"1-30 Days",
IF(P132&lt;=60,"31-60 Days",
"&gt;60 Days"))))</f>
        <v/>
      </c>
    </row>
    <row r="133" spans="1:17" ht="41.4" x14ac:dyDescent="0.3">
      <c r="A133" s="93">
        <v>131</v>
      </c>
      <c r="B133" s="77" t="s">
        <v>816</v>
      </c>
      <c r="C133" s="77" t="s">
        <v>70</v>
      </c>
      <c r="D133" s="77" t="s">
        <v>465</v>
      </c>
      <c r="E133" s="77" t="s">
        <v>356</v>
      </c>
      <c r="F133" s="77" t="s">
        <v>817</v>
      </c>
      <c r="G133" s="77" t="s">
        <v>818</v>
      </c>
      <c r="H133" s="77" t="s">
        <v>74</v>
      </c>
      <c r="I133" s="77" t="s">
        <v>75</v>
      </c>
      <c r="J133" s="94">
        <v>46119.495138888888</v>
      </c>
      <c r="K133" s="94">
        <v>46119.673611111109</v>
      </c>
      <c r="L133" s="94">
        <v>46159.938888888886</v>
      </c>
      <c r="M133" s="93" t="s">
        <v>76</v>
      </c>
      <c r="N133" s="59" t="str">
        <f>IF(ISBLANK(J133),"",IF(OR(M133="Completed",M133="Closed"),"",IF(H133="Issue",IF(I133="High",WORKDAY(J133,2,DATA!A132:A160),IF(I133="Medium",WORKDAY(J133,14,DATA!A132:A160),IF(OR(I133="Low"),WORKDAY(J133,30,DATA!A132:A160),""))),
"")
))</f>
        <v/>
      </c>
      <c r="O133" s="60" t="str">
        <f ca="1">IF(OR(ISBLANK(#REF!), M133="Completed", M133="Closed", H133&lt;&gt;"Issue"), "",
   (NETWORKDAYS.INTL(TODAY(), N133, 1, DATA!A132:A160) - 1))</f>
        <v/>
      </c>
      <c r="P133" s="88" t="str">
        <f t="shared" ca="1" si="4"/>
        <v/>
      </c>
      <c r="Q133" s="88" t="str">
        <f t="shared" ca="1" si="5"/>
        <v/>
      </c>
    </row>
    <row r="134" spans="1:17" ht="27.6" x14ac:dyDescent="0.3">
      <c r="A134" s="93">
        <v>132</v>
      </c>
      <c r="B134" s="77" t="s">
        <v>819</v>
      </c>
      <c r="C134" s="77" t="s">
        <v>70</v>
      </c>
      <c r="D134" s="77" t="s">
        <v>552</v>
      </c>
      <c r="E134" s="77" t="s">
        <v>356</v>
      </c>
      <c r="F134" s="77" t="s">
        <v>820</v>
      </c>
      <c r="G134" s="77" t="s">
        <v>821</v>
      </c>
      <c r="H134" s="77" t="s">
        <v>74</v>
      </c>
      <c r="I134" s="77" t="s">
        <v>75</v>
      </c>
      <c r="J134" s="94">
        <v>46119.644444444442</v>
      </c>
      <c r="K134" s="94">
        <v>46121.599305555559</v>
      </c>
      <c r="L134" s="94">
        <v>46159.938888888886</v>
      </c>
      <c r="M134" s="93" t="s">
        <v>76</v>
      </c>
      <c r="N134" s="59" t="str">
        <f>IF(ISBLANK(J134),"",IF(OR(M134="Completed",M134="Closed"),"",IF(H134="Issue",IF(I134="High",WORKDAY(J134,2,DATA!A133:A161),IF(I134="Medium",WORKDAY(J134,14,DATA!A133:A161),IF(OR(I134="Low"),WORKDAY(J134,30,DATA!A133:A161),""))),
"")
))</f>
        <v/>
      </c>
      <c r="O134" s="60" t="str">
        <f ca="1">IF(OR(ISBLANK(#REF!), M134="Completed", M134="Closed", H134&lt;&gt;"Issue"), "",
   (NETWORKDAYS.INTL(TODAY(), N134, 1, DATA!A133:A161) - 1))</f>
        <v/>
      </c>
      <c r="P134" s="88" t="str">
        <f t="shared" ca="1" si="4"/>
        <v/>
      </c>
      <c r="Q134" s="88" t="str">
        <f t="shared" ca="1" si="5"/>
        <v/>
      </c>
    </row>
    <row r="135" spans="1:17" ht="27.6" x14ac:dyDescent="0.3">
      <c r="A135" s="93">
        <v>133</v>
      </c>
      <c r="B135" s="77" t="s">
        <v>822</v>
      </c>
      <c r="C135" s="79"/>
      <c r="D135" s="77" t="s">
        <v>552</v>
      </c>
      <c r="E135" s="77" t="s">
        <v>356</v>
      </c>
      <c r="F135" s="77" t="s">
        <v>820</v>
      </c>
      <c r="G135" s="77" t="s">
        <v>823</v>
      </c>
      <c r="H135" s="77" t="s">
        <v>74</v>
      </c>
      <c r="I135" s="77" t="s">
        <v>75</v>
      </c>
      <c r="J135" s="94">
        <v>46119.646527777775</v>
      </c>
      <c r="K135" s="79"/>
      <c r="L135" s="79"/>
      <c r="M135" s="93" t="s">
        <v>77</v>
      </c>
      <c r="N135" s="59">
        <f>IF(ISBLANK(J135),"",IF(OR(M135="Completed",M135="Closed"),"",IF(H135="Issue",IF(I135="High",WORKDAY(J135,2,DATA!A134:A162),IF(I135="Medium",WORKDAY(J135,14,DATA!A134:A162),IF(OR(I135="Low"),WORKDAY(J135,30,DATA!A134:A162),""))),
"")
))</f>
        <v>46139</v>
      </c>
      <c r="O135" s="60">
        <f ca="1">IF(OR(ISBLANK(#REF!), M135="Completed", M135="Closed", H135&lt;&gt;"Issue"), "",
   (NETWORKDAYS.INTL(TODAY(), N135, 1, DATA!A134:A162) - 1))</f>
        <v>-64</v>
      </c>
      <c r="P135" s="88">
        <f t="shared" ca="1" si="4"/>
        <v>64</v>
      </c>
      <c r="Q135" s="88" t="str">
        <f t="shared" ca="1" si="5"/>
        <v>&gt;60 Days</v>
      </c>
    </row>
    <row r="136" spans="1:17" ht="165.6" x14ac:dyDescent="0.3">
      <c r="A136" s="93">
        <v>134</v>
      </c>
      <c r="B136" s="77" t="s">
        <v>824</v>
      </c>
      <c r="C136" s="79"/>
      <c r="D136" s="77" t="s">
        <v>552</v>
      </c>
      <c r="E136" s="77" t="s">
        <v>356</v>
      </c>
      <c r="F136" s="77" t="s">
        <v>825</v>
      </c>
      <c r="G136" s="77" t="s">
        <v>826</v>
      </c>
      <c r="H136" s="77" t="s">
        <v>74</v>
      </c>
      <c r="I136" s="77" t="s">
        <v>75</v>
      </c>
      <c r="J136" s="94">
        <v>46119.652083333334</v>
      </c>
      <c r="K136" s="79"/>
      <c r="L136" s="79"/>
      <c r="M136" s="93" t="s">
        <v>77</v>
      </c>
      <c r="N136" s="59">
        <f>IF(ISBLANK(J136),"",IF(OR(M136="Completed",M136="Closed"),"",IF(H136="Issue",IF(I136="High",WORKDAY(J136,2,DATA!A135:A163),IF(I136="Medium",WORKDAY(J136,14,DATA!A135:A163),IF(OR(I136="Low"),WORKDAY(J136,30,DATA!A135:A163),""))),
"")
))</f>
        <v>46139</v>
      </c>
      <c r="O136" s="60">
        <f ca="1">IF(OR(ISBLANK(#REF!), M136="Completed", M136="Closed", H136&lt;&gt;"Issue"), "",
   (NETWORKDAYS.INTL(TODAY(), N136, 1, DATA!A135:A163) - 1))</f>
        <v>-64</v>
      </c>
      <c r="P136" s="88">
        <f t="shared" ca="1" si="4"/>
        <v>64</v>
      </c>
      <c r="Q136" s="88" t="str">
        <f t="shared" ca="1" si="5"/>
        <v>&gt;60 Days</v>
      </c>
    </row>
    <row r="137" spans="1:17" ht="55.2" x14ac:dyDescent="0.3">
      <c r="A137" s="93">
        <v>135</v>
      </c>
      <c r="B137" s="77" t="s">
        <v>827</v>
      </c>
      <c r="C137" s="79"/>
      <c r="D137" s="77" t="s">
        <v>465</v>
      </c>
      <c r="E137" s="77" t="s">
        <v>356</v>
      </c>
      <c r="F137" s="77" t="s">
        <v>828</v>
      </c>
      <c r="G137" s="77" t="s">
        <v>829</v>
      </c>
      <c r="H137" s="77" t="s">
        <v>74</v>
      </c>
      <c r="I137" s="77" t="s">
        <v>75</v>
      </c>
      <c r="J137" s="94">
        <v>46120.457638888889</v>
      </c>
      <c r="K137" s="79"/>
      <c r="L137" s="79"/>
      <c r="M137" s="93" t="s">
        <v>77</v>
      </c>
      <c r="N137" s="59">
        <f>IF(ISBLANK(J137),"",IF(OR(M137="Completed",M137="Closed"),"",IF(H137="Issue",IF(I137="High",WORKDAY(J137,2,DATA!A136:A164),IF(I137="Medium",WORKDAY(J137,14,DATA!A136:A164),IF(OR(I137="Low"),WORKDAY(J137,30,DATA!A136:A164),""))),
"")
))</f>
        <v>46140</v>
      </c>
      <c r="O137" s="60">
        <f ca="1">IF(OR(ISBLANK(#REF!), M137="Completed", M137="Closed", H137&lt;&gt;"Issue"), "",
   (NETWORKDAYS.INTL(TODAY(), N137, 1, DATA!A136:A164) - 1))</f>
        <v>-63</v>
      </c>
      <c r="P137" s="88">
        <f t="shared" ca="1" si="4"/>
        <v>63</v>
      </c>
      <c r="Q137" s="88" t="str">
        <f t="shared" ca="1" si="5"/>
        <v>&gt;60 Days</v>
      </c>
    </row>
    <row r="138" spans="1:17" ht="27.6" x14ac:dyDescent="0.3">
      <c r="A138" s="93">
        <v>136</v>
      </c>
      <c r="B138" s="77" t="s">
        <v>830</v>
      </c>
      <c r="C138" s="77" t="s">
        <v>70</v>
      </c>
      <c r="D138" s="77" t="s">
        <v>477</v>
      </c>
      <c r="E138" s="77" t="s">
        <v>356</v>
      </c>
      <c r="F138" s="77" t="s">
        <v>831</v>
      </c>
      <c r="G138" s="77" t="s">
        <v>832</v>
      </c>
      <c r="H138" s="77" t="s">
        <v>74</v>
      </c>
      <c r="I138" s="77" t="s">
        <v>75</v>
      </c>
      <c r="J138" s="94">
        <v>46120.59375</v>
      </c>
      <c r="K138" s="94">
        <v>46136.420138888891</v>
      </c>
      <c r="L138" s="94">
        <v>46159.939583333333</v>
      </c>
      <c r="M138" s="93" t="s">
        <v>76</v>
      </c>
      <c r="N138" s="59" t="str">
        <f>IF(ISBLANK(J138),"",IF(OR(M138="Completed",M138="Closed"),"",IF(H138="Issue",IF(I138="High",WORKDAY(J138,2,DATA!A137:A165),IF(I138="Medium",WORKDAY(J138,14,DATA!A137:A165),IF(OR(I138="Low"),WORKDAY(J138,30,DATA!A137:A165),""))),
"")
))</f>
        <v/>
      </c>
      <c r="O138" s="60" t="str">
        <f ca="1">IF(OR(ISBLANK(#REF!), M138="Completed", M138="Closed", H138&lt;&gt;"Issue"), "",
   (NETWORKDAYS.INTL(TODAY(), N138, 1, DATA!A137:A165) - 1))</f>
        <v/>
      </c>
      <c r="P138" s="88" t="str">
        <f t="shared" ca="1" si="4"/>
        <v/>
      </c>
      <c r="Q138" s="88" t="str">
        <f t="shared" ca="1" si="5"/>
        <v/>
      </c>
    </row>
    <row r="139" spans="1:17" ht="15.6" customHeight="1" x14ac:dyDescent="0.3">
      <c r="A139" s="93">
        <v>137</v>
      </c>
      <c r="B139" s="93" t="s">
        <v>833</v>
      </c>
      <c r="C139" s="93" t="s">
        <v>70</v>
      </c>
      <c r="D139" s="93" t="s">
        <v>477</v>
      </c>
      <c r="E139" s="93" t="s">
        <v>356</v>
      </c>
      <c r="F139" s="93" t="s">
        <v>834</v>
      </c>
      <c r="G139" s="93" t="s">
        <v>835</v>
      </c>
      <c r="H139" s="93" t="s">
        <v>74</v>
      </c>
      <c r="I139" s="93" t="s">
        <v>75</v>
      </c>
      <c r="J139" s="94">
        <v>46120.63958333333</v>
      </c>
      <c r="K139" s="94">
        <v>46134.661111111112</v>
      </c>
      <c r="L139" s="94">
        <v>46159.940972222219</v>
      </c>
      <c r="M139" s="93" t="s">
        <v>76</v>
      </c>
      <c r="N139" s="59" t="str">
        <f>IF(ISBLANK(J139),"",IF(OR(M139="Completed",M139="Closed"),"",IF(H139="Issue",IF(I139="High",WORKDAY(J139,2,DATA!A138:A166),IF(I139="Medium",WORKDAY(J139,14,DATA!A138:A166),IF(OR(I139="Low"),WORKDAY(J139,30,DATA!A138:A166),""))),
"")
))</f>
        <v/>
      </c>
      <c r="O139" s="60" t="str">
        <f ca="1">IF(OR(ISBLANK(#REF!), M139="Completed", M139="Closed", H139&lt;&gt;"Issue"), "",
   (NETWORKDAYS.INTL(TODAY(), N139, 1, DATA!A138:A166) - 1))</f>
        <v/>
      </c>
      <c r="P139" s="88" t="str">
        <f t="shared" ca="1" si="4"/>
        <v/>
      </c>
      <c r="Q139" s="88" t="str">
        <f t="shared" ca="1" si="5"/>
        <v/>
      </c>
    </row>
    <row r="140" spans="1:17" ht="41.4" x14ac:dyDescent="0.3">
      <c r="A140" s="93">
        <v>139</v>
      </c>
      <c r="B140" s="77" t="s">
        <v>836</v>
      </c>
      <c r="C140" s="77" t="s">
        <v>70</v>
      </c>
      <c r="D140" s="77" t="s">
        <v>477</v>
      </c>
      <c r="E140" s="77" t="s">
        <v>356</v>
      </c>
      <c r="F140" s="77" t="s">
        <v>837</v>
      </c>
      <c r="G140" s="77" t="s">
        <v>838</v>
      </c>
      <c r="H140" s="77" t="s">
        <v>74</v>
      </c>
      <c r="I140" s="77" t="s">
        <v>75</v>
      </c>
      <c r="J140" s="94">
        <v>46120.679166666669</v>
      </c>
      <c r="K140" s="94">
        <v>46133.420138888891</v>
      </c>
      <c r="L140" s="94">
        <v>46133.42083333333</v>
      </c>
      <c r="M140" s="93" t="s">
        <v>76</v>
      </c>
      <c r="N140" s="59" t="str">
        <f>IF(ISBLANK(J140),"",IF(OR(M140="Completed",M140="Closed"),"",IF(H140="Issue",IF(I140="High",WORKDAY(J140,2,DATA!A139:A167),IF(I140="Medium",WORKDAY(J140,14,DATA!A139:A167),IF(OR(I140="Low"),WORKDAY(J140,30,DATA!A139:A167),""))),
"")
))</f>
        <v/>
      </c>
      <c r="O140" s="60" t="str">
        <f ca="1">IF(OR(ISBLANK(#REF!), M140="Completed", M140="Closed", H140&lt;&gt;"Issue"), "",
   (NETWORKDAYS.INTL(TODAY(), N140, 1, DATA!A139:A167) - 1))</f>
        <v/>
      </c>
      <c r="P140" s="88" t="str">
        <f t="shared" ca="1" si="4"/>
        <v/>
      </c>
      <c r="Q140" s="88" t="str">
        <f t="shared" ca="1" si="5"/>
        <v/>
      </c>
    </row>
    <row r="141" spans="1:17" ht="41.4" x14ac:dyDescent="0.3">
      <c r="A141" s="93">
        <v>140</v>
      </c>
      <c r="B141" s="77" t="s">
        <v>839</v>
      </c>
      <c r="C141" s="77" t="s">
        <v>70</v>
      </c>
      <c r="D141" s="77" t="s">
        <v>465</v>
      </c>
      <c r="E141" s="77" t="s">
        <v>356</v>
      </c>
      <c r="F141" s="77" t="s">
        <v>840</v>
      </c>
      <c r="G141" s="77" t="s">
        <v>841</v>
      </c>
      <c r="H141" s="77" t="s">
        <v>74</v>
      </c>
      <c r="I141" s="77" t="s">
        <v>75</v>
      </c>
      <c r="J141" s="94">
        <v>46121.616666666669</v>
      </c>
      <c r="K141" s="94">
        <v>46121.648611111108</v>
      </c>
      <c r="L141" s="94">
        <v>46159.941666666666</v>
      </c>
      <c r="M141" s="93" t="s">
        <v>76</v>
      </c>
      <c r="N141" s="59" t="str">
        <f>IF(ISBLANK(J141),"",IF(OR(M141="Completed",M141="Closed"),"",IF(H141="Issue",IF(I141="High",WORKDAY(J141,2,DATA!A140:A168),IF(I141="Medium",WORKDAY(J141,14,DATA!A140:A168),IF(OR(I141="Low"),WORKDAY(J141,30,DATA!A140:A168),""))),
"")
))</f>
        <v/>
      </c>
      <c r="O141" s="60" t="str">
        <f ca="1">IF(OR(ISBLANK(#REF!), M141="Completed", M141="Closed", H141&lt;&gt;"Issue"), "",
   (NETWORKDAYS.INTL(TODAY(), N141, 1, DATA!A140:A168) - 1))</f>
        <v/>
      </c>
      <c r="P141" s="88" t="str">
        <f t="shared" ca="1" si="4"/>
        <v/>
      </c>
      <c r="Q141" s="88" t="str">
        <f t="shared" ca="1" si="5"/>
        <v/>
      </c>
    </row>
    <row r="142" spans="1:17" ht="41.4" x14ac:dyDescent="0.3">
      <c r="A142" s="93">
        <v>141</v>
      </c>
      <c r="B142" s="77" t="s">
        <v>842</v>
      </c>
      <c r="C142" s="77" t="s">
        <v>70</v>
      </c>
      <c r="D142" s="77" t="s">
        <v>465</v>
      </c>
      <c r="E142" s="77" t="s">
        <v>356</v>
      </c>
      <c r="F142" s="77" t="s">
        <v>843</v>
      </c>
      <c r="G142" s="77" t="s">
        <v>844</v>
      </c>
      <c r="H142" s="77" t="s">
        <v>74</v>
      </c>
      <c r="I142" s="77" t="s">
        <v>75</v>
      </c>
      <c r="J142" s="94">
        <v>46121.618750000001</v>
      </c>
      <c r="K142" s="94">
        <v>46121.647222222222</v>
      </c>
      <c r="L142" s="94">
        <v>46159.941666666666</v>
      </c>
      <c r="M142" s="93" t="s">
        <v>76</v>
      </c>
      <c r="N142" s="59" t="str">
        <f>IF(ISBLANK(J142),"",IF(OR(M142="Completed",M142="Closed"),"",IF(H142="Issue",IF(I142="High",WORKDAY(J142,2,DATA!A141:A169),IF(I142="Medium",WORKDAY(J142,14,DATA!A141:A169),IF(OR(I142="Low"),WORKDAY(J142,30,DATA!A141:A169),""))),
"")
))</f>
        <v/>
      </c>
      <c r="O142" s="60" t="str">
        <f ca="1">IF(OR(ISBLANK(#REF!), M142="Completed", M142="Closed", H142&lt;&gt;"Issue"), "",
   (NETWORKDAYS.INTL(TODAY(), N142, 1, DATA!A141:A169) - 1))</f>
        <v/>
      </c>
      <c r="P142" s="88" t="str">
        <f t="shared" ca="1" si="4"/>
        <v/>
      </c>
      <c r="Q142" s="88" t="str">
        <f t="shared" ca="1" si="5"/>
        <v/>
      </c>
    </row>
    <row r="143" spans="1:17" ht="69" x14ac:dyDescent="0.3">
      <c r="A143" s="93">
        <v>142</v>
      </c>
      <c r="B143" s="77" t="s">
        <v>845</v>
      </c>
      <c r="C143" s="77" t="s">
        <v>70</v>
      </c>
      <c r="D143" s="77" t="s">
        <v>465</v>
      </c>
      <c r="E143" s="77" t="s">
        <v>356</v>
      </c>
      <c r="F143" s="77" t="s">
        <v>846</v>
      </c>
      <c r="G143" s="77" t="s">
        <v>847</v>
      </c>
      <c r="H143" s="77" t="s">
        <v>74</v>
      </c>
      <c r="I143" s="77" t="s">
        <v>75</v>
      </c>
      <c r="J143" s="94">
        <v>46121.625</v>
      </c>
      <c r="K143" s="94">
        <v>46122.365277777775</v>
      </c>
      <c r="L143" s="94">
        <v>46122.365277777775</v>
      </c>
      <c r="M143" s="93" t="s">
        <v>76</v>
      </c>
      <c r="N143" s="59" t="str">
        <f>IF(ISBLANK(J143),"",IF(OR(M143="Completed",M143="Closed"),"",IF(H143="Issue",IF(I143="High",WORKDAY(J143,2,DATA!A142:A170),IF(I143="Medium",WORKDAY(J143,14,DATA!A142:A170),IF(OR(I143="Low"),WORKDAY(J143,30,DATA!A142:A170),""))),
"")
))</f>
        <v/>
      </c>
      <c r="O143" s="60" t="str">
        <f ca="1">IF(OR(ISBLANK(#REF!), M143="Completed", M143="Closed", H143&lt;&gt;"Issue"), "",
   (NETWORKDAYS.INTL(TODAY(), N143, 1, DATA!A142:A170) - 1))</f>
        <v/>
      </c>
      <c r="P143" s="88" t="str">
        <f t="shared" ca="1" si="4"/>
        <v/>
      </c>
      <c r="Q143" s="88" t="str">
        <f t="shared" ca="1" si="5"/>
        <v/>
      </c>
    </row>
    <row r="144" spans="1:17" ht="82.8" x14ac:dyDescent="0.3">
      <c r="A144" s="93">
        <v>143</v>
      </c>
      <c r="B144" s="77" t="s">
        <v>848</v>
      </c>
      <c r="C144" s="77" t="s">
        <v>70</v>
      </c>
      <c r="D144" s="77" t="s">
        <v>465</v>
      </c>
      <c r="E144" s="77" t="s">
        <v>356</v>
      </c>
      <c r="F144" s="77" t="s">
        <v>849</v>
      </c>
      <c r="G144" s="77" t="s">
        <v>850</v>
      </c>
      <c r="H144" s="77" t="s">
        <v>74</v>
      </c>
      <c r="I144" s="77" t="s">
        <v>75</v>
      </c>
      <c r="J144" s="94">
        <v>46121.660416666666</v>
      </c>
      <c r="K144" s="94">
        <v>46129.370833333334</v>
      </c>
      <c r="L144" s="94">
        <v>46159.942361111112</v>
      </c>
      <c r="M144" s="93" t="s">
        <v>76</v>
      </c>
      <c r="N144" s="59" t="str">
        <f>IF(ISBLANK(J144),"",IF(OR(M144="Completed",M144="Closed"),"",IF(H144="Issue",IF(I144="High",WORKDAY(J144,2,DATA!A143:A171),IF(I144="Medium",WORKDAY(J144,14,DATA!A143:A171),IF(OR(I144="Low"),WORKDAY(J144,30,DATA!A143:A171),""))),
"")
))</f>
        <v/>
      </c>
      <c r="O144" s="60" t="str">
        <f ca="1">IF(OR(ISBLANK(#REF!), M144="Completed", M144="Closed", H144&lt;&gt;"Issue"), "",
   (NETWORKDAYS.INTL(TODAY(), N144, 1, DATA!A143:A171) - 1))</f>
        <v/>
      </c>
      <c r="P144" s="88" t="str">
        <f t="shared" ca="1" si="4"/>
        <v/>
      </c>
      <c r="Q144" s="88" t="str">
        <f t="shared" ca="1" si="5"/>
        <v/>
      </c>
    </row>
    <row r="145" spans="1:17" ht="41.4" x14ac:dyDescent="0.3">
      <c r="A145" s="93">
        <v>144</v>
      </c>
      <c r="B145" s="77" t="s">
        <v>851</v>
      </c>
      <c r="C145" s="77" t="s">
        <v>70</v>
      </c>
      <c r="D145" s="77" t="s">
        <v>465</v>
      </c>
      <c r="E145" s="77" t="s">
        <v>356</v>
      </c>
      <c r="F145" s="77" t="s">
        <v>852</v>
      </c>
      <c r="G145" s="77" t="s">
        <v>853</v>
      </c>
      <c r="H145" s="77" t="s">
        <v>74</v>
      </c>
      <c r="I145" s="77" t="s">
        <v>75</v>
      </c>
      <c r="J145" s="94">
        <v>46122.491666666669</v>
      </c>
      <c r="K145" s="94">
        <v>46132.466666666667</v>
      </c>
      <c r="L145" s="94">
        <v>46159.943055555559</v>
      </c>
      <c r="M145" s="93" t="s">
        <v>76</v>
      </c>
      <c r="N145" s="59" t="str">
        <f>IF(ISBLANK(J145),"",IF(OR(M145="Completed",M145="Closed"),"",IF(H145="Issue",IF(I145="High",WORKDAY(J145,2,DATA!A144:A172),IF(I145="Medium",WORKDAY(J145,14,DATA!A144:A172),IF(OR(I145="Low"),WORKDAY(J145,30,DATA!A144:A172),""))),
"")
))</f>
        <v/>
      </c>
      <c r="O145" s="60" t="str">
        <f ca="1">IF(OR(ISBLANK(#REF!), M145="Completed", M145="Closed", H145&lt;&gt;"Issue"), "",
   (NETWORKDAYS.INTL(TODAY(), N145, 1, DATA!A144:A172) - 1))</f>
        <v/>
      </c>
      <c r="P145" s="88" t="str">
        <f t="shared" ca="1" si="4"/>
        <v/>
      </c>
      <c r="Q145" s="88" t="str">
        <f t="shared" ca="1" si="5"/>
        <v/>
      </c>
    </row>
    <row r="146" spans="1:17" ht="96.6" x14ac:dyDescent="0.3">
      <c r="A146" s="93">
        <v>145</v>
      </c>
      <c r="B146" s="77" t="s">
        <v>854</v>
      </c>
      <c r="C146" s="77" t="s">
        <v>70</v>
      </c>
      <c r="D146" s="77" t="s">
        <v>477</v>
      </c>
      <c r="E146" s="77" t="s">
        <v>356</v>
      </c>
      <c r="F146" s="77" t="s">
        <v>855</v>
      </c>
      <c r="G146" s="77" t="s">
        <v>856</v>
      </c>
      <c r="H146" s="77" t="s">
        <v>74</v>
      </c>
      <c r="I146" s="77" t="s">
        <v>75</v>
      </c>
      <c r="J146" s="94">
        <v>46125.602083333331</v>
      </c>
      <c r="K146" s="94">
        <v>46129.695138888892</v>
      </c>
      <c r="L146" s="94">
        <v>46129.725694444445</v>
      </c>
      <c r="M146" s="93" t="s">
        <v>76</v>
      </c>
      <c r="N146" s="59" t="str">
        <f>IF(ISBLANK(J146),"",IF(OR(M146="Completed",M146="Closed"),"",IF(H146="Issue",IF(I146="High",WORKDAY(J146,2,DATA!A145:A173),IF(I146="Medium",WORKDAY(J146,14,DATA!A145:A173),IF(OR(I146="Low"),WORKDAY(J146,30,DATA!A145:A173),""))),
"")
))</f>
        <v/>
      </c>
      <c r="O146" s="60" t="str">
        <f ca="1">IF(OR(ISBLANK(#REF!), M146="Completed", M146="Closed", H146&lt;&gt;"Issue"), "",
   (NETWORKDAYS.INTL(TODAY(), N146, 1, DATA!A145:A173) - 1))</f>
        <v/>
      </c>
      <c r="P146" s="88" t="str">
        <f t="shared" ca="1" si="4"/>
        <v/>
      </c>
      <c r="Q146" s="88" t="str">
        <f t="shared" ca="1" si="5"/>
        <v/>
      </c>
    </row>
    <row r="147" spans="1:17" ht="82.8" x14ac:dyDescent="0.3">
      <c r="A147" s="93">
        <v>146</v>
      </c>
      <c r="B147" s="77" t="s">
        <v>857</v>
      </c>
      <c r="C147" s="77" t="s">
        <v>70</v>
      </c>
      <c r="D147" s="77" t="s">
        <v>477</v>
      </c>
      <c r="E147" s="77" t="s">
        <v>356</v>
      </c>
      <c r="F147" s="77" t="s">
        <v>858</v>
      </c>
      <c r="G147" s="77" t="s">
        <v>859</v>
      </c>
      <c r="H147" s="77" t="s">
        <v>74</v>
      </c>
      <c r="I147" s="77" t="s">
        <v>75</v>
      </c>
      <c r="J147" s="94">
        <v>46125.604166666664</v>
      </c>
      <c r="K147" s="79"/>
      <c r="L147" s="79"/>
      <c r="M147" s="93" t="s">
        <v>566</v>
      </c>
      <c r="N147" s="59">
        <f>IF(ISBLANK(J147),"",IF(OR(M147="Completed",M147="Closed"),"",IF(H147="Issue",IF(I147="High",WORKDAY(J147,2,DATA!A146:A174),IF(I147="Medium",WORKDAY(J147,14,DATA!A146:A174),IF(OR(I147="Low"),WORKDAY(J147,30,DATA!A146:A174),""))),
"")
))</f>
        <v>46143</v>
      </c>
      <c r="O147" s="60">
        <f ca="1">IF(OR(ISBLANK(#REF!), M147="Completed", M147="Closed", H147&lt;&gt;"Issue"), "",
   (NETWORKDAYS.INTL(TODAY(), N147, 1, DATA!A146:A174) - 1))</f>
        <v>-60</v>
      </c>
      <c r="P147" s="88">
        <f t="shared" ca="1" si="4"/>
        <v>60</v>
      </c>
      <c r="Q147" s="88" t="str">
        <f t="shared" ca="1" si="5"/>
        <v>31-60 Days</v>
      </c>
    </row>
    <row r="148" spans="1:17" ht="55.2" x14ac:dyDescent="0.3">
      <c r="A148" s="93">
        <v>147</v>
      </c>
      <c r="B148" s="77" t="s">
        <v>860</v>
      </c>
      <c r="C148" s="77" t="s">
        <v>70</v>
      </c>
      <c r="D148" s="77" t="s">
        <v>465</v>
      </c>
      <c r="E148" s="77" t="s">
        <v>356</v>
      </c>
      <c r="F148" s="77" t="s">
        <v>861</v>
      </c>
      <c r="G148" s="77" t="s">
        <v>862</v>
      </c>
      <c r="H148" s="77" t="s">
        <v>74</v>
      </c>
      <c r="I148" s="77" t="s">
        <v>75</v>
      </c>
      <c r="J148" s="94">
        <v>46126.458333333336</v>
      </c>
      <c r="K148" s="94">
        <v>46128.615972222222</v>
      </c>
      <c r="L148" s="94">
        <v>46159.944444444445</v>
      </c>
      <c r="M148" s="93" t="s">
        <v>76</v>
      </c>
      <c r="N148" s="59" t="str">
        <f>IF(ISBLANK(J148),"",IF(OR(M148="Completed",M148="Closed"),"",IF(H148="Issue",IF(I148="High",WORKDAY(J148,2,DATA!A147:A175),IF(I148="Medium",WORKDAY(J148,14,DATA!A147:A175),IF(OR(I148="Low"),WORKDAY(J148,30,DATA!A147:A175),""))),
"")
))</f>
        <v/>
      </c>
      <c r="O148" s="60" t="str">
        <f ca="1">IF(OR(ISBLANK(#REF!), M148="Completed", M148="Closed", H148&lt;&gt;"Issue"), "",
   (NETWORKDAYS.INTL(TODAY(), N148, 1, DATA!A147:A175) - 1))</f>
        <v/>
      </c>
      <c r="P148" s="88" t="str">
        <f t="shared" ca="1" si="4"/>
        <v/>
      </c>
      <c r="Q148" s="88" t="str">
        <f t="shared" ca="1" si="5"/>
        <v/>
      </c>
    </row>
    <row r="149" spans="1:17" ht="69" x14ac:dyDescent="0.3">
      <c r="A149" s="93">
        <v>148</v>
      </c>
      <c r="B149" s="77" t="s">
        <v>863</v>
      </c>
      <c r="C149" s="77" t="s">
        <v>70</v>
      </c>
      <c r="D149" s="77" t="s">
        <v>465</v>
      </c>
      <c r="E149" s="77" t="s">
        <v>356</v>
      </c>
      <c r="F149" s="77" t="s">
        <v>864</v>
      </c>
      <c r="G149" s="77" t="s">
        <v>865</v>
      </c>
      <c r="H149" s="77" t="s">
        <v>74</v>
      </c>
      <c r="I149" s="77" t="s">
        <v>75</v>
      </c>
      <c r="J149" s="94">
        <v>46126.729166666664</v>
      </c>
      <c r="K149" s="94">
        <v>46129.649305555555</v>
      </c>
      <c r="L149" s="94">
        <v>46129.65</v>
      </c>
      <c r="M149" s="93" t="s">
        <v>76</v>
      </c>
      <c r="N149" s="59" t="str">
        <f>IF(ISBLANK(J149),"",IF(OR(M149="Completed",M149="Closed"),"",IF(H149="Issue",IF(I149="High",WORKDAY(J149,2,DATA!A148:A176),IF(I149="Medium",WORKDAY(J149,14,DATA!A148:A176),IF(OR(I149="Low"),WORKDAY(J149,30,DATA!A148:A176),""))),
"")
))</f>
        <v/>
      </c>
      <c r="O149" s="60" t="str">
        <f ca="1">IF(OR(ISBLANK(#REF!), M149="Completed", M149="Closed", H149&lt;&gt;"Issue"), "",
   (NETWORKDAYS.INTL(TODAY(), N149, 1, DATA!A148:A176) - 1))</f>
        <v/>
      </c>
      <c r="P149" s="88" t="str">
        <f t="shared" ca="1" si="4"/>
        <v/>
      </c>
      <c r="Q149" s="88" t="str">
        <f t="shared" ca="1" si="5"/>
        <v/>
      </c>
    </row>
    <row r="150" spans="1:17" ht="55.2" x14ac:dyDescent="0.3">
      <c r="A150" s="93">
        <v>149</v>
      </c>
      <c r="B150" s="77" t="s">
        <v>866</v>
      </c>
      <c r="C150" s="77" t="s">
        <v>70</v>
      </c>
      <c r="D150" s="77" t="s">
        <v>465</v>
      </c>
      <c r="E150" s="77" t="s">
        <v>356</v>
      </c>
      <c r="F150" s="77" t="s">
        <v>87</v>
      </c>
      <c r="G150" s="77" t="s">
        <v>867</v>
      </c>
      <c r="H150" s="77" t="s">
        <v>74</v>
      </c>
      <c r="I150" s="77" t="s">
        <v>75</v>
      </c>
      <c r="J150" s="94">
        <v>46127.506249999999</v>
      </c>
      <c r="K150" s="94">
        <v>46129.695833333331</v>
      </c>
      <c r="L150" s="94">
        <v>46159.949305555558</v>
      </c>
      <c r="M150" s="93" t="s">
        <v>76</v>
      </c>
      <c r="N150" s="59" t="str">
        <f>IF(ISBLANK(J150),"",IF(OR(M150="Completed",M150="Closed"),"",IF(H150="Issue",IF(I150="High",WORKDAY(J150,2,DATA!A149:A177),IF(I150="Medium",WORKDAY(J150,14,DATA!A149:A177),IF(OR(I150="Low"),WORKDAY(J150,30,DATA!A149:A177),""))),
"")
))</f>
        <v/>
      </c>
      <c r="O150" s="60" t="str">
        <f ca="1">IF(OR(ISBLANK(#REF!), M150="Completed", M150="Closed", H150&lt;&gt;"Issue"), "",
   (NETWORKDAYS.INTL(TODAY(), N150, 1, DATA!A149:A177) - 1))</f>
        <v/>
      </c>
      <c r="P150" s="88" t="str">
        <f t="shared" ca="1" si="4"/>
        <v/>
      </c>
      <c r="Q150" s="88" t="str">
        <f t="shared" ca="1" si="5"/>
        <v/>
      </c>
    </row>
    <row r="151" spans="1:17" ht="138" x14ac:dyDescent="0.3">
      <c r="A151" s="93">
        <v>150</v>
      </c>
      <c r="B151" s="77" t="s">
        <v>868</v>
      </c>
      <c r="C151" s="77" t="s">
        <v>70</v>
      </c>
      <c r="D151" s="77" t="s">
        <v>477</v>
      </c>
      <c r="E151" s="77" t="s">
        <v>356</v>
      </c>
      <c r="F151" s="77" t="s">
        <v>869</v>
      </c>
      <c r="G151" s="77" t="s">
        <v>870</v>
      </c>
      <c r="H151" s="77" t="s">
        <v>74</v>
      </c>
      <c r="I151" s="77" t="s">
        <v>75</v>
      </c>
      <c r="J151" s="94">
        <v>46127.518750000003</v>
      </c>
      <c r="K151" s="94">
        <v>46129.478472222225</v>
      </c>
      <c r="L151" s="94">
        <v>46159.95</v>
      </c>
      <c r="M151" s="93" t="s">
        <v>76</v>
      </c>
      <c r="N151" s="59" t="str">
        <f>IF(ISBLANK(J151),"",IF(OR(M151="Completed",M151="Closed"),"",IF(H151="Issue",IF(I151="High",WORKDAY(J151,2,DATA!A150:A178),IF(I151="Medium",WORKDAY(J151,14,DATA!A150:A178),IF(OR(I151="Low"),WORKDAY(J151,30,DATA!A150:A178),""))),
"")
))</f>
        <v/>
      </c>
      <c r="O151" s="60" t="str">
        <f ca="1">IF(OR(ISBLANK(#REF!), M151="Completed", M151="Closed", H151&lt;&gt;"Issue"), "",
   (NETWORKDAYS.INTL(TODAY(), N151, 1, DATA!A150:A178) - 1))</f>
        <v/>
      </c>
      <c r="P151" s="88" t="str">
        <f t="shared" ca="1" si="4"/>
        <v/>
      </c>
      <c r="Q151" s="88" t="str">
        <f t="shared" ca="1" si="5"/>
        <v/>
      </c>
    </row>
    <row r="152" spans="1:17" ht="41.4" x14ac:dyDescent="0.3">
      <c r="A152" s="93">
        <v>151</v>
      </c>
      <c r="B152" s="77" t="s">
        <v>871</v>
      </c>
      <c r="C152" s="77" t="s">
        <v>70</v>
      </c>
      <c r="D152" s="77" t="s">
        <v>465</v>
      </c>
      <c r="E152" s="77" t="s">
        <v>356</v>
      </c>
      <c r="F152" s="77" t="s">
        <v>872</v>
      </c>
      <c r="G152" s="77" t="s">
        <v>873</v>
      </c>
      <c r="H152" s="77" t="s">
        <v>74</v>
      </c>
      <c r="I152" s="77" t="s">
        <v>75</v>
      </c>
      <c r="J152" s="94">
        <v>46127.522916666669</v>
      </c>
      <c r="K152" s="94">
        <v>46127.660416666666</v>
      </c>
      <c r="L152" s="94">
        <v>46127.660416666666</v>
      </c>
      <c r="M152" s="93" t="s">
        <v>76</v>
      </c>
      <c r="N152" s="59" t="str">
        <f>IF(ISBLANK(J152),"",IF(OR(M152="Completed",M152="Closed"),"",IF(H152="Issue",IF(I152="High",WORKDAY(J152,2,DATA!A151:A179),IF(I152="Medium",WORKDAY(J152,14,DATA!A151:A179),IF(OR(I152="Low"),WORKDAY(J152,30,DATA!A151:A179),""))),
"")
))</f>
        <v/>
      </c>
      <c r="O152" s="60" t="str">
        <f ca="1">IF(OR(ISBLANK(#REF!), M152="Completed", M152="Closed", H152&lt;&gt;"Issue"), "",
   (NETWORKDAYS.INTL(TODAY(), N152, 1, DATA!A151:A179) - 1))</f>
        <v/>
      </c>
      <c r="P152" s="88" t="str">
        <f t="shared" ca="1" si="4"/>
        <v/>
      </c>
      <c r="Q152" s="88" t="str">
        <f t="shared" ca="1" si="5"/>
        <v/>
      </c>
    </row>
    <row r="153" spans="1:17" ht="41.4" x14ac:dyDescent="0.3">
      <c r="A153" s="93">
        <v>152</v>
      </c>
      <c r="B153" s="77" t="s">
        <v>874</v>
      </c>
      <c r="C153" s="77" t="s">
        <v>70</v>
      </c>
      <c r="D153" s="77" t="s">
        <v>465</v>
      </c>
      <c r="E153" s="77" t="s">
        <v>356</v>
      </c>
      <c r="F153" s="77" t="s">
        <v>875</v>
      </c>
      <c r="G153" s="77" t="s">
        <v>876</v>
      </c>
      <c r="H153" s="77" t="s">
        <v>74</v>
      </c>
      <c r="I153" s="77" t="s">
        <v>75</v>
      </c>
      <c r="J153" s="94">
        <v>46127.677083333336</v>
      </c>
      <c r="K153" s="94">
        <v>46128.604166666664</v>
      </c>
      <c r="L153" s="94">
        <v>46159.95208333333</v>
      </c>
      <c r="M153" s="93" t="s">
        <v>76</v>
      </c>
      <c r="N153" s="59" t="str">
        <f>IF(ISBLANK(J153),"",IF(OR(M153="Completed",M153="Closed"),"",IF(H153="Issue",IF(I153="High",WORKDAY(J153,2,DATA!A152:A180),IF(I153="Medium",WORKDAY(J153,14,DATA!A152:A180),IF(OR(I153="Low"),WORKDAY(J153,30,DATA!A152:A180),""))),
"")
))</f>
        <v/>
      </c>
      <c r="O153" s="60" t="str">
        <f ca="1">IF(OR(ISBLANK(#REF!), M153="Completed", M153="Closed", H153&lt;&gt;"Issue"), "",
   (NETWORKDAYS.INTL(TODAY(), N153, 1, DATA!A152:A180) - 1))</f>
        <v/>
      </c>
      <c r="P153" s="88" t="str">
        <f t="shared" ca="1" si="4"/>
        <v/>
      </c>
      <c r="Q153" s="88" t="str">
        <f t="shared" ca="1" si="5"/>
        <v/>
      </c>
    </row>
    <row r="154" spans="1:17" ht="69" x14ac:dyDescent="0.3">
      <c r="A154" s="93">
        <v>153</v>
      </c>
      <c r="B154" s="77" t="s">
        <v>877</v>
      </c>
      <c r="C154" s="77" t="s">
        <v>70</v>
      </c>
      <c r="D154" s="77" t="s">
        <v>465</v>
      </c>
      <c r="E154" s="77" t="s">
        <v>356</v>
      </c>
      <c r="F154" s="77" t="s">
        <v>878</v>
      </c>
      <c r="G154" s="77" t="s">
        <v>879</v>
      </c>
      <c r="H154" s="77" t="s">
        <v>74</v>
      </c>
      <c r="I154" s="77" t="s">
        <v>75</v>
      </c>
      <c r="J154" s="94">
        <v>46128.69027777778</v>
      </c>
      <c r="K154" s="94">
        <v>46136.702777777777</v>
      </c>
      <c r="L154" s="94">
        <v>46159.952777777777</v>
      </c>
      <c r="M154" s="93" t="s">
        <v>76</v>
      </c>
      <c r="N154" s="59" t="str">
        <f>IF(ISBLANK(J154),"",IF(OR(M154="Completed",M154="Closed"),"",IF(H154="Issue",IF(I154="High",WORKDAY(J154,2,DATA!A153:A181),IF(I154="Medium",WORKDAY(J154,14,DATA!A153:A181),IF(OR(I154="Low"),WORKDAY(J154,30,DATA!A153:A181),""))),
"")
))</f>
        <v/>
      </c>
      <c r="O154" s="60" t="str">
        <f ca="1">IF(OR(ISBLANK(#REF!), M154="Completed", M154="Closed", H154&lt;&gt;"Issue"), "",
   (NETWORKDAYS.INTL(TODAY(), N154, 1, DATA!A153:A181) - 1))</f>
        <v/>
      </c>
      <c r="P154" s="88" t="str">
        <f t="shared" ca="1" si="4"/>
        <v/>
      </c>
      <c r="Q154" s="88" t="str">
        <f t="shared" ca="1" si="5"/>
        <v/>
      </c>
    </row>
    <row r="155" spans="1:17" ht="69" customHeight="1" x14ac:dyDescent="0.3">
      <c r="A155" s="93">
        <v>154</v>
      </c>
      <c r="B155" s="77" t="s">
        <v>880</v>
      </c>
      <c r="C155" s="77" t="s">
        <v>70</v>
      </c>
      <c r="D155" s="77" t="s">
        <v>465</v>
      </c>
      <c r="E155" s="77" t="s">
        <v>356</v>
      </c>
      <c r="F155" s="77" t="s">
        <v>881</v>
      </c>
      <c r="G155" s="77" t="s">
        <v>882</v>
      </c>
      <c r="H155" s="77" t="s">
        <v>74</v>
      </c>
      <c r="I155" s="77" t="s">
        <v>75</v>
      </c>
      <c r="J155" s="94">
        <v>46129.413888888892</v>
      </c>
      <c r="K155" s="94">
        <v>46129.597916666666</v>
      </c>
      <c r="L155" s="94">
        <v>46159.95416666667</v>
      </c>
      <c r="M155" s="93" t="s">
        <v>76</v>
      </c>
      <c r="N155" s="59" t="str">
        <f>IF(ISBLANK(J155),"",IF(OR(M155="Completed",M155="Closed"),"",IF(H155="Issue",IF(I155="High",WORKDAY(J155,2,DATA!A154:A182),IF(I155="Medium",WORKDAY(J155,14,DATA!A154:A182),IF(OR(I155="Low"),WORKDAY(J155,30,DATA!A154:A182),""))),
"")
))</f>
        <v/>
      </c>
      <c r="O155" s="60" t="str">
        <f ca="1">IF(OR(ISBLANK(#REF!), M155="Completed", M155="Closed", H155&lt;&gt;"Issue"), "",
   (NETWORKDAYS.INTL(TODAY(), N155, 1, DATA!A154:A182) - 1))</f>
        <v/>
      </c>
      <c r="P155" s="88" t="str">
        <f t="shared" ca="1" si="4"/>
        <v/>
      </c>
      <c r="Q155" s="88" t="str">
        <f t="shared" ca="1" si="5"/>
        <v/>
      </c>
    </row>
    <row r="156" spans="1:17" ht="193.2" x14ac:dyDescent="0.3">
      <c r="A156" s="93">
        <v>155</v>
      </c>
      <c r="B156" s="77" t="s">
        <v>883</v>
      </c>
      <c r="C156" s="79"/>
      <c r="D156" s="77" t="s">
        <v>465</v>
      </c>
      <c r="E156" s="77" t="s">
        <v>356</v>
      </c>
      <c r="F156" s="77" t="s">
        <v>884</v>
      </c>
      <c r="G156" s="77" t="s">
        <v>885</v>
      </c>
      <c r="H156" s="77" t="s">
        <v>74</v>
      </c>
      <c r="I156" s="77" t="s">
        <v>75</v>
      </c>
      <c r="J156" s="94">
        <v>46129.618055555555</v>
      </c>
      <c r="K156" s="79"/>
      <c r="L156" s="79"/>
      <c r="M156" s="93" t="s">
        <v>77</v>
      </c>
      <c r="N156" s="59">
        <f>IF(ISBLANK(J156),"",IF(OR(M156="Completed",M156="Closed"),"",IF(H156="Issue",IF(I156="High",WORKDAY(J156,2,DATA!A155:A183),IF(I156="Medium",WORKDAY(J156,14,DATA!A155:A183),IF(OR(I156="Low"),WORKDAY(J156,30,DATA!A155:A183),""))),
"")
))</f>
        <v>46149</v>
      </c>
      <c r="O156" s="60">
        <f ca="1">IF(OR(ISBLANK(#REF!), M156="Completed", M156="Closed", H156&lt;&gt;"Issue"), "",
   (NETWORKDAYS.INTL(TODAY(), N156, 1, DATA!A155:A183) - 1))</f>
        <v>-56</v>
      </c>
      <c r="P156" s="88">
        <f t="shared" ca="1" si="4"/>
        <v>56</v>
      </c>
      <c r="Q156" s="88" t="str">
        <f t="shared" ca="1" si="5"/>
        <v>31-60 Days</v>
      </c>
    </row>
    <row r="157" spans="1:17" ht="55.2" x14ac:dyDescent="0.3">
      <c r="A157" s="93">
        <v>156</v>
      </c>
      <c r="B157" s="77" t="s">
        <v>886</v>
      </c>
      <c r="C157" s="77" t="s">
        <v>70</v>
      </c>
      <c r="D157" s="77" t="s">
        <v>465</v>
      </c>
      <c r="E157" s="77" t="s">
        <v>356</v>
      </c>
      <c r="F157" s="77" t="s">
        <v>887</v>
      </c>
      <c r="G157" s="77" t="s">
        <v>888</v>
      </c>
      <c r="H157" s="77" t="s">
        <v>74</v>
      </c>
      <c r="I157" s="77" t="s">
        <v>75</v>
      </c>
      <c r="J157" s="94">
        <v>46129.667361111111</v>
      </c>
      <c r="K157" s="79"/>
      <c r="L157" s="79"/>
      <c r="M157" s="93" t="s">
        <v>566</v>
      </c>
      <c r="N157" s="59">
        <f>IF(ISBLANK(J157),"",IF(OR(M157="Completed",M157="Closed"),"",IF(H157="Issue",IF(I157="High",WORKDAY(J157,2,DATA!A156:A184),IF(I157="Medium",WORKDAY(J157,14,DATA!A156:A184),IF(OR(I157="Low"),WORKDAY(J157,30,DATA!A156:A184),""))),
"")
))</f>
        <v>46149</v>
      </c>
      <c r="O157" s="60">
        <f ca="1">IF(OR(ISBLANK(#REF!), M157="Completed", M157="Closed", H157&lt;&gt;"Issue"), "",
   (NETWORKDAYS.INTL(TODAY(), N157, 1, DATA!A156:A184) - 1))</f>
        <v>-56</v>
      </c>
      <c r="P157" s="88">
        <f t="shared" ca="1" si="4"/>
        <v>56</v>
      </c>
      <c r="Q157" s="88" t="str">
        <f t="shared" ca="1" si="5"/>
        <v>31-60 Days</v>
      </c>
    </row>
    <row r="158" spans="1:17" ht="82.8" x14ac:dyDescent="0.3">
      <c r="A158" s="93">
        <v>157</v>
      </c>
      <c r="B158" s="77" t="s">
        <v>889</v>
      </c>
      <c r="C158" s="77" t="s">
        <v>70</v>
      </c>
      <c r="D158" s="77" t="s">
        <v>465</v>
      </c>
      <c r="E158" s="77" t="s">
        <v>356</v>
      </c>
      <c r="F158" s="77" t="s">
        <v>888</v>
      </c>
      <c r="G158" s="77" t="s">
        <v>890</v>
      </c>
      <c r="H158" s="77" t="s">
        <v>74</v>
      </c>
      <c r="I158" s="77" t="s">
        <v>75</v>
      </c>
      <c r="J158" s="94">
        <v>46129.675000000003</v>
      </c>
      <c r="K158" s="94">
        <v>46129.677777777775</v>
      </c>
      <c r="L158" s="94">
        <v>46129.678472222222</v>
      </c>
      <c r="M158" s="93" t="s">
        <v>76</v>
      </c>
      <c r="N158" s="59" t="str">
        <f>IF(ISBLANK(J158),"",IF(OR(M158="Completed",M158="Closed"),"",IF(H158="Issue",IF(I158="High",WORKDAY(J158,2,DATA!A157:A185),IF(I158="Medium",WORKDAY(J158,14,DATA!A157:A185),IF(OR(I158="Low"),WORKDAY(J158,30,DATA!A157:A185),""))),
"")
))</f>
        <v/>
      </c>
      <c r="O158" s="60" t="str">
        <f ca="1">IF(OR(ISBLANK(#REF!), M158="Completed", M158="Closed", H158&lt;&gt;"Issue"), "",
   (NETWORKDAYS.INTL(TODAY(), N158, 1, DATA!A157:A185) - 1))</f>
        <v/>
      </c>
      <c r="P158" s="88" t="str">
        <f t="shared" ca="1" si="4"/>
        <v/>
      </c>
      <c r="Q158" s="88" t="str">
        <f t="shared" ca="1" si="5"/>
        <v/>
      </c>
    </row>
    <row r="159" spans="1:17" ht="55.2" x14ac:dyDescent="0.3">
      <c r="A159" s="93">
        <v>158</v>
      </c>
      <c r="B159" s="77" t="s">
        <v>891</v>
      </c>
      <c r="C159" s="77" t="s">
        <v>70</v>
      </c>
      <c r="D159" s="77" t="s">
        <v>477</v>
      </c>
      <c r="E159" s="77" t="s">
        <v>356</v>
      </c>
      <c r="F159" s="77" t="s">
        <v>892</v>
      </c>
      <c r="G159" s="77" t="s">
        <v>893</v>
      </c>
      <c r="H159" s="77" t="s">
        <v>74</v>
      </c>
      <c r="I159" s="77" t="s">
        <v>75</v>
      </c>
      <c r="J159" s="94">
        <v>46132.699305555558</v>
      </c>
      <c r="K159" s="94">
        <v>46133.352083333331</v>
      </c>
      <c r="L159" s="94">
        <v>46133.352777777778</v>
      </c>
      <c r="M159" s="93" t="s">
        <v>76</v>
      </c>
      <c r="N159" s="59" t="str">
        <f>IF(ISBLANK(J159),"",IF(OR(M159="Completed",M159="Closed"),"",IF(H159="Issue",IF(I159="High",WORKDAY(J159,2,DATA!A158:A186),IF(I159="Medium",WORKDAY(J159,14,DATA!A158:A186),IF(OR(I159="Low"),WORKDAY(J159,30,DATA!A158:A186),""))),
"")
))</f>
        <v/>
      </c>
      <c r="O159" s="60" t="str">
        <f ca="1">IF(OR(ISBLANK(#REF!), M159="Completed", M159="Closed", H159&lt;&gt;"Issue"), "",
   (NETWORKDAYS.INTL(TODAY(), N159, 1, DATA!A158:A186) - 1))</f>
        <v/>
      </c>
      <c r="P159" s="88" t="str">
        <f t="shared" ca="1" si="4"/>
        <v/>
      </c>
      <c r="Q159" s="88" t="str">
        <f t="shared" ca="1" si="5"/>
        <v/>
      </c>
    </row>
    <row r="160" spans="1:17" ht="69" x14ac:dyDescent="0.3">
      <c r="A160" s="93">
        <v>159</v>
      </c>
      <c r="B160" s="77" t="s">
        <v>894</v>
      </c>
      <c r="C160" s="77" t="s">
        <v>70</v>
      </c>
      <c r="D160" s="77" t="s">
        <v>465</v>
      </c>
      <c r="E160" s="77" t="s">
        <v>356</v>
      </c>
      <c r="F160" s="77" t="s">
        <v>895</v>
      </c>
      <c r="G160" s="77" t="s">
        <v>896</v>
      </c>
      <c r="H160" s="77" t="s">
        <v>74</v>
      </c>
      <c r="I160" s="77" t="s">
        <v>75</v>
      </c>
      <c r="J160" s="94">
        <v>46133.429166666669</v>
      </c>
      <c r="K160" s="94">
        <v>46133.681944444441</v>
      </c>
      <c r="L160" s="94">
        <v>46159.955555555556</v>
      </c>
      <c r="M160" s="93" t="s">
        <v>76</v>
      </c>
      <c r="N160" s="59" t="str">
        <f>IF(ISBLANK(J160),"",IF(OR(M160="Completed",M160="Closed"),"",IF(H160="Issue",IF(I160="High",WORKDAY(J160,2,DATA!A159:A187),IF(I160="Medium",WORKDAY(J160,14,DATA!A159:A187),IF(OR(I160="Low"),WORKDAY(J160,30,DATA!A159:A187),""))),
"")
))</f>
        <v/>
      </c>
      <c r="O160" s="60" t="str">
        <f ca="1">IF(OR(ISBLANK(#REF!), M160="Completed", M160="Closed", H160&lt;&gt;"Issue"), "",
   (NETWORKDAYS.INTL(TODAY(), N160, 1, DATA!A159:A187) - 1))</f>
        <v/>
      </c>
      <c r="P160" s="88" t="str">
        <f t="shared" ca="1" si="4"/>
        <v/>
      </c>
      <c r="Q160" s="88" t="str">
        <f t="shared" ca="1" si="5"/>
        <v/>
      </c>
    </row>
    <row r="161" spans="1:17" ht="82.8" customHeight="1" x14ac:dyDescent="0.3">
      <c r="A161" s="93">
        <v>160</v>
      </c>
      <c r="B161" s="77" t="s">
        <v>897</v>
      </c>
      <c r="C161" s="77" t="s">
        <v>70</v>
      </c>
      <c r="D161" s="77" t="s">
        <v>477</v>
      </c>
      <c r="E161" s="77" t="s">
        <v>356</v>
      </c>
      <c r="F161" s="77" t="s">
        <v>898</v>
      </c>
      <c r="G161" s="77" t="s">
        <v>899</v>
      </c>
      <c r="H161" s="77" t="s">
        <v>74</v>
      </c>
      <c r="I161" s="77" t="s">
        <v>75</v>
      </c>
      <c r="J161" s="94">
        <v>46133.461805555555</v>
      </c>
      <c r="K161" s="94">
        <v>46133.706250000003</v>
      </c>
      <c r="L161" s="94">
        <v>46159.956250000003</v>
      </c>
      <c r="M161" s="93" t="s">
        <v>76</v>
      </c>
      <c r="N161" s="59" t="str">
        <f>IF(ISBLANK(J161),"",IF(OR(M161="Completed",M161="Closed"),"",IF(H161="Issue",IF(I161="High",WORKDAY(J161,2,DATA!A160:A188),IF(I161="Medium",WORKDAY(J161,14,DATA!A160:A188),IF(OR(I161="Low"),WORKDAY(J161,30,DATA!A160:A188),""))),
"")
))</f>
        <v/>
      </c>
      <c r="O161" s="60" t="str">
        <f ca="1">IF(OR(ISBLANK(#REF!), M161="Completed", M161="Closed", H161&lt;&gt;"Issue"), "",
   (NETWORKDAYS.INTL(TODAY(), N161, 1, DATA!A160:A188) - 1))</f>
        <v/>
      </c>
      <c r="P161" s="88" t="str">
        <f t="shared" ca="1" si="4"/>
        <v/>
      </c>
      <c r="Q161" s="88" t="str">
        <f t="shared" ca="1" si="5"/>
        <v/>
      </c>
    </row>
    <row r="162" spans="1:17" ht="96.6" x14ac:dyDescent="0.3">
      <c r="A162" s="93">
        <v>161</v>
      </c>
      <c r="B162" s="77" t="s">
        <v>900</v>
      </c>
      <c r="C162" s="77" t="s">
        <v>70</v>
      </c>
      <c r="D162" s="77" t="s">
        <v>477</v>
      </c>
      <c r="E162" s="77" t="s">
        <v>356</v>
      </c>
      <c r="F162" s="77" t="s">
        <v>901</v>
      </c>
      <c r="G162" s="77" t="s">
        <v>902</v>
      </c>
      <c r="H162" s="77" t="s">
        <v>74</v>
      </c>
      <c r="I162" s="77" t="s">
        <v>75</v>
      </c>
      <c r="J162" s="94">
        <v>46133.462500000001</v>
      </c>
      <c r="K162" s="94">
        <v>46133.72152777778</v>
      </c>
      <c r="L162" s="94">
        <v>46159.956944444442</v>
      </c>
      <c r="M162" s="93" t="s">
        <v>76</v>
      </c>
      <c r="N162" s="59" t="str">
        <f>IF(ISBLANK(J162),"",IF(OR(M162="Completed",M162="Closed"),"",IF(H162="Issue",IF(I162="High",WORKDAY(J162,2,DATA!A161:A189),IF(I162="Medium",WORKDAY(J162,14,DATA!A161:A189),IF(OR(I162="Low"),WORKDAY(J162,30,DATA!A161:A189),""))),
"")
))</f>
        <v/>
      </c>
      <c r="O162" s="60" t="str">
        <f ca="1">IF(OR(ISBLANK(#REF!), M162="Completed", M162="Closed", H162&lt;&gt;"Issue"), "",
   (NETWORKDAYS.INTL(TODAY(), N162, 1, DATA!A161:A189) - 1))</f>
        <v/>
      </c>
      <c r="P162" s="88" t="str">
        <f t="shared" ca="1" si="4"/>
        <v/>
      </c>
      <c r="Q162" s="88" t="str">
        <f t="shared" ca="1" si="5"/>
        <v/>
      </c>
    </row>
    <row r="163" spans="1:17" ht="96.6" x14ac:dyDescent="0.3">
      <c r="A163" s="93">
        <v>162</v>
      </c>
      <c r="B163" s="77" t="s">
        <v>903</v>
      </c>
      <c r="C163" s="77" t="s">
        <v>70</v>
      </c>
      <c r="D163" s="77" t="s">
        <v>477</v>
      </c>
      <c r="E163" s="77" t="s">
        <v>356</v>
      </c>
      <c r="F163" s="77" t="s">
        <v>904</v>
      </c>
      <c r="G163" s="77" t="s">
        <v>905</v>
      </c>
      <c r="H163" s="77" t="s">
        <v>74</v>
      </c>
      <c r="I163" s="77" t="s">
        <v>75</v>
      </c>
      <c r="J163" s="94">
        <v>46134.411111111112</v>
      </c>
      <c r="K163" s="94">
        <v>46134.598611111112</v>
      </c>
      <c r="L163" s="94">
        <v>46159.959027777775</v>
      </c>
      <c r="M163" s="93" t="s">
        <v>76</v>
      </c>
      <c r="N163" s="59" t="str">
        <f>IF(ISBLANK(J163),"",IF(OR(M163="Completed",M163="Closed"),"",IF(H163="Issue",IF(I163="High",WORKDAY(J163,2,DATA!A162:A190),IF(I163="Medium",WORKDAY(J163,14,DATA!A162:A190),IF(OR(I163="Low"),WORKDAY(J163,30,DATA!A162:A190),""))),
"")
))</f>
        <v/>
      </c>
      <c r="O163" s="60" t="str">
        <f ca="1">IF(OR(ISBLANK(#REF!), M163="Completed", M163="Closed", H163&lt;&gt;"Issue"), "",
   (NETWORKDAYS.INTL(TODAY(), N163, 1, DATA!A162:A190) - 1))</f>
        <v/>
      </c>
      <c r="P163" s="88" t="str">
        <f t="shared" ca="1" si="4"/>
        <v/>
      </c>
      <c r="Q163" s="88" t="str">
        <f t="shared" ca="1" si="5"/>
        <v/>
      </c>
    </row>
    <row r="164" spans="1:17" ht="82.8" x14ac:dyDescent="0.3">
      <c r="A164" s="93">
        <v>163</v>
      </c>
      <c r="B164" s="77" t="s">
        <v>906</v>
      </c>
      <c r="C164" s="77" t="s">
        <v>70</v>
      </c>
      <c r="D164" s="77" t="s">
        <v>477</v>
      </c>
      <c r="E164" s="77" t="s">
        <v>356</v>
      </c>
      <c r="F164" s="77" t="s">
        <v>907</v>
      </c>
      <c r="G164" s="77" t="s">
        <v>908</v>
      </c>
      <c r="H164" s="77" t="s">
        <v>74</v>
      </c>
      <c r="I164" s="77" t="s">
        <v>75</v>
      </c>
      <c r="J164" s="94">
        <v>46134.726388888892</v>
      </c>
      <c r="K164" s="94">
        <v>46140.487500000003</v>
      </c>
      <c r="L164" s="94">
        <v>46159.961111111108</v>
      </c>
      <c r="M164" s="93" t="s">
        <v>76</v>
      </c>
      <c r="N164" s="59" t="str">
        <f>IF(ISBLANK(J164),"",IF(OR(M164="Completed",M164="Closed"),"",IF(H164="Issue",IF(I164="High",WORKDAY(J164,2,DATA!A163:A191),IF(I164="Medium",WORKDAY(J164,14,DATA!A163:A191),IF(OR(I164="Low"),WORKDAY(J164,30,DATA!A163:A191),""))),
"")
))</f>
        <v/>
      </c>
      <c r="O164" s="60" t="str">
        <f ca="1">IF(OR(ISBLANK(#REF!), M164="Completed", M164="Closed", H164&lt;&gt;"Issue"), "",
   (NETWORKDAYS.INTL(TODAY(), N164, 1, DATA!A163:A191) - 1))</f>
        <v/>
      </c>
      <c r="P164" s="88" t="str">
        <f t="shared" ca="1" si="4"/>
        <v/>
      </c>
      <c r="Q164" s="88" t="str">
        <f t="shared" ca="1" si="5"/>
        <v/>
      </c>
    </row>
    <row r="165" spans="1:17" ht="82.8" customHeight="1" x14ac:dyDescent="0.3">
      <c r="A165" s="93">
        <v>164</v>
      </c>
      <c r="B165" s="77" t="s">
        <v>909</v>
      </c>
      <c r="C165" s="79"/>
      <c r="D165" s="77" t="s">
        <v>487</v>
      </c>
      <c r="E165" s="77" t="s">
        <v>356</v>
      </c>
      <c r="F165" s="77" t="s">
        <v>910</v>
      </c>
      <c r="G165" s="77" t="s">
        <v>911</v>
      </c>
      <c r="H165" s="77" t="s">
        <v>74</v>
      </c>
      <c r="I165" s="77" t="s">
        <v>75</v>
      </c>
      <c r="J165" s="94">
        <v>46140.456944444442</v>
      </c>
      <c r="K165" s="79"/>
      <c r="L165" s="79"/>
      <c r="M165" s="93" t="s">
        <v>77</v>
      </c>
      <c r="N165" s="59">
        <f>IF(ISBLANK(J165),"",IF(OR(M165="Completed",M165="Closed"),"",IF(H165="Issue",IF(I165="High",WORKDAY(J165,2,DATA!A164:A192),IF(I165="Medium",WORKDAY(J165,14,DATA!A164:A192),IF(OR(I165="Low"),WORKDAY(J165,30,DATA!A164:A192),""))),
"")
))</f>
        <v>46160</v>
      </c>
      <c r="O165" s="60">
        <f ca="1">IF(OR(ISBLANK(#REF!), M165="Completed", M165="Closed", H165&lt;&gt;"Issue"), "",
   (NETWORKDAYS.INTL(TODAY(), N165, 1, DATA!A164:A192) - 1))</f>
        <v>-49</v>
      </c>
      <c r="P165" s="88">
        <f t="shared" ca="1" si="4"/>
        <v>49</v>
      </c>
      <c r="Q165" s="88" t="str">
        <f t="shared" ca="1" si="5"/>
        <v>31-60 Days</v>
      </c>
    </row>
    <row r="166" spans="1:17" ht="124.2" x14ac:dyDescent="0.3">
      <c r="A166" s="93">
        <v>165</v>
      </c>
      <c r="B166" s="77" t="s">
        <v>912</v>
      </c>
      <c r="C166" s="77" t="s">
        <v>70</v>
      </c>
      <c r="D166" s="77" t="s">
        <v>477</v>
      </c>
      <c r="E166" s="77" t="s">
        <v>356</v>
      </c>
      <c r="F166" s="77" t="s">
        <v>913</v>
      </c>
      <c r="G166" s="77" t="s">
        <v>914</v>
      </c>
      <c r="H166" s="77" t="s">
        <v>74</v>
      </c>
      <c r="I166" s="77" t="s">
        <v>75</v>
      </c>
      <c r="J166" s="94">
        <v>46140.65347222222</v>
      </c>
      <c r="K166" s="94">
        <v>46142.662499999999</v>
      </c>
      <c r="L166" s="94">
        <v>46159.961805555555</v>
      </c>
      <c r="M166" s="93" t="s">
        <v>76</v>
      </c>
      <c r="N166" s="59" t="str">
        <f>IF(ISBLANK(J166),"",IF(OR(M166="Completed",M166="Closed"),"",IF(H166="Issue",IF(I166="High",WORKDAY(J166,2,DATA!A165:A193),IF(I166="Medium",WORKDAY(J166,14,DATA!A165:A193),IF(OR(I166="Low"),WORKDAY(J166,30,DATA!A165:A193),""))),
"")
))</f>
        <v/>
      </c>
      <c r="O166" s="60" t="str">
        <f ca="1">IF(OR(ISBLANK(#REF!), M166="Completed", M166="Closed", H166&lt;&gt;"Issue"), "",
   (NETWORKDAYS.INTL(TODAY(), N166, 1, DATA!A165:A193) - 1))</f>
        <v/>
      </c>
      <c r="P166" s="88" t="str">
        <f t="shared" ca="1" si="4"/>
        <v/>
      </c>
      <c r="Q166" s="88" t="str">
        <f t="shared" ca="1" si="5"/>
        <v/>
      </c>
    </row>
    <row r="167" spans="1:17" ht="82.8" x14ac:dyDescent="0.3">
      <c r="A167" s="93">
        <v>166</v>
      </c>
      <c r="B167" s="77" t="s">
        <v>915</v>
      </c>
      <c r="C167" s="77" t="s">
        <v>70</v>
      </c>
      <c r="D167" s="77" t="s">
        <v>477</v>
      </c>
      <c r="E167" s="77" t="s">
        <v>356</v>
      </c>
      <c r="F167" s="77" t="s">
        <v>916</v>
      </c>
      <c r="G167" s="77" t="s">
        <v>917</v>
      </c>
      <c r="H167" s="77" t="s">
        <v>74</v>
      </c>
      <c r="I167" s="77" t="s">
        <v>75</v>
      </c>
      <c r="J167" s="94">
        <v>46141.388888888891</v>
      </c>
      <c r="K167" s="94">
        <v>46141.685416666667</v>
      </c>
      <c r="L167" s="94">
        <v>46159.962500000001</v>
      </c>
      <c r="M167" s="93" t="s">
        <v>76</v>
      </c>
      <c r="N167" s="59" t="str">
        <f>IF(ISBLANK(J167),"",IF(OR(M167="Completed",M167="Closed"),"",IF(H167="Issue",IF(I167="High",WORKDAY(J167,2,DATA!A166:A194),IF(I167="Medium",WORKDAY(J167,14,DATA!A166:A194),IF(OR(I167="Low"),WORKDAY(J167,30,DATA!A166:A194),""))),
"")
))</f>
        <v/>
      </c>
      <c r="O167" s="60" t="str">
        <f ca="1">IF(OR(ISBLANK(#REF!), M167="Completed", M167="Closed", H167&lt;&gt;"Issue"), "",
   (NETWORKDAYS.INTL(TODAY(), N167, 1, DATA!A166:A194) - 1))</f>
        <v/>
      </c>
      <c r="P167" s="88" t="str">
        <f t="shared" ca="1" si="4"/>
        <v/>
      </c>
      <c r="Q167" s="88" t="str">
        <f t="shared" ca="1" si="5"/>
        <v/>
      </c>
    </row>
    <row r="168" spans="1:17" ht="55.2" x14ac:dyDescent="0.3">
      <c r="A168" s="93">
        <v>167</v>
      </c>
      <c r="B168" s="77" t="s">
        <v>918</v>
      </c>
      <c r="C168" s="77" t="s">
        <v>70</v>
      </c>
      <c r="D168" s="77" t="s">
        <v>465</v>
      </c>
      <c r="E168" s="77" t="s">
        <v>356</v>
      </c>
      <c r="F168" s="77" t="s">
        <v>919</v>
      </c>
      <c r="G168" s="77" t="s">
        <v>920</v>
      </c>
      <c r="H168" s="77" t="s">
        <v>74</v>
      </c>
      <c r="I168" s="77" t="s">
        <v>75</v>
      </c>
      <c r="J168" s="94">
        <v>46142.45416666667</v>
      </c>
      <c r="K168" s="94">
        <v>46146.600694444445</v>
      </c>
      <c r="L168" s="94">
        <v>46159.963194444441</v>
      </c>
      <c r="M168" s="93" t="s">
        <v>76</v>
      </c>
      <c r="N168" s="59" t="str">
        <f>IF(ISBLANK(J168),"",IF(OR(M168="Completed",M168="Closed"),"",IF(H168="Issue",IF(I168="High",WORKDAY(J168,2,DATA!A167:A195),IF(I168="Medium",WORKDAY(J168,14,DATA!A167:A195),IF(OR(I168="Low"),WORKDAY(J168,30,DATA!A167:A195),""))),
"")
))</f>
        <v/>
      </c>
      <c r="O168" s="60" t="str">
        <f ca="1">IF(OR(ISBLANK(#REF!), M168="Completed", M168="Closed", H168&lt;&gt;"Issue"), "",
   (NETWORKDAYS.INTL(TODAY(), N168, 1, DATA!A167:A195) - 1))</f>
        <v/>
      </c>
      <c r="P168" s="88" t="str">
        <f t="shared" ca="1" si="4"/>
        <v/>
      </c>
      <c r="Q168" s="88" t="str">
        <f t="shared" ca="1" si="5"/>
        <v/>
      </c>
    </row>
    <row r="169" spans="1:17" ht="55.2" x14ac:dyDescent="0.3">
      <c r="A169" s="93">
        <v>168</v>
      </c>
      <c r="B169" s="77" t="s">
        <v>921</v>
      </c>
      <c r="C169" s="79"/>
      <c r="D169" s="77" t="s">
        <v>477</v>
      </c>
      <c r="E169" s="77" t="s">
        <v>356</v>
      </c>
      <c r="F169" s="77" t="s">
        <v>922</v>
      </c>
      <c r="G169" s="77" t="s">
        <v>923</v>
      </c>
      <c r="H169" s="77" t="s">
        <v>74</v>
      </c>
      <c r="I169" s="77" t="s">
        <v>75</v>
      </c>
      <c r="J169" s="94">
        <v>46146.428472222222</v>
      </c>
      <c r="K169" s="79"/>
      <c r="L169" s="79"/>
      <c r="M169" s="93" t="s">
        <v>77</v>
      </c>
      <c r="N169" s="59">
        <f>IF(ISBLANK(J169),"",IF(OR(M169="Completed",M169="Closed"),"",IF(H169="Issue",IF(I169="High",WORKDAY(J169,2,DATA!A168:A196),IF(I169="Medium",WORKDAY(J169,14,DATA!A168:A196),IF(OR(I169="Low"),WORKDAY(J169,30,DATA!A168:A196),""))),
"")
))</f>
        <v>46164</v>
      </c>
      <c r="O169" s="60">
        <f ca="1">IF(OR(ISBLANK(#REF!), M169="Completed", M169="Closed", H169&lt;&gt;"Issue"), "",
   (NETWORKDAYS.INTL(TODAY(), N169, 1, DATA!A168:A196) - 1))</f>
        <v>-45</v>
      </c>
      <c r="P169" s="88">
        <f t="shared" ca="1" si="4"/>
        <v>45</v>
      </c>
      <c r="Q169" s="88" t="str">
        <f t="shared" ca="1" si="5"/>
        <v>31-60 Days</v>
      </c>
    </row>
    <row r="170" spans="1:17" ht="41.4" x14ac:dyDescent="0.3">
      <c r="A170" s="93">
        <v>169</v>
      </c>
      <c r="B170" s="77" t="s">
        <v>924</v>
      </c>
      <c r="C170" s="77" t="s">
        <v>70</v>
      </c>
      <c r="D170" s="77" t="s">
        <v>465</v>
      </c>
      <c r="E170" s="77" t="s">
        <v>356</v>
      </c>
      <c r="F170" s="77" t="s">
        <v>925</v>
      </c>
      <c r="G170" s="77" t="s">
        <v>926</v>
      </c>
      <c r="H170" s="77" t="s">
        <v>74</v>
      </c>
      <c r="I170" s="77" t="s">
        <v>75</v>
      </c>
      <c r="J170" s="94">
        <v>46148.4</v>
      </c>
      <c r="K170" s="94">
        <v>46148.456944444442</v>
      </c>
      <c r="L170" s="94">
        <v>46159.969444444447</v>
      </c>
      <c r="M170" s="93" t="s">
        <v>76</v>
      </c>
      <c r="N170" s="59" t="str">
        <f>IF(ISBLANK(J170),"",IF(OR(M170="Completed",M170="Closed"),"",IF(H170="Issue",IF(I170="High",WORKDAY(J170,2,DATA!A169:A197),IF(I170="Medium",WORKDAY(J170,14,DATA!A169:A197),IF(OR(I170="Low"),WORKDAY(J170,30,DATA!A169:A197),""))),
"")
))</f>
        <v/>
      </c>
      <c r="O170" s="60" t="str">
        <f ca="1">IF(OR(ISBLANK(#REF!), M170="Completed", M170="Closed", H170&lt;&gt;"Issue"), "",
   (NETWORKDAYS.INTL(TODAY(), N170, 1, DATA!A169:A197) - 1))</f>
        <v/>
      </c>
      <c r="P170" s="88" t="str">
        <f t="shared" ca="1" si="4"/>
        <v/>
      </c>
      <c r="Q170" s="88" t="str">
        <f t="shared" ca="1" si="5"/>
        <v/>
      </c>
    </row>
    <row r="171" spans="1:17" ht="27.6" x14ac:dyDescent="0.3">
      <c r="A171" s="93">
        <v>170</v>
      </c>
      <c r="B171" s="77" t="s">
        <v>927</v>
      </c>
      <c r="C171" s="77" t="s">
        <v>70</v>
      </c>
      <c r="D171" s="77" t="s">
        <v>465</v>
      </c>
      <c r="E171" s="77" t="s">
        <v>356</v>
      </c>
      <c r="F171" s="77" t="s">
        <v>928</v>
      </c>
      <c r="G171" s="77" t="s">
        <v>929</v>
      </c>
      <c r="H171" s="77" t="s">
        <v>74</v>
      </c>
      <c r="I171" s="77" t="s">
        <v>75</v>
      </c>
      <c r="J171" s="94">
        <v>46153.599305555559</v>
      </c>
      <c r="K171" s="94">
        <v>46153.71875</v>
      </c>
      <c r="L171" s="79"/>
      <c r="M171" s="93" t="s">
        <v>85</v>
      </c>
      <c r="N171" s="59" t="str">
        <f>IF(ISBLANK(J171),"",IF(OR(M171="Completed",M171="Closed"),"",IF(H171="Issue",IF(I171="High",WORKDAY(J171,2,DATA!A170:A198),IF(I171="Medium",WORKDAY(J171,14,DATA!A170:A198),IF(OR(I171="Low"),WORKDAY(J171,30,DATA!A170:A198),""))),
"")
))</f>
        <v/>
      </c>
      <c r="O171" s="60" t="str">
        <f ca="1">IF(OR(ISBLANK(#REF!), M171="Completed", M171="Closed", H171&lt;&gt;"Issue"), "",
   (NETWORKDAYS.INTL(TODAY(), N171, 1, DATA!A170:A198) - 1))</f>
        <v/>
      </c>
      <c r="P171" s="88" t="str">
        <f t="shared" ca="1" si="4"/>
        <v/>
      </c>
      <c r="Q171" s="88" t="str">
        <f t="shared" ca="1" si="5"/>
        <v/>
      </c>
    </row>
    <row r="172" spans="1:17" ht="55.2" x14ac:dyDescent="0.3">
      <c r="A172" s="93">
        <v>171</v>
      </c>
      <c r="B172" s="77" t="s">
        <v>930</v>
      </c>
      <c r="C172" s="77" t="s">
        <v>70</v>
      </c>
      <c r="D172" s="77" t="s">
        <v>465</v>
      </c>
      <c r="E172" s="77" t="s">
        <v>356</v>
      </c>
      <c r="F172" s="77" t="s">
        <v>931</v>
      </c>
      <c r="G172" s="77" t="s">
        <v>932</v>
      </c>
      <c r="H172" s="77" t="s">
        <v>74</v>
      </c>
      <c r="I172" s="77" t="s">
        <v>75</v>
      </c>
      <c r="J172" s="94">
        <v>46155.399305555555</v>
      </c>
      <c r="K172" s="94">
        <v>46163.380555555559</v>
      </c>
      <c r="L172" s="79"/>
      <c r="M172" s="93" t="s">
        <v>85</v>
      </c>
      <c r="N172" s="59" t="str">
        <f>IF(ISBLANK(J172),"",IF(OR(M172="Completed",M172="Closed"),"",IF(H172="Issue",IF(I172="High",WORKDAY(J172,2,DATA!A171:A199),IF(I172="Medium",WORKDAY(J172,14,DATA!A171:A199),IF(OR(I172="Low"),WORKDAY(J172,30,DATA!A171:A199),""))),
"")
))</f>
        <v/>
      </c>
      <c r="O172" s="60" t="str">
        <f ca="1">IF(OR(ISBLANK(#REF!), M172="Completed", M172="Closed", H172&lt;&gt;"Issue"), "",
   (NETWORKDAYS.INTL(TODAY(), N172, 1, DATA!A171:A199) - 1))</f>
        <v/>
      </c>
      <c r="P172" s="88" t="str">
        <f t="shared" ca="1" si="4"/>
        <v/>
      </c>
      <c r="Q172" s="88" t="str">
        <f t="shared" ca="1" si="5"/>
        <v/>
      </c>
    </row>
    <row r="173" spans="1:17" ht="41.4" x14ac:dyDescent="0.3">
      <c r="A173" s="93">
        <v>172</v>
      </c>
      <c r="B173" s="77" t="s">
        <v>933</v>
      </c>
      <c r="C173" s="77" t="s">
        <v>70</v>
      </c>
      <c r="D173" s="77" t="s">
        <v>465</v>
      </c>
      <c r="E173" s="77" t="s">
        <v>356</v>
      </c>
      <c r="F173" s="77" t="s">
        <v>934</v>
      </c>
      <c r="G173" s="77" t="s">
        <v>935</v>
      </c>
      <c r="H173" s="77" t="s">
        <v>74</v>
      </c>
      <c r="I173" s="77" t="s">
        <v>75</v>
      </c>
      <c r="J173" s="94">
        <v>46155.404861111114</v>
      </c>
      <c r="K173" s="94">
        <v>46156.345138888886</v>
      </c>
      <c r="L173" s="79"/>
      <c r="M173" s="93" t="s">
        <v>85</v>
      </c>
      <c r="N173" s="59" t="str">
        <f>IF(ISBLANK(J173),"",IF(OR(M173="Completed",M173="Closed"),"",IF(H173="Issue",IF(I173="High",WORKDAY(J173,2,DATA!A172:A200),IF(I173="Medium",WORKDAY(J173,14,DATA!A172:A200),IF(OR(I173="Low"),WORKDAY(J173,30,DATA!A172:A200),""))),
"")
))</f>
        <v/>
      </c>
      <c r="O173" s="60" t="str">
        <f ca="1">IF(OR(ISBLANK(#REF!), M173="Completed", M173="Closed", H173&lt;&gt;"Issue"), "",
   (NETWORKDAYS.INTL(TODAY(), N173, 1, DATA!A172:A200) - 1))</f>
        <v/>
      </c>
      <c r="P173" s="88" t="str">
        <f t="shared" ca="1" si="4"/>
        <v/>
      </c>
      <c r="Q173" s="88" t="str">
        <f t="shared" ca="1" si="5"/>
        <v/>
      </c>
    </row>
    <row r="174" spans="1:17" ht="27.6" x14ac:dyDescent="0.3">
      <c r="A174" s="93">
        <v>173</v>
      </c>
      <c r="B174" s="77" t="s">
        <v>936</v>
      </c>
      <c r="C174" s="79"/>
      <c r="D174" s="77" t="s">
        <v>465</v>
      </c>
      <c r="E174" s="77" t="s">
        <v>356</v>
      </c>
      <c r="F174" s="77" t="s">
        <v>937</v>
      </c>
      <c r="G174" s="77" t="s">
        <v>938</v>
      </c>
      <c r="H174" s="77" t="s">
        <v>74</v>
      </c>
      <c r="I174" s="77" t="s">
        <v>75</v>
      </c>
      <c r="J174" s="94">
        <v>46155.505555555559</v>
      </c>
      <c r="K174" s="79"/>
      <c r="L174" s="79"/>
      <c r="M174" s="93" t="s">
        <v>77</v>
      </c>
      <c r="N174" s="59">
        <f>IF(ISBLANK(J174),"",IF(OR(M174="Completed",M174="Closed"),"",IF(H174="Issue",IF(I174="High",WORKDAY(J174,2,DATA!A173:A201),IF(I174="Medium",WORKDAY(J174,14,DATA!A173:A201),IF(OR(I174="Low"),WORKDAY(J174,30,DATA!A173:A201),""))),
"")
))</f>
        <v>46175</v>
      </c>
      <c r="O174" s="60">
        <f ca="1">IF(OR(ISBLANK(#REF!), M174="Completed", M174="Closed", H174&lt;&gt;"Issue"), "",
   (NETWORKDAYS.INTL(TODAY(), N174, 1, DATA!A173:A201) - 1))</f>
        <v>-38</v>
      </c>
      <c r="P174" s="88">
        <f t="shared" ca="1" si="4"/>
        <v>38</v>
      </c>
      <c r="Q174" s="88" t="str">
        <f t="shared" ca="1" si="5"/>
        <v>31-60 Days</v>
      </c>
    </row>
    <row r="175" spans="1:17" ht="27.6" x14ac:dyDescent="0.3">
      <c r="A175" s="93">
        <v>174</v>
      </c>
      <c r="B175" s="77" t="s">
        <v>939</v>
      </c>
      <c r="C175" s="77" t="s">
        <v>70</v>
      </c>
      <c r="D175" s="77" t="s">
        <v>465</v>
      </c>
      <c r="E175" s="77" t="s">
        <v>356</v>
      </c>
      <c r="F175" s="77" t="s">
        <v>940</v>
      </c>
      <c r="G175" s="77" t="s">
        <v>941</v>
      </c>
      <c r="H175" s="77" t="s">
        <v>74</v>
      </c>
      <c r="I175" s="77" t="s">
        <v>75</v>
      </c>
      <c r="J175" s="94">
        <v>46155.507638888892</v>
      </c>
      <c r="K175" s="94">
        <v>46155.708333333336</v>
      </c>
      <c r="L175" s="94">
        <v>46155.709027777775</v>
      </c>
      <c r="M175" s="93" t="s">
        <v>76</v>
      </c>
      <c r="N175" s="59" t="str">
        <f>IF(ISBLANK(J175),"",IF(OR(M175="Completed",M175="Closed"),"",IF(H175="Issue",IF(I175="High",WORKDAY(J175,2,DATA!A174:A202),IF(I175="Medium",WORKDAY(J175,14,DATA!A174:A202),IF(OR(I175="Low"),WORKDAY(J175,30,DATA!A174:A202),""))),
"")
))</f>
        <v/>
      </c>
      <c r="O175" s="60" t="str">
        <f ca="1">IF(OR(ISBLANK(#REF!), M175="Completed", M175="Closed", H175&lt;&gt;"Issue"), "",
   (NETWORKDAYS.INTL(TODAY(), N175, 1, DATA!A174:A202) - 1))</f>
        <v/>
      </c>
      <c r="P175" s="88" t="str">
        <f t="shared" ca="1" si="4"/>
        <v/>
      </c>
      <c r="Q175" s="88" t="str">
        <f t="shared" ca="1" si="5"/>
        <v/>
      </c>
    </row>
    <row r="176" spans="1:17" ht="27.6" x14ac:dyDescent="0.3">
      <c r="A176" s="93">
        <v>175</v>
      </c>
      <c r="B176" s="77" t="s">
        <v>942</v>
      </c>
      <c r="C176" s="77" t="s">
        <v>70</v>
      </c>
      <c r="D176" s="77" t="s">
        <v>465</v>
      </c>
      <c r="E176" s="77" t="s">
        <v>356</v>
      </c>
      <c r="F176" s="77" t="s">
        <v>943</v>
      </c>
      <c r="G176" s="77" t="s">
        <v>944</v>
      </c>
      <c r="H176" s="77" t="s">
        <v>74</v>
      </c>
      <c r="I176" s="77" t="s">
        <v>75</v>
      </c>
      <c r="J176" s="94">
        <v>46155.517361111109</v>
      </c>
      <c r="K176" s="94">
        <v>46155.62777777778</v>
      </c>
      <c r="L176" s="79"/>
      <c r="M176" s="93" t="s">
        <v>85</v>
      </c>
      <c r="N176" s="59" t="str">
        <f>IF(ISBLANK(J176),"",IF(OR(M176="Completed",M176="Closed"),"",IF(H176="Issue",IF(I176="High",WORKDAY(J176,2,DATA!A175:A203),IF(I176="Medium",WORKDAY(J176,14,DATA!A175:A203),IF(OR(I176="Low"),WORKDAY(J176,30,DATA!A175:A203),""))),
"")
))</f>
        <v/>
      </c>
      <c r="O176" s="60" t="str">
        <f ca="1">IF(OR(ISBLANK(#REF!), M176="Completed", M176="Closed", H176&lt;&gt;"Issue"), "",
   (NETWORKDAYS.INTL(TODAY(), N176, 1, DATA!A175:A203) - 1))</f>
        <v/>
      </c>
      <c r="P176" s="88" t="str">
        <f t="shared" ca="1" si="4"/>
        <v/>
      </c>
      <c r="Q176" s="88" t="str">
        <f t="shared" ca="1" si="5"/>
        <v/>
      </c>
    </row>
    <row r="177" spans="1:17" ht="69" x14ac:dyDescent="0.3">
      <c r="A177" s="93">
        <v>176</v>
      </c>
      <c r="B177" s="77" t="s">
        <v>945</v>
      </c>
      <c r="C177" s="77" t="s">
        <v>70</v>
      </c>
      <c r="D177" s="77" t="s">
        <v>465</v>
      </c>
      <c r="E177" s="77" t="s">
        <v>356</v>
      </c>
      <c r="F177" s="77" t="s">
        <v>946</v>
      </c>
      <c r="G177" s="77" t="s">
        <v>947</v>
      </c>
      <c r="H177" s="77" t="s">
        <v>74</v>
      </c>
      <c r="I177" s="77" t="s">
        <v>75</v>
      </c>
      <c r="J177" s="94">
        <v>46155.522222222222</v>
      </c>
      <c r="K177" s="94">
        <v>46155.624305555553</v>
      </c>
      <c r="L177" s="79"/>
      <c r="M177" s="93" t="s">
        <v>85</v>
      </c>
      <c r="N177" s="59" t="str">
        <f>IF(ISBLANK(J177),"",IF(OR(M177="Completed",M177="Closed"),"",IF(H177="Issue",IF(I177="High",WORKDAY(J177,2,DATA!A176:A204),IF(I177="Medium",WORKDAY(J177,14,DATA!A176:A204),IF(OR(I177="Low"),WORKDAY(J177,30,DATA!A176:A204),""))),
"")
))</f>
        <v/>
      </c>
      <c r="O177" s="60" t="str">
        <f ca="1">IF(OR(ISBLANK(#REF!), M177="Completed", M177="Closed", H177&lt;&gt;"Issue"), "",
   (NETWORKDAYS.INTL(TODAY(), N177, 1, DATA!A176:A204) - 1))</f>
        <v/>
      </c>
      <c r="P177" s="88" t="str">
        <f t="shared" ca="1" si="4"/>
        <v/>
      </c>
      <c r="Q177" s="88" t="str">
        <f t="shared" ca="1" si="5"/>
        <v/>
      </c>
    </row>
    <row r="178" spans="1:17" ht="69" x14ac:dyDescent="0.3">
      <c r="A178" s="93">
        <v>177</v>
      </c>
      <c r="B178" s="77" t="s">
        <v>948</v>
      </c>
      <c r="C178" s="77" t="s">
        <v>70</v>
      </c>
      <c r="D178" s="77" t="s">
        <v>465</v>
      </c>
      <c r="E178" s="77" t="s">
        <v>356</v>
      </c>
      <c r="F178" s="77" t="s">
        <v>949</v>
      </c>
      <c r="G178" s="77" t="s">
        <v>949</v>
      </c>
      <c r="H178" s="77" t="s">
        <v>74</v>
      </c>
      <c r="I178" s="77" t="s">
        <v>75</v>
      </c>
      <c r="J178" s="94">
        <v>46155.62777777778</v>
      </c>
      <c r="K178" s="94">
        <v>46156.694444444445</v>
      </c>
      <c r="L178" s="94">
        <v>46156.694444444445</v>
      </c>
      <c r="M178" s="93" t="s">
        <v>76</v>
      </c>
      <c r="N178" s="59" t="str">
        <f>IF(ISBLANK(J178),"",IF(OR(M178="Completed",M178="Closed"),"",IF(H178="Issue",IF(I178="High",WORKDAY(J178,2,DATA!A177:A205),IF(I178="Medium",WORKDAY(J178,14,DATA!A177:A205),IF(OR(I178="Low"),WORKDAY(J178,30,DATA!A177:A205),""))),
"")
))</f>
        <v/>
      </c>
      <c r="O178" s="60" t="str">
        <f ca="1">IF(OR(ISBLANK(#REF!), M178="Completed", M178="Closed", H178&lt;&gt;"Issue"), "",
   (NETWORKDAYS.INTL(TODAY(), N178, 1, DATA!A177:A205) - 1))</f>
        <v/>
      </c>
      <c r="P178" s="88" t="str">
        <f t="shared" ca="1" si="4"/>
        <v/>
      </c>
      <c r="Q178" s="88" t="str">
        <f t="shared" ca="1" si="5"/>
        <v/>
      </c>
    </row>
    <row r="179" spans="1:17" ht="27.6" x14ac:dyDescent="0.3">
      <c r="A179" s="93">
        <v>178</v>
      </c>
      <c r="B179" s="77" t="s">
        <v>950</v>
      </c>
      <c r="C179" s="77" t="s">
        <v>70</v>
      </c>
      <c r="D179" s="77" t="s">
        <v>465</v>
      </c>
      <c r="E179" s="77" t="s">
        <v>356</v>
      </c>
      <c r="F179" s="77" t="s">
        <v>951</v>
      </c>
      <c r="G179" s="77" t="s">
        <v>952</v>
      </c>
      <c r="H179" s="77" t="s">
        <v>74</v>
      </c>
      <c r="I179" s="77" t="s">
        <v>75</v>
      </c>
      <c r="J179" s="94">
        <v>46155.686805555553</v>
      </c>
      <c r="K179" s="94">
        <v>46155.693749999999</v>
      </c>
      <c r="L179" s="94">
        <v>46155.694444444445</v>
      </c>
      <c r="M179" s="93" t="s">
        <v>76</v>
      </c>
      <c r="N179" s="59" t="str">
        <f>IF(ISBLANK(J179),"",IF(OR(M179="Completed",M179="Closed"),"",IF(H179="Issue",IF(I179="High",WORKDAY(J179,2,DATA!A178:A206),IF(I179="Medium",WORKDAY(J179,14,DATA!A178:A206),IF(OR(I179="Low"),WORKDAY(J179,30,DATA!A178:A206),""))),
"")
))</f>
        <v/>
      </c>
      <c r="O179" s="60" t="str">
        <f ca="1">IF(OR(ISBLANK(#REF!), M179="Completed", M179="Closed", H179&lt;&gt;"Issue"), "",
   (NETWORKDAYS.INTL(TODAY(), N179, 1, DATA!A178:A206) - 1))</f>
        <v/>
      </c>
      <c r="P179" s="88" t="str">
        <f t="shared" ca="1" si="4"/>
        <v/>
      </c>
      <c r="Q179" s="88" t="str">
        <f t="shared" ca="1" si="5"/>
        <v/>
      </c>
    </row>
    <row r="180" spans="1:17" ht="27.6" x14ac:dyDescent="0.3">
      <c r="A180" s="93">
        <v>179</v>
      </c>
      <c r="B180" s="77" t="s">
        <v>953</v>
      </c>
      <c r="C180" s="77" t="s">
        <v>70</v>
      </c>
      <c r="D180" s="77" t="s">
        <v>804</v>
      </c>
      <c r="E180" s="77" t="s">
        <v>356</v>
      </c>
      <c r="F180" s="77" t="s">
        <v>954</v>
      </c>
      <c r="G180" s="77" t="s">
        <v>955</v>
      </c>
      <c r="H180" s="77" t="s">
        <v>74</v>
      </c>
      <c r="I180" s="77" t="s">
        <v>75</v>
      </c>
      <c r="J180" s="94">
        <v>46156.493055555555</v>
      </c>
      <c r="K180" s="94">
        <v>46156.663888888892</v>
      </c>
      <c r="L180" s="94">
        <v>46156.663888888892</v>
      </c>
      <c r="M180" s="93" t="s">
        <v>76</v>
      </c>
      <c r="N180" s="59" t="str">
        <f>IF(ISBLANK(J180),"",IF(OR(M180="Completed",M180="Closed"),"",IF(H180="Issue",IF(I180="High",WORKDAY(J180,2,DATA!A179:A207),IF(I180="Medium",WORKDAY(J180,14,DATA!A179:A207),IF(OR(I180="Low"),WORKDAY(J180,30,DATA!A179:A207),""))),
"")
))</f>
        <v/>
      </c>
      <c r="O180" s="60" t="str">
        <f ca="1">IF(OR(ISBLANK(#REF!), M180="Completed", M180="Closed", H180&lt;&gt;"Issue"), "",
   (NETWORKDAYS.INTL(TODAY(), N180, 1, DATA!A179:A207) - 1))</f>
        <v/>
      </c>
      <c r="P180" s="88" t="str">
        <f t="shared" ca="1" si="4"/>
        <v/>
      </c>
      <c r="Q180" s="88" t="str">
        <f t="shared" ca="1" si="5"/>
        <v/>
      </c>
    </row>
    <row r="181" spans="1:17" ht="41.4" x14ac:dyDescent="0.3">
      <c r="A181" s="93">
        <v>180</v>
      </c>
      <c r="B181" s="77" t="s">
        <v>956</v>
      </c>
      <c r="C181" s="77" t="s">
        <v>70</v>
      </c>
      <c r="D181" s="77" t="s">
        <v>477</v>
      </c>
      <c r="E181" s="77" t="s">
        <v>356</v>
      </c>
      <c r="F181" s="77" t="s">
        <v>957</v>
      </c>
      <c r="G181" s="77" t="s">
        <v>958</v>
      </c>
      <c r="H181" s="77" t="s">
        <v>74</v>
      </c>
      <c r="I181" s="77" t="s">
        <v>75</v>
      </c>
      <c r="J181" s="94">
        <v>46157.474305555559</v>
      </c>
      <c r="K181" s="94">
        <v>46157.622916666667</v>
      </c>
      <c r="L181" s="79"/>
      <c r="M181" s="93" t="s">
        <v>85</v>
      </c>
      <c r="N181" s="59" t="str">
        <f>IF(ISBLANK(J181),"",IF(OR(M181="Completed",M181="Closed"),"",IF(H181="Issue",IF(I181="High",WORKDAY(J181,2,DATA!A180:A208),IF(I181="Medium",WORKDAY(J181,14,DATA!A180:A208),IF(OR(I181="Low"),WORKDAY(J181,30,DATA!A180:A208),""))),
"")
))</f>
        <v/>
      </c>
      <c r="O181" s="60" t="str">
        <f ca="1">IF(OR(ISBLANK(#REF!), M181="Completed", M181="Closed", H181&lt;&gt;"Issue"), "",
   (NETWORKDAYS.INTL(TODAY(), N181, 1, DATA!A180:A208) - 1))</f>
        <v/>
      </c>
      <c r="P181" s="88" t="str">
        <f t="shared" ca="1" si="4"/>
        <v/>
      </c>
      <c r="Q181" s="88" t="str">
        <f t="shared" ca="1" si="5"/>
        <v/>
      </c>
    </row>
    <row r="182" spans="1:17" ht="96.6" x14ac:dyDescent="0.3">
      <c r="A182" s="93">
        <v>181</v>
      </c>
      <c r="B182" s="77" t="s">
        <v>959</v>
      </c>
      <c r="C182" s="77" t="s">
        <v>70</v>
      </c>
      <c r="D182" s="77" t="s">
        <v>477</v>
      </c>
      <c r="E182" s="77" t="s">
        <v>356</v>
      </c>
      <c r="F182" s="77" t="s">
        <v>960</v>
      </c>
      <c r="G182" s="77" t="s">
        <v>961</v>
      </c>
      <c r="H182" s="77" t="s">
        <v>74</v>
      </c>
      <c r="I182" s="77" t="s">
        <v>75</v>
      </c>
      <c r="J182" s="94">
        <v>46157.477777777778</v>
      </c>
      <c r="K182" s="94">
        <v>46161.423611111109</v>
      </c>
      <c r="L182" s="79"/>
      <c r="M182" s="93" t="s">
        <v>85</v>
      </c>
      <c r="N182" s="59" t="str">
        <f>IF(ISBLANK(J182),"",IF(OR(M182="Completed",M182="Closed"),"",IF(H182="Issue",IF(I182="High",WORKDAY(J182,2,DATA!A181:A209),IF(I182="Medium",WORKDAY(J182,14,DATA!A181:A209),IF(OR(I182="Low"),WORKDAY(J182,30,DATA!A181:A209),""))),
"")
))</f>
        <v/>
      </c>
      <c r="O182" s="60" t="str">
        <f ca="1">IF(OR(ISBLANK(#REF!), M182="Completed", M182="Closed", H182&lt;&gt;"Issue"), "",
   (NETWORKDAYS.INTL(TODAY(), N182, 1, DATA!A181:A209) - 1))</f>
        <v/>
      </c>
      <c r="P182" s="88" t="str">
        <f t="shared" ca="1" si="4"/>
        <v/>
      </c>
      <c r="Q182" s="88" t="str">
        <f t="shared" ca="1" si="5"/>
        <v/>
      </c>
    </row>
    <row r="183" spans="1:17" ht="27.6" x14ac:dyDescent="0.3">
      <c r="A183" s="93">
        <v>182</v>
      </c>
      <c r="B183" s="77" t="s">
        <v>962</v>
      </c>
      <c r="C183" s="79"/>
      <c r="D183" s="77" t="s">
        <v>465</v>
      </c>
      <c r="E183" s="77" t="s">
        <v>356</v>
      </c>
      <c r="F183" s="77" t="s">
        <v>963</v>
      </c>
      <c r="G183" s="77" t="s">
        <v>964</v>
      </c>
      <c r="H183" s="77" t="s">
        <v>74</v>
      </c>
      <c r="I183" s="77" t="s">
        <v>75</v>
      </c>
      <c r="J183" s="94">
        <v>46157.647222222222</v>
      </c>
      <c r="K183" s="79"/>
      <c r="L183" s="79"/>
      <c r="M183" s="93" t="s">
        <v>77</v>
      </c>
      <c r="N183" s="59">
        <f>IF(ISBLANK(J183),"",IF(OR(M183="Completed",M183="Closed"),"",IF(H183="Issue",IF(I183="High",WORKDAY(J183,2,DATA!A182:A210),IF(I183="Medium",WORKDAY(J183,14,DATA!A182:A210),IF(OR(I183="Low"),WORKDAY(J183,30,DATA!A182:A210),""))),
"")
))</f>
        <v>46177</v>
      </c>
      <c r="O183" s="60">
        <f ca="1">IF(OR(ISBLANK(#REF!), M183="Completed", M183="Closed", H183&lt;&gt;"Issue"), "",
   (NETWORKDAYS.INTL(TODAY(), N183, 1, DATA!A182:A210) - 1))</f>
        <v>-36</v>
      </c>
      <c r="P183" s="88">
        <f t="shared" ca="1" si="4"/>
        <v>36</v>
      </c>
      <c r="Q183" s="88" t="str">
        <f t="shared" ca="1" si="5"/>
        <v>31-60 Days</v>
      </c>
    </row>
    <row r="184" spans="1:17" ht="55.2" x14ac:dyDescent="0.3">
      <c r="A184" s="93">
        <v>183</v>
      </c>
      <c r="B184" s="77" t="s">
        <v>965</v>
      </c>
      <c r="C184" s="79"/>
      <c r="D184" s="77" t="s">
        <v>966</v>
      </c>
      <c r="E184" s="77" t="s">
        <v>356</v>
      </c>
      <c r="F184" s="77" t="s">
        <v>967</v>
      </c>
      <c r="G184" s="77" t="s">
        <v>968</v>
      </c>
      <c r="H184" s="77" t="s">
        <v>74</v>
      </c>
      <c r="I184" s="77" t="s">
        <v>75</v>
      </c>
      <c r="J184" s="94">
        <v>46160.513194444444</v>
      </c>
      <c r="K184" s="79"/>
      <c r="L184" s="79"/>
      <c r="M184" s="93" t="s">
        <v>77</v>
      </c>
      <c r="N184" s="59">
        <f>IF(ISBLANK(J184),"",IF(OR(M184="Completed",M184="Closed"),"",IF(H184="Issue",IF(I184="High",WORKDAY(J184,2,DATA!A183:A211),IF(I184="Medium",WORKDAY(J184,14,DATA!A183:A211),IF(OR(I184="Low"),WORKDAY(J184,30,DATA!A183:A211),""))),
"")
))</f>
        <v>46178</v>
      </c>
      <c r="O184" s="60">
        <f ca="1">IF(OR(ISBLANK(#REF!), M184="Completed", M184="Closed", H184&lt;&gt;"Issue"), "",
   (NETWORKDAYS.INTL(TODAY(), N184, 1, DATA!A183:A211) - 1))</f>
        <v>-35</v>
      </c>
      <c r="P184" s="88">
        <f t="shared" ca="1" si="4"/>
        <v>35</v>
      </c>
      <c r="Q184" s="88" t="str">
        <f t="shared" ca="1" si="5"/>
        <v>31-60 Days</v>
      </c>
    </row>
    <row r="185" spans="1:17" ht="41.4" x14ac:dyDescent="0.3">
      <c r="A185" s="93">
        <v>184</v>
      </c>
      <c r="B185" s="77" t="s">
        <v>969</v>
      </c>
      <c r="C185" s="77" t="s">
        <v>70</v>
      </c>
      <c r="D185" s="77" t="s">
        <v>465</v>
      </c>
      <c r="E185" s="77" t="s">
        <v>356</v>
      </c>
      <c r="F185" s="77" t="s">
        <v>970</v>
      </c>
      <c r="G185" s="77" t="s">
        <v>971</v>
      </c>
      <c r="H185" s="77" t="s">
        <v>74</v>
      </c>
      <c r="I185" s="77" t="s">
        <v>75</v>
      </c>
      <c r="J185" s="94">
        <v>46161.474999999999</v>
      </c>
      <c r="K185" s="94">
        <v>46161.612500000003</v>
      </c>
      <c r="L185" s="79"/>
      <c r="M185" s="93" t="s">
        <v>85</v>
      </c>
      <c r="N185" s="59" t="str">
        <f>IF(ISBLANK(J185),"",IF(OR(M185="Completed",M185="Closed"),"",IF(H185="Issue",IF(I185="High",WORKDAY(J185,2,DATA!A184:A212),IF(I185="Medium",WORKDAY(J185,14,DATA!A184:A212),IF(OR(I185="Low"),WORKDAY(J185,30,DATA!A184:A212),""))),
"")
))</f>
        <v/>
      </c>
      <c r="O185" s="60" t="str">
        <f ca="1">IF(OR(ISBLANK(#REF!), M185="Completed", M185="Closed", H185&lt;&gt;"Issue"), "",
   (NETWORKDAYS.INTL(TODAY(), N185, 1, DATA!A184:A212) - 1))</f>
        <v/>
      </c>
      <c r="P185" s="88" t="str">
        <f t="shared" ca="1" si="4"/>
        <v/>
      </c>
      <c r="Q185" s="88" t="str">
        <f t="shared" ca="1" si="5"/>
        <v/>
      </c>
    </row>
    <row r="186" spans="1:17" ht="41.4" x14ac:dyDescent="0.3">
      <c r="A186" s="93">
        <v>185</v>
      </c>
      <c r="B186" s="77" t="s">
        <v>972</v>
      </c>
      <c r="C186" s="79"/>
      <c r="D186" s="77" t="s">
        <v>477</v>
      </c>
      <c r="E186" s="77" t="s">
        <v>356</v>
      </c>
      <c r="F186" s="77" t="s">
        <v>973</v>
      </c>
      <c r="G186" s="77" t="s">
        <v>974</v>
      </c>
      <c r="H186" s="77" t="s">
        <v>74</v>
      </c>
      <c r="I186" s="77" t="s">
        <v>75</v>
      </c>
      <c r="J186" s="94">
        <v>46161.486805555556</v>
      </c>
      <c r="K186" s="79"/>
      <c r="L186" s="79"/>
      <c r="M186" s="93" t="s">
        <v>77</v>
      </c>
      <c r="N186" s="59">
        <f>IF(ISBLANK(J186),"",IF(OR(M186="Completed",M186="Closed"),"",IF(H186="Issue",IF(I186="High",WORKDAY(J186,2,DATA!A185:A213),IF(I186="Medium",WORKDAY(J186,14,DATA!A185:A213),IF(OR(I186="Low"),WORKDAY(J186,30,DATA!A185:A213),""))),
"")
))</f>
        <v>46181</v>
      </c>
      <c r="O186" s="60">
        <f ca="1">IF(OR(ISBLANK(#REF!), M186="Completed", M186="Closed", H186&lt;&gt;"Issue"), "",
   (NETWORKDAYS.INTL(TODAY(), N186, 1, DATA!A185:A213) - 1))</f>
        <v>-34</v>
      </c>
      <c r="P186" s="88">
        <f t="shared" ca="1" si="4"/>
        <v>34</v>
      </c>
      <c r="Q186" s="88" t="str">
        <f t="shared" ca="1" si="5"/>
        <v>31-60 Days</v>
      </c>
    </row>
    <row r="187" spans="1:17" ht="55.2" x14ac:dyDescent="0.3">
      <c r="A187" s="93">
        <v>186</v>
      </c>
      <c r="B187" s="77" t="s">
        <v>975</v>
      </c>
      <c r="C187" s="77" t="s">
        <v>70</v>
      </c>
      <c r="D187" s="77" t="s">
        <v>465</v>
      </c>
      <c r="E187" s="77" t="s">
        <v>356</v>
      </c>
      <c r="F187" s="77" t="s">
        <v>976</v>
      </c>
      <c r="G187" s="77" t="s">
        <v>977</v>
      </c>
      <c r="H187" s="77" t="s">
        <v>74</v>
      </c>
      <c r="I187" s="77" t="s">
        <v>75</v>
      </c>
      <c r="J187" s="94">
        <v>46161.64166666667</v>
      </c>
      <c r="K187" s="94">
        <v>46161.652777777781</v>
      </c>
      <c r="L187" s="94">
        <v>46161.65902777778</v>
      </c>
      <c r="M187" s="93" t="s">
        <v>76</v>
      </c>
      <c r="N187" s="59" t="str">
        <f>IF(ISBLANK(J187),"",IF(OR(M187="Completed",M187="Closed"),"",IF(H187="Issue",IF(I187="High",WORKDAY(J187,2,DATA!A186:A214),IF(I187="Medium",WORKDAY(J187,14,DATA!A186:A214),IF(OR(I187="Low"),WORKDAY(J187,30,DATA!A186:A214),""))),
"")
))</f>
        <v/>
      </c>
      <c r="O187" s="60" t="str">
        <f ca="1">IF(OR(ISBLANK(#REF!), M187="Completed", M187="Closed", H187&lt;&gt;"Issue"), "",
   (NETWORKDAYS.INTL(TODAY(), N187, 1, DATA!A186:A214) - 1))</f>
        <v/>
      </c>
      <c r="P187" s="88" t="str">
        <f t="shared" ca="1" si="4"/>
        <v/>
      </c>
      <c r="Q187" s="88" t="str">
        <f t="shared" ca="1" si="5"/>
        <v/>
      </c>
    </row>
    <row r="188" spans="1:17" ht="151.80000000000001" x14ac:dyDescent="0.3">
      <c r="A188" s="93">
        <v>187</v>
      </c>
      <c r="B188" s="77" t="s">
        <v>978</v>
      </c>
      <c r="C188" s="79"/>
      <c r="D188" s="77" t="s">
        <v>465</v>
      </c>
      <c r="E188" s="77" t="s">
        <v>356</v>
      </c>
      <c r="F188" s="77" t="s">
        <v>979</v>
      </c>
      <c r="G188" s="77" t="s">
        <v>980</v>
      </c>
      <c r="H188" s="77" t="s">
        <v>74</v>
      </c>
      <c r="I188" s="77" t="s">
        <v>75</v>
      </c>
      <c r="J188" s="94">
        <v>46162.504861111112</v>
      </c>
      <c r="K188" s="79"/>
      <c r="L188" s="79"/>
      <c r="M188" s="93" t="s">
        <v>77</v>
      </c>
      <c r="N188" s="59">
        <f>IF(ISBLANK(J188),"",IF(OR(M188="Completed",M188="Closed"),"",IF(H188="Issue",IF(I188="High",WORKDAY(J188,2,DATA!A187:A215),IF(I188="Medium",WORKDAY(J188,14,DATA!A187:A215),IF(OR(I188="Low"),WORKDAY(J188,30,DATA!A187:A215),""))),
"")
))</f>
        <v>46182</v>
      </c>
      <c r="O188" s="60">
        <f ca="1">IF(OR(ISBLANK(#REF!), M188="Completed", M188="Closed", H188&lt;&gt;"Issue"), "",
   (NETWORKDAYS.INTL(TODAY(), N188, 1, DATA!A187:A215) - 1))</f>
        <v>-33</v>
      </c>
      <c r="P188" s="88">
        <f t="shared" ca="1" si="4"/>
        <v>33</v>
      </c>
      <c r="Q188" s="88" t="str">
        <f t="shared" ca="1" si="5"/>
        <v>31-60 Days</v>
      </c>
    </row>
    <row r="189" spans="1:17" ht="27.6" x14ac:dyDescent="0.3">
      <c r="A189" s="93">
        <v>188</v>
      </c>
      <c r="B189" s="77" t="s">
        <v>981</v>
      </c>
      <c r="C189" s="79"/>
      <c r="D189" s="77" t="s">
        <v>487</v>
      </c>
      <c r="E189" s="77" t="s">
        <v>356</v>
      </c>
      <c r="F189" s="77" t="s">
        <v>982</v>
      </c>
      <c r="G189" s="77" t="s">
        <v>983</v>
      </c>
      <c r="H189" s="77" t="s">
        <v>74</v>
      </c>
      <c r="I189" s="77" t="s">
        <v>75</v>
      </c>
      <c r="J189" s="94">
        <v>46162.743055555555</v>
      </c>
      <c r="K189" s="79"/>
      <c r="L189" s="79"/>
      <c r="M189" s="93" t="s">
        <v>77</v>
      </c>
      <c r="N189" s="59">
        <f>IF(ISBLANK(J189),"",IF(OR(M189="Completed",M189="Closed"),"",IF(H189="Issue",IF(I189="High",WORKDAY(J189,2,DATA!A188:A216),IF(I189="Medium",WORKDAY(J189,14,DATA!A188:A216),IF(OR(I189="Low"),WORKDAY(J189,30,DATA!A188:A216),""))),
"")
))</f>
        <v>46182</v>
      </c>
      <c r="O189" s="60">
        <f ca="1">IF(OR(ISBLANK(#REF!), M189="Completed", M189="Closed", H189&lt;&gt;"Issue"), "",
   (NETWORKDAYS.INTL(TODAY(), N189, 1, DATA!A188:A216) - 1))</f>
        <v>-33</v>
      </c>
      <c r="P189" s="88">
        <f t="shared" ca="1" si="4"/>
        <v>33</v>
      </c>
      <c r="Q189" s="88" t="str">
        <f t="shared" ca="1" si="5"/>
        <v>31-60 Days</v>
      </c>
    </row>
    <row r="190" spans="1:17" ht="41.4" x14ac:dyDescent="0.3">
      <c r="A190" s="93">
        <v>189</v>
      </c>
      <c r="B190" s="93" t="s">
        <v>1379</v>
      </c>
      <c r="C190" s="93" t="s">
        <v>70</v>
      </c>
      <c r="D190" s="93" t="s">
        <v>465</v>
      </c>
      <c r="E190" s="93" t="s">
        <v>356</v>
      </c>
      <c r="F190" s="93" t="s">
        <v>1380</v>
      </c>
      <c r="G190" s="93" t="s">
        <v>971</v>
      </c>
      <c r="H190" s="93" t="s">
        <v>74</v>
      </c>
      <c r="I190" s="93" t="s">
        <v>75</v>
      </c>
      <c r="J190" s="94">
        <v>46163.475694444445</v>
      </c>
      <c r="K190" s="94">
        <v>46171.48333333333</v>
      </c>
      <c r="L190" s="79"/>
      <c r="M190" s="93" t="s">
        <v>85</v>
      </c>
      <c r="N190" s="59" t="str">
        <f>IF(ISBLANK(J190),"",IF(OR(M190="Completed",M190="Closed"),"",IF(H190="Issue",IF(I190="High",WORKDAY(J190,2,DATA!A189:A217),IF(I190="Medium",WORKDAY(J190,14,DATA!A189:A217),IF(OR(I190="Low"),WORKDAY(J190,30,DATA!A189:A217),""))),
"")
))</f>
        <v/>
      </c>
      <c r="O190" s="60" t="str">
        <f ca="1">IF(OR(ISBLANK(#REF!), M190="Completed", M190="Closed", H190&lt;&gt;"Issue"), "",
   (NETWORKDAYS.INTL(TODAY(), N190, 1, DATA!A189:A217) - 1))</f>
        <v/>
      </c>
    </row>
    <row r="191" spans="1:17" ht="55.2" x14ac:dyDescent="0.3">
      <c r="A191" s="93">
        <v>190</v>
      </c>
      <c r="B191" s="93" t="s">
        <v>1381</v>
      </c>
      <c r="C191" s="93" t="s">
        <v>70</v>
      </c>
      <c r="D191" s="93" t="s">
        <v>465</v>
      </c>
      <c r="E191" s="93" t="s">
        <v>356</v>
      </c>
      <c r="F191" s="93" t="s">
        <v>1382</v>
      </c>
      <c r="G191" s="93" t="s">
        <v>1383</v>
      </c>
      <c r="H191" s="93" t="s">
        <v>74</v>
      </c>
      <c r="I191" s="93" t="s">
        <v>75</v>
      </c>
      <c r="J191" s="94">
        <v>46164.763194444444</v>
      </c>
      <c r="K191" s="94">
        <v>46167.40347222222</v>
      </c>
      <c r="L191" s="79"/>
      <c r="M191" s="93" t="s">
        <v>85</v>
      </c>
      <c r="N191" s="59" t="str">
        <f>IF(ISBLANK(J191),"",IF(OR(M191="Completed",M191="Closed"),"",IF(H191="Issue",IF(I191="High",WORKDAY(J191,2,DATA!A190:A218),IF(I191="Medium",WORKDAY(J191,14,DATA!A190:A218),IF(OR(I191="Low"),WORKDAY(J191,30,DATA!A190:A218),""))),
"")
))</f>
        <v/>
      </c>
      <c r="O191" s="60" t="str">
        <f ca="1">IF(OR(ISBLANK(#REF!), M191="Completed", M191="Closed", H191&lt;&gt;"Issue"), "",
   (NETWORKDAYS.INTL(TODAY(), N191, 1, DATA!A190:A218) - 1))</f>
        <v/>
      </c>
    </row>
    <row r="192" spans="1:17" ht="82.8" x14ac:dyDescent="0.3">
      <c r="A192" s="93">
        <v>191</v>
      </c>
      <c r="B192" s="93" t="s">
        <v>1384</v>
      </c>
      <c r="C192" s="93" t="s">
        <v>70</v>
      </c>
      <c r="D192" s="93" t="s">
        <v>465</v>
      </c>
      <c r="E192" s="93" t="s">
        <v>356</v>
      </c>
      <c r="F192" s="93" t="s">
        <v>1385</v>
      </c>
      <c r="G192" s="93" t="s">
        <v>1386</v>
      </c>
      <c r="H192" s="93" t="s">
        <v>74</v>
      </c>
      <c r="I192" s="93" t="s">
        <v>75</v>
      </c>
      <c r="J192" s="94">
        <v>46167.45416666667</v>
      </c>
      <c r="K192" s="94">
        <v>46167.525694444441</v>
      </c>
      <c r="L192" s="79"/>
      <c r="M192" s="93" t="s">
        <v>85</v>
      </c>
      <c r="N192" s="59" t="str">
        <f>IF(ISBLANK(J192),"",IF(OR(M192="Completed",M192="Closed"),"",IF(H192="Issue",IF(I192="High",WORKDAY(J192,2,DATA!A191:A219),IF(I192="Medium",WORKDAY(J192,14,DATA!A191:A219),IF(OR(I192="Low"),WORKDAY(J192,30,DATA!A191:A219),""))),
"")
))</f>
        <v/>
      </c>
      <c r="O192" s="60" t="str">
        <f ca="1">IF(OR(ISBLANK(#REF!), M192="Completed", M192="Closed", H192&lt;&gt;"Issue"), "",
   (NETWORKDAYS.INTL(TODAY(), N192, 1, DATA!A191:A219) - 1))</f>
        <v/>
      </c>
    </row>
    <row r="193" spans="1:15" ht="55.2" x14ac:dyDescent="0.3">
      <c r="A193" s="93">
        <v>192</v>
      </c>
      <c r="B193" s="93" t="s">
        <v>1387</v>
      </c>
      <c r="C193" s="93" t="s">
        <v>70</v>
      </c>
      <c r="D193" s="93" t="s">
        <v>465</v>
      </c>
      <c r="E193" s="93" t="s">
        <v>356</v>
      </c>
      <c r="F193" s="93" t="s">
        <v>1388</v>
      </c>
      <c r="G193" s="93" t="s">
        <v>1389</v>
      </c>
      <c r="H193" s="93" t="s">
        <v>74</v>
      </c>
      <c r="I193" s="93" t="s">
        <v>75</v>
      </c>
      <c r="J193" s="94">
        <v>46170.640972222223</v>
      </c>
      <c r="K193" s="94">
        <v>46171.388194444444</v>
      </c>
      <c r="L193" s="79"/>
      <c r="M193" s="93" t="s">
        <v>85</v>
      </c>
      <c r="N193" s="59" t="str">
        <f>IF(ISBLANK(J193),"",IF(OR(M193="Completed",M193="Closed"),"",IF(H193="Issue",IF(I193="High",WORKDAY(J193,2,DATA!A192:A220),IF(I193="Medium",WORKDAY(J193,14,DATA!A192:A220),IF(OR(I193="Low"),WORKDAY(J193,30,DATA!A192:A220),""))),
"")
))</f>
        <v/>
      </c>
      <c r="O193" s="60" t="str">
        <f ca="1">IF(OR(ISBLANK(#REF!), M193="Completed", M193="Closed", H193&lt;&gt;"Issue"), "",
   (NETWORKDAYS.INTL(TODAY(), N193, 1, DATA!A192:A220) - 1))</f>
        <v/>
      </c>
    </row>
    <row r="194" spans="1:15" ht="55.2" x14ac:dyDescent="0.3">
      <c r="A194" s="93">
        <v>193</v>
      </c>
      <c r="B194" s="93" t="s">
        <v>1390</v>
      </c>
      <c r="C194" s="93" t="s">
        <v>70</v>
      </c>
      <c r="D194" s="93" t="s">
        <v>465</v>
      </c>
      <c r="E194" s="93" t="s">
        <v>356</v>
      </c>
      <c r="F194" s="93" t="s">
        <v>1391</v>
      </c>
      <c r="G194" s="93" t="s">
        <v>1392</v>
      </c>
      <c r="H194" s="93" t="s">
        <v>74</v>
      </c>
      <c r="I194" s="93" t="s">
        <v>75</v>
      </c>
      <c r="J194" s="94">
        <v>46177.477083333331</v>
      </c>
      <c r="K194" s="94">
        <v>46202.711111111108</v>
      </c>
      <c r="L194" s="94">
        <v>46202.711111111108</v>
      </c>
      <c r="M194" s="93" t="s">
        <v>76</v>
      </c>
      <c r="N194" s="59" t="str">
        <f>IF(ISBLANK(J194),"",IF(OR(M194="Completed",M194="Closed"),"",IF(H194="Issue",IF(I194="High",WORKDAY(J194,2,DATA!A193:A221),IF(I194="Medium",WORKDAY(J194,14,DATA!A193:A221),IF(OR(I194="Low"),WORKDAY(J194,30,DATA!A193:A221),""))),
"")
))</f>
        <v/>
      </c>
      <c r="O194" s="60" t="str">
        <f ca="1">IF(OR(ISBLANK(#REF!), M194="Completed", M194="Closed", H194&lt;&gt;"Issue"), "",
   (NETWORKDAYS.INTL(TODAY(), N194, 1, DATA!A193:A221) - 1))</f>
        <v/>
      </c>
    </row>
    <row r="195" spans="1:15" ht="110.4" x14ac:dyDescent="0.3">
      <c r="A195" s="93">
        <v>194</v>
      </c>
      <c r="B195" s="93" t="s">
        <v>1393</v>
      </c>
      <c r="C195" s="93" t="s">
        <v>70</v>
      </c>
      <c r="D195" s="93" t="s">
        <v>477</v>
      </c>
      <c r="E195" s="93" t="s">
        <v>356</v>
      </c>
      <c r="F195" s="93" t="s">
        <v>1394</v>
      </c>
      <c r="G195" s="93" t="s">
        <v>1395</v>
      </c>
      <c r="H195" s="93" t="s">
        <v>74</v>
      </c>
      <c r="I195" s="93" t="s">
        <v>75</v>
      </c>
      <c r="J195" s="94">
        <v>46178.458333333336</v>
      </c>
      <c r="K195" s="94">
        <v>46191.645138888889</v>
      </c>
      <c r="L195" s="79"/>
      <c r="M195" s="93" t="s">
        <v>85</v>
      </c>
      <c r="N195" s="59" t="str">
        <f>IF(ISBLANK(J195),"",IF(OR(M195="Completed",M195="Closed"),"",IF(H195="Issue",IF(I195="High",WORKDAY(J195,2,DATA!A194:A222),IF(I195="Medium",WORKDAY(J195,14,DATA!A194:A222),IF(OR(I195="Low"),WORKDAY(J195,30,DATA!A194:A222),""))),
"")
))</f>
        <v/>
      </c>
      <c r="O195" s="60" t="str">
        <f ca="1">IF(OR(ISBLANK(#REF!), M195="Completed", M195="Closed", H195&lt;&gt;"Issue"), "",
   (NETWORKDAYS.INTL(TODAY(), N195, 1, DATA!A194:A222) - 1))</f>
        <v/>
      </c>
    </row>
    <row r="196" spans="1:15" ht="96.6" x14ac:dyDescent="0.3">
      <c r="A196" s="93">
        <v>195</v>
      </c>
      <c r="B196" s="93" t="s">
        <v>1396</v>
      </c>
      <c r="C196" s="93" t="s">
        <v>70</v>
      </c>
      <c r="D196" s="93" t="s">
        <v>477</v>
      </c>
      <c r="E196" s="93" t="s">
        <v>356</v>
      </c>
      <c r="F196" s="93" t="s">
        <v>1397</v>
      </c>
      <c r="G196" s="93" t="s">
        <v>1398</v>
      </c>
      <c r="H196" s="93" t="s">
        <v>74</v>
      </c>
      <c r="I196" s="93" t="s">
        <v>75</v>
      </c>
      <c r="J196" s="94">
        <v>46182.69027777778</v>
      </c>
      <c r="K196" s="94">
        <v>46183.441666666666</v>
      </c>
      <c r="L196" s="79"/>
      <c r="M196" s="93" t="s">
        <v>85</v>
      </c>
      <c r="N196" s="59" t="str">
        <f>IF(ISBLANK(J196),"",IF(OR(M196="Completed",M196="Closed"),"",IF(H196="Issue",IF(I196="High",WORKDAY(J196,2,DATA!A195:A223),IF(I196="Medium",WORKDAY(J196,14,DATA!A195:A223),IF(OR(I196="Low"),WORKDAY(J196,30,DATA!A195:A223),""))),
"")
))</f>
        <v/>
      </c>
      <c r="O196" s="60" t="str">
        <f ca="1">IF(OR(ISBLANK(#REF!), M196="Completed", M196="Closed", H196&lt;&gt;"Issue"), "",
   (NETWORKDAYS.INTL(TODAY(), N196, 1, DATA!A195:A223) - 1))</f>
        <v/>
      </c>
    </row>
    <row r="197" spans="1:15" ht="55.2" x14ac:dyDescent="0.3">
      <c r="A197" s="93">
        <v>196</v>
      </c>
      <c r="B197" s="93" t="s">
        <v>1399</v>
      </c>
      <c r="C197" s="93" t="s">
        <v>70</v>
      </c>
      <c r="D197" s="93" t="s">
        <v>477</v>
      </c>
      <c r="E197" s="93" t="s">
        <v>356</v>
      </c>
      <c r="F197" s="93" t="s">
        <v>1400</v>
      </c>
      <c r="G197" s="93" t="s">
        <v>1401</v>
      </c>
      <c r="H197" s="93" t="s">
        <v>74</v>
      </c>
      <c r="I197" s="93" t="s">
        <v>75</v>
      </c>
      <c r="J197" s="94">
        <v>46183.630555555559</v>
      </c>
      <c r="K197" s="94">
        <v>46202.643750000003</v>
      </c>
      <c r="L197" s="94">
        <v>46202.644444444442</v>
      </c>
      <c r="M197" s="93" t="s">
        <v>76</v>
      </c>
      <c r="N197" s="59" t="str">
        <f>IF(ISBLANK(J197),"",IF(OR(M197="Completed",M197="Closed"),"",IF(H197="Issue",IF(I197="High",WORKDAY(J197,2,DATA!A196:A224),IF(I197="Medium",WORKDAY(J197,14,DATA!A196:A224),IF(OR(I197="Low"),WORKDAY(J197,30,DATA!A196:A224),""))),
"")
))</f>
        <v/>
      </c>
      <c r="O197" s="60" t="str">
        <f ca="1">IF(OR(ISBLANK(#REF!), M197="Completed", M197="Closed", H197&lt;&gt;"Issue"), "",
   (NETWORKDAYS.INTL(TODAY(), N197, 1, DATA!A196:A224) - 1))</f>
        <v/>
      </c>
    </row>
    <row r="198" spans="1:15" ht="55.2" x14ac:dyDescent="0.3">
      <c r="A198" s="93">
        <v>197</v>
      </c>
      <c r="B198" s="93" t="s">
        <v>1402</v>
      </c>
      <c r="C198" s="93" t="s">
        <v>70</v>
      </c>
      <c r="D198" s="93" t="s">
        <v>465</v>
      </c>
      <c r="E198" s="93" t="s">
        <v>356</v>
      </c>
      <c r="F198" s="93" t="s">
        <v>1403</v>
      </c>
      <c r="G198" s="93" t="s">
        <v>1404</v>
      </c>
      <c r="H198" s="93" t="s">
        <v>74</v>
      </c>
      <c r="I198" s="93" t="s">
        <v>75</v>
      </c>
      <c r="J198" s="94">
        <v>46183.643750000003</v>
      </c>
      <c r="K198" s="94">
        <v>46202.678472222222</v>
      </c>
      <c r="L198" s="94">
        <v>46202.679861111108</v>
      </c>
      <c r="M198" s="93" t="s">
        <v>76</v>
      </c>
      <c r="N198" s="59" t="str">
        <f>IF(ISBLANK(J198),"",IF(OR(M198="Completed",M198="Closed"),"",IF(H198="Issue",IF(I198="High",WORKDAY(J198,2,DATA!A197:A225),IF(I198="Medium",WORKDAY(J198,14,DATA!A197:A225),IF(OR(I198="Low"),WORKDAY(J198,30,DATA!A197:A225),""))),
"")
))</f>
        <v/>
      </c>
      <c r="O198" s="60" t="str">
        <f ca="1">IF(OR(ISBLANK(#REF!), M198="Completed", M198="Closed", H198&lt;&gt;"Issue"), "",
   (NETWORKDAYS.INTL(TODAY(), N198, 1, DATA!A197:A225) - 1))</f>
        <v/>
      </c>
    </row>
    <row r="199" spans="1:15" ht="110.4" x14ac:dyDescent="0.3">
      <c r="A199" s="93">
        <v>198</v>
      </c>
      <c r="B199" s="93" t="s">
        <v>1405</v>
      </c>
      <c r="C199" s="93" t="s">
        <v>70</v>
      </c>
      <c r="D199" s="93" t="s">
        <v>487</v>
      </c>
      <c r="E199" s="93" t="s">
        <v>356</v>
      </c>
      <c r="F199" s="93" t="s">
        <v>1406</v>
      </c>
      <c r="G199" s="93" t="s">
        <v>1407</v>
      </c>
      <c r="H199" s="93" t="s">
        <v>74</v>
      </c>
      <c r="I199" s="93" t="s">
        <v>75</v>
      </c>
      <c r="J199" s="94">
        <v>46183.676388888889</v>
      </c>
      <c r="K199" s="79"/>
      <c r="L199" s="79"/>
      <c r="M199" s="93" t="s">
        <v>566</v>
      </c>
      <c r="N199" s="59">
        <f>IF(ISBLANK(J199),"",IF(OR(M199="Completed",M199="Closed"),"",IF(H199="Issue",IF(I199="High",WORKDAY(J199,2,DATA!A198:A226),IF(I199="Medium",WORKDAY(J199,14,DATA!A198:A226),IF(OR(I199="Low"),WORKDAY(J199,30,DATA!A198:A226),""))),
"")
))</f>
        <v>46203</v>
      </c>
      <c r="O199" s="60">
        <f ca="1">IF(OR(ISBLANK(#REF!), M199="Completed", M199="Closed", H199&lt;&gt;"Issue"), "",
   (NETWORKDAYS.INTL(TODAY(), N199, 1, DATA!A198:A226) - 1))</f>
        <v>-18</v>
      </c>
    </row>
    <row r="200" spans="1:15" ht="124.2" x14ac:dyDescent="0.3">
      <c r="A200" s="93">
        <v>199</v>
      </c>
      <c r="B200" s="93" t="s">
        <v>1408</v>
      </c>
      <c r="C200" s="93" t="s">
        <v>70</v>
      </c>
      <c r="D200" s="93" t="s">
        <v>465</v>
      </c>
      <c r="E200" s="93" t="s">
        <v>356</v>
      </c>
      <c r="F200" s="93" t="s">
        <v>1409</v>
      </c>
      <c r="G200" s="93" t="s">
        <v>1410</v>
      </c>
      <c r="H200" s="93" t="s">
        <v>74</v>
      </c>
      <c r="I200" s="93" t="s">
        <v>75</v>
      </c>
      <c r="J200" s="94">
        <v>46183.697916666664</v>
      </c>
      <c r="K200" s="94">
        <v>46202.635416666664</v>
      </c>
      <c r="L200" s="79"/>
      <c r="M200" s="93" t="s">
        <v>85</v>
      </c>
      <c r="N200" s="59" t="str">
        <f>IF(ISBLANK(J200),"",IF(OR(M200="Completed",M200="Closed"),"",IF(H200="Issue",IF(I200="High",WORKDAY(J200,2,DATA!A199:A227),IF(I200="Medium",WORKDAY(J200,14,DATA!A199:A227),IF(OR(I200="Low"),WORKDAY(J200,30,DATA!A199:A227),""))),
"")
))</f>
        <v/>
      </c>
      <c r="O200" s="60" t="str">
        <f ca="1">IF(OR(ISBLANK(#REF!), M200="Completed", M200="Closed", H200&lt;&gt;"Issue"), "",
   (NETWORKDAYS.INTL(TODAY(), N200, 1, DATA!A199:A227) - 1))</f>
        <v/>
      </c>
    </row>
    <row r="201" spans="1:15" ht="151.80000000000001" x14ac:dyDescent="0.3">
      <c r="A201" s="93">
        <v>200</v>
      </c>
      <c r="B201" s="93" t="s">
        <v>1411</v>
      </c>
      <c r="C201" s="93" t="s">
        <v>70</v>
      </c>
      <c r="D201" s="93" t="s">
        <v>465</v>
      </c>
      <c r="E201" s="93" t="s">
        <v>356</v>
      </c>
      <c r="F201" s="93" t="s">
        <v>1412</v>
      </c>
      <c r="G201" s="93" t="s">
        <v>1413</v>
      </c>
      <c r="H201" s="93" t="s">
        <v>74</v>
      </c>
      <c r="I201" s="93" t="s">
        <v>75</v>
      </c>
      <c r="J201" s="94">
        <v>46184.44027777778</v>
      </c>
      <c r="K201" s="94">
        <v>46202.606249999997</v>
      </c>
      <c r="L201" s="79"/>
      <c r="M201" s="93" t="s">
        <v>85</v>
      </c>
      <c r="N201" s="59" t="str">
        <f>IF(ISBLANK(J201),"",IF(OR(M201="Completed",M201="Closed"),"",IF(H201="Issue",IF(I201="High",WORKDAY(J201,2,DATA!A200:A228),IF(I201="Medium",WORKDAY(J201,14,DATA!A200:A228),IF(OR(I201="Low"),WORKDAY(J201,30,DATA!A200:A228),""))),
"")
))</f>
        <v/>
      </c>
      <c r="O201" s="60" t="str">
        <f ca="1">IF(OR(ISBLANK(#REF!), M201="Completed", M201="Closed", H201&lt;&gt;"Issue"), "",
   (NETWORKDAYS.INTL(TODAY(), N201, 1, DATA!A200:A228) - 1))</f>
        <v/>
      </c>
    </row>
    <row r="202" spans="1:15" ht="110.4" x14ac:dyDescent="0.3">
      <c r="A202" s="93">
        <v>201</v>
      </c>
      <c r="B202" s="93" t="s">
        <v>1414</v>
      </c>
      <c r="C202" s="93" t="s">
        <v>70</v>
      </c>
      <c r="D202" s="93" t="s">
        <v>465</v>
      </c>
      <c r="E202" s="93" t="s">
        <v>356</v>
      </c>
      <c r="F202" s="93" t="s">
        <v>1415</v>
      </c>
      <c r="G202" s="93" t="s">
        <v>1416</v>
      </c>
      <c r="H202" s="93" t="s">
        <v>74</v>
      </c>
      <c r="I202" s="93" t="s">
        <v>75</v>
      </c>
      <c r="J202" s="94">
        <v>46185.383333333331</v>
      </c>
      <c r="K202" s="94">
        <v>46195.670138888891</v>
      </c>
      <c r="L202" s="79"/>
      <c r="M202" s="93" t="s">
        <v>85</v>
      </c>
      <c r="N202" s="59" t="str">
        <f>IF(ISBLANK(J202),"",IF(OR(M202="Completed",M202="Closed"),"",IF(H202="Issue",IF(I202="High",WORKDAY(J202,2,DATA!A201:A229),IF(I202="Medium",WORKDAY(J202,14,DATA!A201:A229),IF(OR(I202="Low"),WORKDAY(J202,30,DATA!A201:A229),""))),
"")
))</f>
        <v/>
      </c>
      <c r="O202" s="60" t="str">
        <f ca="1">IF(OR(ISBLANK(#REF!), M202="Completed", M202="Closed", H202&lt;&gt;"Issue"), "",
   (NETWORKDAYS.INTL(TODAY(), N202, 1, DATA!A201:A229) - 1))</f>
        <v/>
      </c>
    </row>
    <row r="203" spans="1:15" ht="124.2" x14ac:dyDescent="0.3">
      <c r="A203" s="93">
        <v>202</v>
      </c>
      <c r="B203" s="93" t="s">
        <v>1417</v>
      </c>
      <c r="C203" s="93" t="s">
        <v>70</v>
      </c>
      <c r="D203" s="93" t="s">
        <v>465</v>
      </c>
      <c r="E203" s="93" t="s">
        <v>356</v>
      </c>
      <c r="F203" s="93" t="s">
        <v>1418</v>
      </c>
      <c r="G203" s="93" t="s">
        <v>1419</v>
      </c>
      <c r="H203" s="93" t="s">
        <v>74</v>
      </c>
      <c r="I203" s="93" t="s">
        <v>75</v>
      </c>
      <c r="J203" s="94">
        <v>46185.385416666664</v>
      </c>
      <c r="K203" s="94">
        <v>46195.645138888889</v>
      </c>
      <c r="L203" s="79"/>
      <c r="M203" s="93" t="s">
        <v>85</v>
      </c>
      <c r="N203" s="59" t="str">
        <f>IF(ISBLANK(J203),"",IF(OR(M203="Completed",M203="Closed"),"",IF(H203="Issue",IF(I203="High",WORKDAY(J203,2,DATA!A202:A230),IF(I203="Medium",WORKDAY(J203,14,DATA!A202:A230),IF(OR(I203="Low"),WORKDAY(J203,30,DATA!A202:A230),""))),
"")
))</f>
        <v/>
      </c>
      <c r="O203" s="60" t="str">
        <f ca="1">IF(OR(ISBLANK(#REF!), M203="Completed", M203="Closed", H203&lt;&gt;"Issue"), "",
   (NETWORKDAYS.INTL(TODAY(), N203, 1, DATA!A202:A230) - 1))</f>
        <v/>
      </c>
    </row>
    <row r="204" spans="1:15" ht="96.6" x14ac:dyDescent="0.3">
      <c r="A204" s="93">
        <v>203</v>
      </c>
      <c r="B204" s="93" t="s">
        <v>1420</v>
      </c>
      <c r="C204" s="93" t="s">
        <v>70</v>
      </c>
      <c r="D204" s="93" t="s">
        <v>465</v>
      </c>
      <c r="E204" s="93" t="s">
        <v>356</v>
      </c>
      <c r="F204" s="93" t="s">
        <v>1421</v>
      </c>
      <c r="G204" s="93" t="s">
        <v>1422</v>
      </c>
      <c r="H204" s="93" t="s">
        <v>74</v>
      </c>
      <c r="I204" s="93" t="s">
        <v>75</v>
      </c>
      <c r="J204" s="94">
        <v>46191.707638888889</v>
      </c>
      <c r="K204" s="94">
        <v>46195.695833333331</v>
      </c>
      <c r="L204" s="79"/>
      <c r="M204" s="93" t="s">
        <v>85</v>
      </c>
      <c r="N204" s="59" t="str">
        <f>IF(ISBLANK(J204),"",IF(OR(M204="Completed",M204="Closed"),"",IF(H204="Issue",IF(I204="High",WORKDAY(J204,2,DATA!A203:A231),IF(I204="Medium",WORKDAY(J204,14,DATA!A203:A231),IF(OR(I204="Low"),WORKDAY(J204,30,DATA!A203:A231),""))),
"")
))</f>
        <v/>
      </c>
      <c r="O204" s="60" t="str">
        <f ca="1">IF(OR(ISBLANK(#REF!), M204="Completed", M204="Closed", H204&lt;&gt;"Issue"), "",
   (NETWORKDAYS.INTL(TODAY(), N204, 1, DATA!A203:A231) - 1))</f>
        <v/>
      </c>
    </row>
    <row r="205" spans="1:15" ht="55.2" x14ac:dyDescent="0.3">
      <c r="A205" s="93">
        <v>204</v>
      </c>
      <c r="B205" s="93" t="s">
        <v>1423</v>
      </c>
      <c r="C205" s="93" t="s">
        <v>70</v>
      </c>
      <c r="D205" s="93" t="s">
        <v>465</v>
      </c>
      <c r="E205" s="93" t="s">
        <v>356</v>
      </c>
      <c r="F205" s="93" t="s">
        <v>1424</v>
      </c>
      <c r="G205" s="93" t="s">
        <v>1425</v>
      </c>
      <c r="H205" s="93" t="s">
        <v>74</v>
      </c>
      <c r="I205" s="93" t="s">
        <v>75</v>
      </c>
      <c r="J205" s="94">
        <v>46192.490277777775</v>
      </c>
      <c r="K205" s="94">
        <v>46195.445138888892</v>
      </c>
      <c r="L205" s="79"/>
      <c r="M205" s="93" t="s">
        <v>85</v>
      </c>
      <c r="N205" s="59" t="str">
        <f>IF(ISBLANK(J205),"",IF(OR(M205="Completed",M205="Closed"),"",IF(H205="Issue",IF(I205="High",WORKDAY(J205,2,DATA!A204:A232),IF(I205="Medium",WORKDAY(J205,14,DATA!A204:A232),IF(OR(I205="Low"),WORKDAY(J205,30,DATA!A204:A232),""))),
"")
))</f>
        <v/>
      </c>
      <c r="O205" s="60" t="str">
        <f ca="1">IF(OR(ISBLANK(#REF!), M205="Completed", M205="Closed", H205&lt;&gt;"Issue"), "",
   (NETWORKDAYS.INTL(TODAY(), N205, 1, DATA!A204:A232) - 1))</f>
        <v/>
      </c>
    </row>
    <row r="206" spans="1:15" ht="41.4" x14ac:dyDescent="0.3">
      <c r="A206" s="93">
        <v>205</v>
      </c>
      <c r="B206" s="93" t="s">
        <v>1426</v>
      </c>
      <c r="C206" s="93" t="s">
        <v>70</v>
      </c>
      <c r="D206" s="93" t="s">
        <v>465</v>
      </c>
      <c r="E206" s="93" t="s">
        <v>356</v>
      </c>
      <c r="F206" s="93" t="s">
        <v>1427</v>
      </c>
      <c r="G206" s="93" t="s">
        <v>1428</v>
      </c>
      <c r="H206" s="93" t="s">
        <v>74</v>
      </c>
      <c r="I206" s="93" t="s">
        <v>75</v>
      </c>
      <c r="J206" s="94">
        <v>46195.456944444442</v>
      </c>
      <c r="K206" s="94">
        <v>46195.477083333331</v>
      </c>
      <c r="L206" s="79"/>
      <c r="M206" s="93" t="s">
        <v>85</v>
      </c>
      <c r="N206" s="59" t="str">
        <f>IF(ISBLANK(J206),"",IF(OR(M206="Completed",M206="Closed"),"",IF(H206="Issue",IF(I206="High",WORKDAY(J206,2,DATA!A205:A233),IF(I206="Medium",WORKDAY(J206,14,DATA!A205:A233),IF(OR(I206="Low"),WORKDAY(J206,30,DATA!A205:A233),""))),
"")
))</f>
        <v/>
      </c>
      <c r="O206" s="60" t="str">
        <f ca="1">IF(OR(ISBLANK(#REF!), M206="Completed", M206="Closed", H206&lt;&gt;"Issue"), "",
   (NETWORKDAYS.INTL(TODAY(), N206, 1, DATA!A205:A233) - 1))</f>
        <v/>
      </c>
    </row>
    <row r="207" spans="1:15" ht="41.4" x14ac:dyDescent="0.3">
      <c r="A207" s="93">
        <v>206</v>
      </c>
      <c r="B207" s="93" t="s">
        <v>1429</v>
      </c>
      <c r="C207" s="93" t="s">
        <v>70</v>
      </c>
      <c r="D207" s="93" t="s">
        <v>477</v>
      </c>
      <c r="E207" s="93" t="s">
        <v>356</v>
      </c>
      <c r="F207" s="93" t="s">
        <v>1430</v>
      </c>
      <c r="G207" s="93" t="s">
        <v>1431</v>
      </c>
      <c r="H207" s="93" t="s">
        <v>74</v>
      </c>
      <c r="I207" s="93" t="s">
        <v>75</v>
      </c>
      <c r="J207" s="94">
        <v>46195.619444444441</v>
      </c>
      <c r="K207" s="94">
        <v>46197.405555555553</v>
      </c>
      <c r="L207" s="79"/>
      <c r="M207" s="93" t="s">
        <v>85</v>
      </c>
      <c r="N207" s="59" t="str">
        <f>IF(ISBLANK(J207),"",IF(OR(M207="Completed",M207="Closed"),"",IF(H207="Issue",IF(I207="High",WORKDAY(J207,2,DATA!A206:A234),IF(I207="Medium",WORKDAY(J207,14,DATA!A206:A234),IF(OR(I207="Low"),WORKDAY(J207,30,DATA!A206:A234),""))),
"")
))</f>
        <v/>
      </c>
      <c r="O207" s="60" t="str">
        <f ca="1">IF(OR(ISBLANK(#REF!), M207="Completed", M207="Closed", H207&lt;&gt;"Issue"), "",
   (NETWORKDAYS.INTL(TODAY(), N207, 1, DATA!A206:A234) - 1))</f>
        <v/>
      </c>
    </row>
    <row r="208" spans="1:15" ht="55.2" x14ac:dyDescent="0.3">
      <c r="A208" s="93">
        <v>207</v>
      </c>
      <c r="B208" s="93" t="s">
        <v>1432</v>
      </c>
      <c r="C208" s="93" t="s">
        <v>70</v>
      </c>
      <c r="D208" s="93" t="s">
        <v>477</v>
      </c>
      <c r="E208" s="93" t="s">
        <v>356</v>
      </c>
      <c r="F208" s="93" t="s">
        <v>1433</v>
      </c>
      <c r="G208" s="93" t="s">
        <v>1434</v>
      </c>
      <c r="H208" s="93" t="s">
        <v>74</v>
      </c>
      <c r="I208" s="93" t="s">
        <v>75</v>
      </c>
      <c r="J208" s="94">
        <v>46202.710416666669</v>
      </c>
      <c r="K208" s="94">
        <v>46203.441666666666</v>
      </c>
      <c r="L208" s="94">
        <v>46203.441666666666</v>
      </c>
      <c r="M208" s="93" t="s">
        <v>76</v>
      </c>
      <c r="N208" s="59" t="str">
        <f>IF(ISBLANK(J208),"",IF(OR(M208="Completed",M208="Closed"),"",IF(H208="Issue",IF(I208="High",WORKDAY(J208,2,DATA!A207:A235),IF(I208="Medium",WORKDAY(J208,14,DATA!A207:A235),IF(OR(I208="Low"),WORKDAY(J208,30,DATA!A207:A235),""))),
"")
))</f>
        <v/>
      </c>
      <c r="O208" s="60" t="str">
        <f ca="1">IF(OR(ISBLANK(#REF!), M208="Completed", M208="Closed", H208&lt;&gt;"Issue"), "",
   (NETWORKDAYS.INTL(TODAY(), N208, 1, DATA!A207:A235) - 1))</f>
        <v/>
      </c>
    </row>
    <row r="209" spans="10:13" x14ac:dyDescent="0.3">
      <c r="J209" s="108"/>
      <c r="K209" s="109"/>
      <c r="L209" s="109"/>
      <c r="M209" s="93"/>
    </row>
    <row r="210" spans="10:13" x14ac:dyDescent="0.3">
      <c r="J210" s="108"/>
      <c r="K210" s="108"/>
      <c r="L210" s="109"/>
      <c r="M210" s="93"/>
    </row>
    <row r="211" spans="10:13" x14ac:dyDescent="0.3">
      <c r="J211" s="108"/>
      <c r="K211" s="108"/>
      <c r="L211" s="109"/>
      <c r="M211" s="93"/>
    </row>
    <row r="212" spans="10:13" x14ac:dyDescent="0.3">
      <c r="J212" s="108"/>
      <c r="K212" s="108"/>
      <c r="L212" s="109"/>
      <c r="M212" s="93"/>
    </row>
    <row r="213" spans="10:13" x14ac:dyDescent="0.3">
      <c r="J213" s="108"/>
      <c r="K213" s="108"/>
      <c r="L213" s="109"/>
      <c r="M213" s="93"/>
    </row>
    <row r="214" spans="10:13" x14ac:dyDescent="0.3">
      <c r="J214" s="108"/>
      <c r="K214" s="108"/>
      <c r="L214" s="109"/>
      <c r="M214" s="93"/>
    </row>
    <row r="215" spans="10:13" x14ac:dyDescent="0.3">
      <c r="J215" s="108"/>
      <c r="K215" s="108"/>
      <c r="L215" s="109"/>
      <c r="M215" s="93"/>
    </row>
    <row r="216" spans="10:13" x14ac:dyDescent="0.3">
      <c r="J216" s="108"/>
      <c r="K216" s="108"/>
      <c r="L216" s="109"/>
      <c r="M216" s="93"/>
    </row>
    <row r="217" spans="10:13" x14ac:dyDescent="0.3">
      <c r="J217" s="108"/>
      <c r="K217" s="108"/>
      <c r="L217" s="109"/>
      <c r="M217" s="93"/>
    </row>
    <row r="218" spans="10:13" x14ac:dyDescent="0.3">
      <c r="J218" s="108"/>
      <c r="K218" s="108"/>
      <c r="L218" s="108"/>
      <c r="M218" s="93"/>
    </row>
  </sheetData>
  <mergeCells count="1">
    <mergeCell ref="S8:S9"/>
  </mergeCells>
  <dataValidations count="3">
    <dataValidation type="list" allowBlank="1" showInputMessage="1" showErrorMessage="1" sqref="H3" xr:uid="{54C1928E-7A70-40CB-9034-7DD74B594B43}">
      <formula1>"Issue, Modification, Information, Change Request, Quotation"</formula1>
    </dataValidation>
    <dataValidation type="list" allowBlank="1" showInputMessage="1" showErrorMessage="1" sqref="M3:M95" xr:uid="{DF1C0E09-1693-4DDF-A3F0-2380F95C4584}">
      <formula1>"Pending, InProgress, Completed, Closed"</formula1>
    </dataValidation>
    <dataValidation type="list" allowBlank="1" showInputMessage="1" showErrorMessage="1" sqref="I3:I208" xr:uid="{A3224285-5107-4A5D-857D-84BA48EDA3CF}">
      <formula1>"High, Medium, Low"</formula1>
    </dataValidation>
  </dataValidations>
  <hyperlinks>
    <hyperlink ref="A1" location="'All clients'!A1" display="&lt;---" xr:uid="{AE92ED62-8821-4BC9-905F-32A60B91030F}"/>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C7D14-31A5-4DF9-BED1-335982AD2111}">
  <dimension ref="A1:V190"/>
  <sheetViews>
    <sheetView topLeftCell="G4" workbookViewId="0">
      <selection activeCell="D21" sqref="D21"/>
    </sheetView>
  </sheetViews>
  <sheetFormatPr defaultRowHeight="15.6" x14ac:dyDescent="0.3"/>
  <cols>
    <col min="2" max="2" width="12.19921875" customWidth="1"/>
    <col min="3" max="3" width="11.5" customWidth="1"/>
    <col min="4" max="4" width="16.59765625" customWidth="1"/>
    <col min="6" max="6" width="18.09765625" customWidth="1"/>
    <col min="7" max="7" width="32.796875" customWidth="1"/>
    <col min="10" max="10" width="14" customWidth="1"/>
    <col min="11" max="11" width="14.8984375" customWidth="1"/>
    <col min="12" max="12" width="15.8984375" customWidth="1"/>
    <col min="13" max="13" width="10.796875" customWidth="1"/>
    <col min="14" max="14" width="11.3984375" customWidth="1"/>
    <col min="15" max="15" width="15" customWidth="1"/>
    <col min="16" max="16" width="8.796875" style="62"/>
    <col min="17" max="17" width="9.3984375" style="62" customWidth="1"/>
  </cols>
  <sheetData>
    <row r="1" spans="1:22" x14ac:dyDescent="0.3">
      <c r="A1" s="45" t="s">
        <v>48</v>
      </c>
      <c r="B1" s="46" t="s">
        <v>49</v>
      </c>
      <c r="C1" s="46">
        <f>T7</f>
        <v>15</v>
      </c>
      <c r="D1" s="47" t="s">
        <v>50</v>
      </c>
      <c r="E1" s="48">
        <f>SUM(T3:T4)</f>
        <v>4</v>
      </c>
      <c r="F1" s="49" t="s">
        <v>51</v>
      </c>
      <c r="G1" s="50">
        <f>SUM(T5:T6)</f>
        <v>11</v>
      </c>
      <c r="H1" s="51"/>
      <c r="I1" s="51"/>
      <c r="J1" s="51"/>
      <c r="K1" s="51"/>
      <c r="L1" s="51"/>
      <c r="M1" s="51"/>
      <c r="N1" s="51"/>
      <c r="O1" s="51"/>
    </row>
    <row r="2" spans="1:22" ht="27.6" x14ac:dyDescent="0.3">
      <c r="A2" s="54" t="s">
        <v>52</v>
      </c>
      <c r="B2" s="54" t="s">
        <v>53</v>
      </c>
      <c r="C2" s="54" t="s">
        <v>54</v>
      </c>
      <c r="D2" s="54" t="s">
        <v>55</v>
      </c>
      <c r="E2" s="54" t="s">
        <v>56</v>
      </c>
      <c r="F2" s="54" t="s">
        <v>57</v>
      </c>
      <c r="G2" s="54" t="s">
        <v>58</v>
      </c>
      <c r="H2" s="54" t="s">
        <v>59</v>
      </c>
      <c r="I2" s="54" t="s">
        <v>60</v>
      </c>
      <c r="J2" s="54" t="s">
        <v>61</v>
      </c>
      <c r="K2" s="54" t="s">
        <v>62</v>
      </c>
      <c r="L2" s="54" t="s">
        <v>63</v>
      </c>
      <c r="M2" s="54" t="s">
        <v>64</v>
      </c>
      <c r="N2" s="54" t="s">
        <v>65</v>
      </c>
      <c r="O2" s="54" t="s">
        <v>66</v>
      </c>
      <c r="P2" s="54" t="s">
        <v>67</v>
      </c>
      <c r="Q2" s="54" t="s">
        <v>68</v>
      </c>
    </row>
    <row r="3" spans="1:22" ht="110.4" x14ac:dyDescent="0.3">
      <c r="A3" s="77">
        <v>1</v>
      </c>
      <c r="B3" s="77" t="s">
        <v>985</v>
      </c>
      <c r="C3" s="77" t="s">
        <v>70</v>
      </c>
      <c r="D3" s="77" t="s">
        <v>375</v>
      </c>
      <c r="E3" s="77" t="s">
        <v>358</v>
      </c>
      <c r="F3" s="77" t="s">
        <v>986</v>
      </c>
      <c r="G3" s="77" t="s">
        <v>987</v>
      </c>
      <c r="H3" s="77" t="s">
        <v>74</v>
      </c>
      <c r="I3" s="77" t="s">
        <v>75</v>
      </c>
      <c r="J3" s="108">
        <v>46083.624305555553</v>
      </c>
      <c r="K3" s="108">
        <v>46141.631249999999</v>
      </c>
      <c r="L3" s="108">
        <v>46159.847222222219</v>
      </c>
      <c r="M3" s="93" t="s">
        <v>76</v>
      </c>
      <c r="N3" s="59" t="str">
        <f>IF(ISBLANK(J3),"",IF(OR(M3="Completed",M3="Closed"),"",IF(H3="Issue",IF(I3="High",WORKDAY(J3,2,DATA!A2:A30),IF(I3="Medium",WORKDAY(J3,14,DATA!A2:A30),IF(OR(I3="Low"),WORKDAY(J3,30,DATA!A2:A30),""))),
"")
))</f>
        <v/>
      </c>
      <c r="O3" s="60" t="str">
        <f ca="1">IF(OR(ISBLANK(#REF!), M3="Completed", M3="Closed", H3&lt;&gt;"Issue"), "",
   (NETWORKDAYS.INTL(TODAY(), N3, 1, DATA!A2:A30) - 1))</f>
        <v/>
      </c>
      <c r="P3" s="78" t="str">
        <f ca="1">IF(O3="","",LEFT(O3,10)*(-1))</f>
        <v/>
      </c>
      <c r="Q3" s="62" t="str">
        <f ca="1">IF(P3="","",
IF(P3&lt;=30,"1-30 Days",
IF(AND(P3&gt;=31,P3&lt;=60),"31-60 Days",
"&gt;60 Days")))</f>
        <v/>
      </c>
      <c r="S3" s="63" t="s">
        <v>77</v>
      </c>
      <c r="T3" s="64">
        <f>COUNTIF(M3:M299, "Pending")</f>
        <v>4</v>
      </c>
    </row>
    <row r="4" spans="1:22" ht="55.2" x14ac:dyDescent="0.3">
      <c r="A4" s="77">
        <v>2</v>
      </c>
      <c r="B4" s="77" t="s">
        <v>988</v>
      </c>
      <c r="C4" s="77" t="s">
        <v>70</v>
      </c>
      <c r="D4" s="77" t="s">
        <v>375</v>
      </c>
      <c r="E4" s="77" t="s">
        <v>358</v>
      </c>
      <c r="F4" s="77" t="s">
        <v>989</v>
      </c>
      <c r="G4" s="77" t="s">
        <v>990</v>
      </c>
      <c r="H4" s="77" t="s">
        <v>74</v>
      </c>
      <c r="I4" s="77" t="s">
        <v>75</v>
      </c>
      <c r="J4" s="108">
        <v>46083.625694444447</v>
      </c>
      <c r="K4" s="108">
        <v>46141.634027777778</v>
      </c>
      <c r="L4" s="108">
        <v>46159.847916666666</v>
      </c>
      <c r="M4" s="93" t="s">
        <v>76</v>
      </c>
      <c r="N4" s="59" t="str">
        <f>IF(ISBLANK(J4),"",IF(OR(M4="Completed",M4="Closed"),"",IF(H4="Issue",IF(I4="High",WORKDAY(J4,2,DATA!A3:A31),IF(I4="Medium",WORKDAY(J4,14,DATA!A3:A31),IF(OR(I4="Low"),WORKDAY(J4,30,DATA!A3:A31),""))),
"")
))</f>
        <v/>
      </c>
      <c r="O4" s="60" t="str">
        <f ca="1">IF(OR(ISBLANK(#REF!), M4="Completed", M4="Closed", H4&lt;&gt;"Issue"), "",
   (NETWORKDAYS.INTL(TODAY(), N4, 1, DATA!A3:A31) - 1))</f>
        <v/>
      </c>
      <c r="P4" s="78" t="str">
        <f t="shared" ref="P4:P67" ca="1" si="0">IF(O4="","",LEFT(O4,10)*(-1))</f>
        <v/>
      </c>
      <c r="Q4" s="62" t="str">
        <f t="shared" ref="Q4:Q67" ca="1" si="1">IF(P4="","",
IF(P4&lt;=30,"1-30 Days",
IF(AND(P4&gt;=31,P4&lt;=60),"31-60 Days",
"&gt;60 Days")))</f>
        <v/>
      </c>
      <c r="S4" s="63" t="s">
        <v>80</v>
      </c>
      <c r="T4" s="64">
        <f>COUNTIF(M3:M299, "InProgress")</f>
        <v>0</v>
      </c>
    </row>
    <row r="5" spans="1:22" ht="41.4" x14ac:dyDescent="0.3">
      <c r="A5" s="77">
        <v>3</v>
      </c>
      <c r="B5" s="77" t="s">
        <v>991</v>
      </c>
      <c r="C5" s="77" t="s">
        <v>70</v>
      </c>
      <c r="D5" s="77" t="s">
        <v>375</v>
      </c>
      <c r="E5" s="77" t="s">
        <v>358</v>
      </c>
      <c r="F5" s="77" t="s">
        <v>992</v>
      </c>
      <c r="G5" s="77" t="s">
        <v>993</v>
      </c>
      <c r="H5" s="77" t="s">
        <v>74</v>
      </c>
      <c r="I5" s="77" t="s">
        <v>75</v>
      </c>
      <c r="J5" s="108">
        <v>46092.667361111111</v>
      </c>
      <c r="K5" s="108">
        <v>46141.62777777778</v>
      </c>
      <c r="L5" s="108">
        <v>46159.875694444447</v>
      </c>
      <c r="M5" s="93" t="s">
        <v>76</v>
      </c>
      <c r="N5" s="59" t="str">
        <f>IF(ISBLANK(J5),"",IF(OR(M5="Completed",M5="Closed"),"",IF(H5="Issue",IF(I5="High",WORKDAY(J5,2,DATA!A4:A32),IF(I5="Medium",WORKDAY(J5,14,DATA!A4:A32),IF(OR(I5="Low"),WORKDAY(J5,30,DATA!A4:A32),""))),
"")
))</f>
        <v/>
      </c>
      <c r="O5" s="60" t="str">
        <f ca="1">IF(OR(ISBLANK(#REF!), M5="Completed", M5="Closed", H5&lt;&gt;"Issue"), "",
   (NETWORKDAYS.INTL(TODAY(), N5, 1, DATA!A4:A32) - 1))</f>
        <v/>
      </c>
      <c r="P5" s="78" t="str">
        <f t="shared" ca="1" si="0"/>
        <v/>
      </c>
      <c r="Q5" s="62" t="str">
        <f t="shared" ca="1" si="1"/>
        <v/>
      </c>
      <c r="S5" s="65" t="s">
        <v>85</v>
      </c>
      <c r="T5" s="64">
        <f>COUNTIF(M3:M299, "Completed")</f>
        <v>2</v>
      </c>
    </row>
    <row r="6" spans="1:22" ht="27.6" x14ac:dyDescent="0.3">
      <c r="A6" s="77">
        <v>4</v>
      </c>
      <c r="B6" s="77" t="s">
        <v>994</v>
      </c>
      <c r="C6" s="77" t="s">
        <v>70</v>
      </c>
      <c r="D6" s="77" t="s">
        <v>375</v>
      </c>
      <c r="E6" s="77" t="s">
        <v>358</v>
      </c>
      <c r="F6" s="77" t="s">
        <v>995</v>
      </c>
      <c r="G6" s="77" t="s">
        <v>996</v>
      </c>
      <c r="H6" s="77" t="s">
        <v>74</v>
      </c>
      <c r="I6" s="77" t="s">
        <v>75</v>
      </c>
      <c r="J6" s="108">
        <v>46126.490277777775</v>
      </c>
      <c r="K6" s="108">
        <v>46141.626388888886</v>
      </c>
      <c r="L6" s="108">
        <v>46159.947222222225</v>
      </c>
      <c r="M6" s="93" t="s">
        <v>76</v>
      </c>
      <c r="N6" s="59" t="str">
        <f>IF(ISBLANK(J6),"",IF(OR(M6="Completed",M6="Closed"),"",IF(H6="Issue",IF(I6="High",WORKDAY(J6,2,DATA!A5:A33),IF(I6="Medium",WORKDAY(J6,14,DATA!A5:A33),IF(OR(I6="Low"),WORKDAY(J6,30,DATA!A5:A33),""))),
"")
))</f>
        <v/>
      </c>
      <c r="O6" s="60" t="str">
        <f ca="1">IF(OR(ISBLANK(#REF!), M6="Completed", M6="Closed", H6&lt;&gt;"Issue"), "",
   (NETWORKDAYS.INTL(TODAY(), N6, 1, DATA!A5:A33) - 1))</f>
        <v/>
      </c>
      <c r="P6" s="78" t="str">
        <f t="shared" ca="1" si="0"/>
        <v/>
      </c>
      <c r="Q6" s="62" t="str">
        <f t="shared" ca="1" si="1"/>
        <v/>
      </c>
      <c r="S6" s="65" t="s">
        <v>76</v>
      </c>
      <c r="T6" s="64">
        <f>COUNTIF(M3:M299, "Closed")</f>
        <v>9</v>
      </c>
    </row>
    <row r="7" spans="1:22" ht="27.6" x14ac:dyDescent="0.3">
      <c r="A7" s="77">
        <v>5</v>
      </c>
      <c r="B7" s="77" t="s">
        <v>997</v>
      </c>
      <c r="C7" s="77" t="s">
        <v>70</v>
      </c>
      <c r="D7" s="77" t="s">
        <v>375</v>
      </c>
      <c r="E7" s="77" t="s">
        <v>358</v>
      </c>
      <c r="F7" s="77" t="s">
        <v>998</v>
      </c>
      <c r="G7" s="77" t="s">
        <v>999</v>
      </c>
      <c r="H7" s="77" t="s">
        <v>74</v>
      </c>
      <c r="I7" s="77" t="s">
        <v>75</v>
      </c>
      <c r="J7" s="108">
        <v>46126.490972222222</v>
      </c>
      <c r="K7" s="108">
        <v>46141.631944444445</v>
      </c>
      <c r="L7" s="108">
        <v>46159.947916666664</v>
      </c>
      <c r="M7" s="93" t="s">
        <v>76</v>
      </c>
      <c r="N7" s="59" t="str">
        <f>IF(ISBLANK(J7),"",IF(OR(M7="Completed",M7="Closed"),"",IF(H7="Issue",IF(I7="High",WORKDAY(J7,2,DATA!A6:A34),IF(I7="Medium",WORKDAY(J7,14,DATA!A6:A34),IF(OR(I7="Low"),WORKDAY(J7,30,DATA!A6:A34),""))),
"")
))</f>
        <v/>
      </c>
      <c r="O7" s="60" t="str">
        <f ca="1">IF(OR(ISBLANK(#REF!), M7="Completed", M7="Closed", H7&lt;&gt;"Issue"), "",
   (NETWORKDAYS.INTL(TODAY(), N7, 1, DATA!A6:A34) - 1))</f>
        <v/>
      </c>
      <c r="P7" s="78" t="str">
        <f t="shared" ca="1" si="0"/>
        <v/>
      </c>
      <c r="Q7" s="62" t="str">
        <f t="shared" ca="1" si="1"/>
        <v/>
      </c>
      <c r="S7" s="76" t="s">
        <v>49</v>
      </c>
      <c r="T7" s="64">
        <f>SUM(T3:T6)</f>
        <v>15</v>
      </c>
    </row>
    <row r="8" spans="1:22" ht="55.2" x14ac:dyDescent="0.3">
      <c r="A8" s="77">
        <v>6</v>
      </c>
      <c r="B8" s="77" t="s">
        <v>1000</v>
      </c>
      <c r="C8" s="77" t="s">
        <v>70</v>
      </c>
      <c r="D8" s="77" t="s">
        <v>87</v>
      </c>
      <c r="E8" s="77" t="s">
        <v>358</v>
      </c>
      <c r="F8" s="77" t="s">
        <v>1001</v>
      </c>
      <c r="G8" s="77" t="s">
        <v>1002</v>
      </c>
      <c r="H8" s="77" t="s">
        <v>74</v>
      </c>
      <c r="I8" s="77" t="s">
        <v>75</v>
      </c>
      <c r="J8" s="108">
        <v>46132.680555555555</v>
      </c>
      <c r="K8" s="109"/>
      <c r="L8" s="109"/>
      <c r="M8" s="93" t="s">
        <v>77</v>
      </c>
      <c r="N8" s="59">
        <f>IF(ISBLANK(J8),"",IF(OR(M8="Completed",M8="Closed"),"",IF(H8="Issue",IF(I8="High",WORKDAY(J8,2,DATA!A7:A35),IF(I8="Medium",WORKDAY(J8,14,DATA!A7:A35),IF(OR(I8="Low"),WORKDAY(J8,30,DATA!A7:A35),""))),
"")
))</f>
        <v>46153</v>
      </c>
      <c r="O8" s="60">
        <f ca="1">IF(OR(ISBLANK(#REF!), M8="Completed", M8="Closed", H8&lt;&gt;"Issue"), "",
   (NETWORKDAYS.INTL(TODAY(), N8, 1, DATA!A7:A35) - 1))</f>
        <v>-52</v>
      </c>
      <c r="P8" s="78">
        <f t="shared" ca="1" si="0"/>
        <v>52</v>
      </c>
      <c r="Q8" s="62" t="str">
        <f t="shared" ca="1" si="1"/>
        <v>31-60 Days</v>
      </c>
      <c r="S8" s="139" t="s">
        <v>66</v>
      </c>
      <c r="T8" s="69" t="s">
        <v>94</v>
      </c>
      <c r="U8" s="69" t="s">
        <v>95</v>
      </c>
      <c r="V8" s="69" t="s">
        <v>96</v>
      </c>
    </row>
    <row r="9" spans="1:22" ht="41.4" x14ac:dyDescent="0.3">
      <c r="A9" s="77">
        <v>7</v>
      </c>
      <c r="B9" s="77" t="s">
        <v>1003</v>
      </c>
      <c r="C9" s="77" t="s">
        <v>70</v>
      </c>
      <c r="D9" s="77" t="s">
        <v>238</v>
      </c>
      <c r="E9" s="77" t="s">
        <v>358</v>
      </c>
      <c r="F9" s="77" t="s">
        <v>1004</v>
      </c>
      <c r="G9" s="77" t="s">
        <v>1005</v>
      </c>
      <c r="H9" s="77" t="s">
        <v>74</v>
      </c>
      <c r="I9" s="77" t="s">
        <v>75</v>
      </c>
      <c r="J9" s="108">
        <v>46133.729861111111</v>
      </c>
      <c r="K9" s="108">
        <v>46134.602777777778</v>
      </c>
      <c r="L9" s="108">
        <v>46159.958333333336</v>
      </c>
      <c r="M9" s="93" t="s">
        <v>76</v>
      </c>
      <c r="N9" s="59" t="str">
        <f>IF(ISBLANK(J9),"",IF(OR(M9="Completed",M9="Closed"),"",IF(H9="Issue",IF(I9="High",WORKDAY(J9,2,DATA!A8:A36),IF(I9="Medium",WORKDAY(J9,14,DATA!A8:A36),IF(OR(I9="Low"),WORKDAY(J9,30,DATA!A8:A36),""))),
"")
))</f>
        <v/>
      </c>
      <c r="O9" s="60" t="str">
        <f ca="1">IF(OR(ISBLANK(#REF!), M9="Completed", M9="Closed", H9&lt;&gt;"Issue"), "",
   (NETWORKDAYS.INTL(TODAY(), N9, 1, DATA!A8:A36) - 1))</f>
        <v/>
      </c>
      <c r="P9" s="78" t="str">
        <f t="shared" ca="1" si="0"/>
        <v/>
      </c>
      <c r="Q9" s="62" t="str">
        <f t="shared" ca="1" si="1"/>
        <v/>
      </c>
      <c r="S9" s="139"/>
      <c r="T9" s="70">
        <f ca="1">COUNTIFS(P3:P277,"&gt;=1",P3:P277,"&lt;=30")</f>
        <v>2</v>
      </c>
      <c r="U9" s="70">
        <f ca="1">COUNTIFS(P3:P277,"&gt;=31",P3:P277,"&lt;=60")</f>
        <v>2</v>
      </c>
      <c r="V9" s="70">
        <f ca="1">COUNTIFS(P3:P277,"&gt;60")</f>
        <v>0</v>
      </c>
    </row>
    <row r="10" spans="1:22" ht="55.2" x14ac:dyDescent="0.3">
      <c r="A10" s="77">
        <v>8</v>
      </c>
      <c r="B10" s="77" t="s">
        <v>1006</v>
      </c>
      <c r="C10" s="77" t="s">
        <v>70</v>
      </c>
      <c r="D10" s="77" t="s">
        <v>238</v>
      </c>
      <c r="E10" s="77" t="s">
        <v>358</v>
      </c>
      <c r="F10" s="77" t="s">
        <v>1007</v>
      </c>
      <c r="G10" s="77" t="s">
        <v>1008</v>
      </c>
      <c r="H10" s="77" t="s">
        <v>74</v>
      </c>
      <c r="I10" s="77" t="s">
        <v>75</v>
      </c>
      <c r="J10" s="108">
        <v>46135.503472222219</v>
      </c>
      <c r="K10" s="109"/>
      <c r="L10" s="109"/>
      <c r="M10" s="93" t="s">
        <v>77</v>
      </c>
      <c r="N10" s="59">
        <f>IF(ISBLANK(J10),"",IF(OR(M10="Completed",M10="Closed"),"",IF(H10="Issue",IF(I10="High",WORKDAY(J10,2,DATA!A9:A37),IF(I10="Medium",WORKDAY(J10,14,DATA!A9:A37),IF(OR(I10="Low"),WORKDAY(J10,30,DATA!A9:A37),""))),
"")
))</f>
        <v>46157</v>
      </c>
      <c r="O10" s="60">
        <f ca="1">IF(OR(ISBLANK(#REF!), M10="Completed", M10="Closed", H10&lt;&gt;"Issue"), "",
   (NETWORKDAYS.INTL(TODAY(), N10, 1, DATA!A9:A37) - 1))</f>
        <v>-49</v>
      </c>
      <c r="P10" s="78">
        <f t="shared" ca="1" si="0"/>
        <v>49</v>
      </c>
      <c r="Q10" s="62" t="str">
        <f t="shared" ref="Q10:Q12" ca="1" si="2">IF(P10="","",
IF(P10&lt;=0,"Not Due",
IF(P10&lt;=30,"1-30 Days",
IF(P10&lt;=60,"31-60 Days",
"&gt;60 Days"))))</f>
        <v>31-60 Days</v>
      </c>
    </row>
    <row r="11" spans="1:22" ht="41.4" x14ac:dyDescent="0.3">
      <c r="A11" s="77">
        <v>9</v>
      </c>
      <c r="B11" s="77" t="s">
        <v>1009</v>
      </c>
      <c r="C11" s="77" t="s">
        <v>70</v>
      </c>
      <c r="D11" s="77" t="s">
        <v>1010</v>
      </c>
      <c r="E11" s="77" t="s">
        <v>358</v>
      </c>
      <c r="F11" s="77" t="s">
        <v>1011</v>
      </c>
      <c r="G11" s="77" t="s">
        <v>1012</v>
      </c>
      <c r="H11" s="77" t="s">
        <v>74</v>
      </c>
      <c r="I11" s="77" t="s">
        <v>75</v>
      </c>
      <c r="J11" s="108">
        <v>46154.441666666666</v>
      </c>
      <c r="K11" s="108">
        <v>46160.444444444445</v>
      </c>
      <c r="L11" s="109"/>
      <c r="M11" s="93" t="s">
        <v>85</v>
      </c>
      <c r="N11" s="59" t="str">
        <f>IF(ISBLANK(J11),"",IF(OR(M11="Completed",M11="Closed"),"",IF(H11="Issue",IF(I11="High",WORKDAY(J11,2,DATA!A10:A38),IF(I11="Medium",WORKDAY(J11,14,DATA!A10:A38),IF(OR(I11="Low"),WORKDAY(J11,30,DATA!A10:A38),""))),
"")
))</f>
        <v/>
      </c>
      <c r="O11" s="60" t="str">
        <f ca="1">IF(OR(ISBLANK(#REF!), M11="Completed", M11="Closed", H11&lt;&gt;"Issue"), "",
   (NETWORKDAYS.INTL(TODAY(), N11, 1, DATA!A10:A38) - 1))</f>
        <v/>
      </c>
      <c r="P11" s="78" t="str">
        <f t="shared" ca="1" si="0"/>
        <v/>
      </c>
      <c r="Q11" s="62" t="str">
        <f t="shared" ca="1" si="2"/>
        <v/>
      </c>
    </row>
    <row r="12" spans="1:22" ht="82.8" x14ac:dyDescent="0.3">
      <c r="A12" s="77">
        <v>10</v>
      </c>
      <c r="B12" s="77" t="s">
        <v>1013</v>
      </c>
      <c r="C12" s="77" t="s">
        <v>70</v>
      </c>
      <c r="D12" s="77" t="s">
        <v>368</v>
      </c>
      <c r="E12" s="77" t="s">
        <v>358</v>
      </c>
      <c r="F12" s="77" t="s">
        <v>1014</v>
      </c>
      <c r="G12" s="77" t="s">
        <v>1015</v>
      </c>
      <c r="H12" s="77" t="s">
        <v>74</v>
      </c>
      <c r="I12" s="77" t="s">
        <v>75</v>
      </c>
      <c r="J12" s="108">
        <v>46155.503472222219</v>
      </c>
      <c r="K12" s="108">
        <v>46157.625694444447</v>
      </c>
      <c r="L12" s="108">
        <v>46188.711111111108</v>
      </c>
      <c r="M12" s="93" t="s">
        <v>76</v>
      </c>
      <c r="N12" s="59" t="str">
        <f>IF(ISBLANK(J12),"",IF(OR(M12="Completed",M12="Closed"),"",IF(H12="Issue",IF(I12="High",WORKDAY(J12,2,DATA!A11:A39),IF(I12="Medium",WORKDAY(J12,14,DATA!A11:A39),IF(OR(I12="Low"),WORKDAY(J12,30,DATA!A11:A39),""))),
"")
))</f>
        <v/>
      </c>
      <c r="O12" s="60" t="str">
        <f ca="1">IF(OR(ISBLANK(#REF!), M12="Completed", M12="Closed", H12&lt;&gt;"Issue"), "",
   (NETWORKDAYS.INTL(TODAY(), N12, 1, DATA!A11:A39) - 1))</f>
        <v/>
      </c>
      <c r="P12" s="78" t="str">
        <f t="shared" ca="1" si="0"/>
        <v/>
      </c>
      <c r="Q12" s="62" t="str">
        <f t="shared" ca="1" si="2"/>
        <v/>
      </c>
    </row>
    <row r="13" spans="1:22" ht="96.6" x14ac:dyDescent="0.3">
      <c r="A13" s="77">
        <v>11</v>
      </c>
      <c r="B13" s="77" t="s">
        <v>1016</v>
      </c>
      <c r="C13" s="77" t="s">
        <v>70</v>
      </c>
      <c r="D13" s="77" t="s">
        <v>238</v>
      </c>
      <c r="E13" s="77" t="s">
        <v>358</v>
      </c>
      <c r="F13" s="77" t="s">
        <v>1017</v>
      </c>
      <c r="G13" s="77" t="s">
        <v>1018</v>
      </c>
      <c r="H13" s="77" t="s">
        <v>74</v>
      </c>
      <c r="I13" s="77" t="s">
        <v>75</v>
      </c>
      <c r="J13" s="108">
        <v>46182.406944444447</v>
      </c>
      <c r="K13" s="109"/>
      <c r="L13" s="109"/>
      <c r="M13" s="93" t="s">
        <v>77</v>
      </c>
      <c r="N13" s="59">
        <f>IF(ISBLANK(J13),"",IF(OR(M13="Completed",M13="Closed"),"",IF(H13="Issue",IF(I13="High",WORKDAY(J13,2,DATA!A12:A40),IF(I13="Medium",WORKDAY(J13,14,DATA!A12:A40),IF(OR(I13="Low"),WORKDAY(J13,30,DATA!A12:A40),""))),
"")
))</f>
        <v>46202</v>
      </c>
      <c r="O13" s="60">
        <f ca="1">IF(OR(ISBLANK(#REF!), M13="Completed", M13="Closed", H13&lt;&gt;"Issue"), "",
   (NETWORKDAYS.INTL(TODAY(), N13, 1, DATA!A12:A40) - 1))</f>
        <v>-19</v>
      </c>
      <c r="P13" s="78">
        <f t="shared" ca="1" si="0"/>
        <v>19</v>
      </c>
      <c r="Q13" s="62" t="str">
        <f ca="1">IF(P13="","",
IF(P13&lt;=0,"Not Due",
IF(P13&lt;=30,"1-30 Days",
IF(P13&lt;=60,"31-60 Days",
"&gt;60 Days"))))</f>
        <v>1-30 Days</v>
      </c>
    </row>
    <row r="14" spans="1:22" ht="69" x14ac:dyDescent="0.3">
      <c r="A14" s="77">
        <v>12</v>
      </c>
      <c r="B14" s="77" t="s">
        <v>1019</v>
      </c>
      <c r="C14" s="77" t="s">
        <v>70</v>
      </c>
      <c r="D14" s="77" t="s">
        <v>375</v>
      </c>
      <c r="E14" s="77" t="s">
        <v>358</v>
      </c>
      <c r="F14" s="77" t="s">
        <v>1020</v>
      </c>
      <c r="G14" s="77" t="s">
        <v>1021</v>
      </c>
      <c r="H14" s="77" t="s">
        <v>74</v>
      </c>
      <c r="I14" s="77" t="s">
        <v>75</v>
      </c>
      <c r="J14" s="108">
        <v>46183.668055555558</v>
      </c>
      <c r="K14" s="108">
        <v>46188.722222222219</v>
      </c>
      <c r="L14" s="108">
        <v>46188.722222222219</v>
      </c>
      <c r="M14" s="93" t="s">
        <v>76</v>
      </c>
      <c r="N14" s="59" t="str">
        <f>IF(ISBLANK(J14),"",IF(OR(M14="Completed",M14="Closed"),"",IF(H14="Issue",IF(I14="High",WORKDAY(J14,2,DATA!A13:A41),IF(I14="Medium",WORKDAY(J14,14,DATA!A13:A41),IF(OR(I14="Low"),WORKDAY(J14,30,DATA!A13:A41),""))),
"")
))</f>
        <v/>
      </c>
      <c r="O14" s="60" t="str">
        <f ca="1">IF(OR(ISBLANK(#REF!), M14="Completed", M14="Closed", H14&lt;&gt;"Issue"), "",
   (NETWORKDAYS.INTL(TODAY(), N14, 1, DATA!A13:A41) - 1))</f>
        <v/>
      </c>
      <c r="P14" s="78" t="str">
        <f t="shared" ca="1" si="0"/>
        <v/>
      </c>
      <c r="Q14" s="62" t="str">
        <f t="shared" ref="Q14:Q15" ca="1" si="3">IF(P14="","",
IF(P14&lt;=0,"Not Due",
IF(P14&lt;=30,"1-30 Days",
IF(P14&lt;=60,"31-60 Days",
"&gt;60 Days"))))</f>
        <v/>
      </c>
    </row>
    <row r="15" spans="1:22" ht="96.6" x14ac:dyDescent="0.3">
      <c r="A15" s="77">
        <v>13</v>
      </c>
      <c r="B15" s="77" t="s">
        <v>1022</v>
      </c>
      <c r="C15" s="77" t="s">
        <v>70</v>
      </c>
      <c r="D15" s="77" t="s">
        <v>87</v>
      </c>
      <c r="E15" s="77" t="s">
        <v>358</v>
      </c>
      <c r="F15" s="77" t="s">
        <v>1023</v>
      </c>
      <c r="G15" s="77" t="s">
        <v>1024</v>
      </c>
      <c r="H15" s="77" t="s">
        <v>74</v>
      </c>
      <c r="I15" s="77" t="s">
        <v>75</v>
      </c>
      <c r="J15" s="108">
        <v>46187.50277777778</v>
      </c>
      <c r="K15" s="108">
        <v>46191.675000000003</v>
      </c>
      <c r="L15" s="108">
        <v>46204.478472222225</v>
      </c>
      <c r="M15" s="93" t="s">
        <v>76</v>
      </c>
      <c r="N15" s="59" t="str">
        <f>IF(ISBLANK(J15),"",IF(OR(M15="Completed",M15="Closed"),"",IF(H15="Issue",IF(I15="High",WORKDAY(J15,2,DATA!A14:A42),IF(I15="Medium",WORKDAY(J15,14,DATA!A14:A42),IF(OR(I15="Low"),WORKDAY(J15,30,DATA!A14:A42),""))),
"")
))</f>
        <v/>
      </c>
      <c r="O15" s="60" t="str">
        <f ca="1">IF(OR(ISBLANK(#REF!), M15="Completed", M15="Closed", H15&lt;&gt;"Issue"), "",
   (NETWORKDAYS.INTL(TODAY(), N15, 1, DATA!A14:A42) - 1))</f>
        <v/>
      </c>
      <c r="P15" s="78" t="str">
        <f t="shared" ca="1" si="0"/>
        <v/>
      </c>
      <c r="Q15" s="62" t="str">
        <f t="shared" ca="1" si="3"/>
        <v/>
      </c>
    </row>
    <row r="16" spans="1:22" ht="96.6" x14ac:dyDescent="0.3">
      <c r="A16" s="93">
        <v>14</v>
      </c>
      <c r="B16" s="93" t="s">
        <v>1435</v>
      </c>
      <c r="C16" s="93" t="s">
        <v>70</v>
      </c>
      <c r="D16" s="93" t="s">
        <v>379</v>
      </c>
      <c r="E16" s="93" t="s">
        <v>358</v>
      </c>
      <c r="F16" s="93" t="s">
        <v>1436</v>
      </c>
      <c r="G16" s="93" t="s">
        <v>1437</v>
      </c>
      <c r="H16" s="93" t="s">
        <v>74</v>
      </c>
      <c r="I16" s="93" t="s">
        <v>75</v>
      </c>
      <c r="J16" s="108">
        <v>46188.650694444441</v>
      </c>
      <c r="K16" s="108">
        <v>46192.40625</v>
      </c>
      <c r="L16" s="109"/>
      <c r="M16" s="93" t="s">
        <v>85</v>
      </c>
      <c r="N16" s="59" t="str">
        <f>IF(ISBLANK(J16),"",IF(OR(M16="Completed",M16="Closed"),"",IF(H16="Issue",IF(I16="High",WORKDAY(J16,2,DATA!A15:A43),IF(I16="Medium",WORKDAY(J16,14,DATA!A15:A43),IF(OR(I16="Low"),WORKDAY(J16,30,DATA!A15:A43),""))),
"")
))</f>
        <v/>
      </c>
      <c r="O16" s="60" t="str">
        <f ca="1">IF(OR(ISBLANK(#REF!), M16="Completed", M16="Closed", H16&lt;&gt;"Issue"), "",
   (NETWORKDAYS.INTL(TODAY(), N16, 1, DATA!A15:A43) - 1))</f>
        <v/>
      </c>
      <c r="P16" s="78" t="str">
        <f t="shared" ca="1" si="0"/>
        <v/>
      </c>
      <c r="Q16" s="62" t="str">
        <f t="shared" ca="1" si="1"/>
        <v/>
      </c>
    </row>
    <row r="17" spans="1:17" ht="96.6" x14ac:dyDescent="0.3">
      <c r="A17" s="93">
        <v>15</v>
      </c>
      <c r="B17" s="93" t="s">
        <v>1438</v>
      </c>
      <c r="C17" s="79"/>
      <c r="D17" s="93" t="s">
        <v>1010</v>
      </c>
      <c r="E17" s="93" t="s">
        <v>358</v>
      </c>
      <c r="F17" s="93" t="s">
        <v>1439</v>
      </c>
      <c r="G17" s="93" t="s">
        <v>1440</v>
      </c>
      <c r="H17" s="93" t="s">
        <v>74</v>
      </c>
      <c r="I17" s="93" t="s">
        <v>75</v>
      </c>
      <c r="J17" s="108">
        <v>46198.52847222222</v>
      </c>
      <c r="K17" s="109"/>
      <c r="L17" s="109"/>
      <c r="M17" s="93" t="s">
        <v>77</v>
      </c>
      <c r="N17" s="59">
        <f>IF(ISBLANK(J17),"",IF(OR(M17="Completed",M17="Closed"),"",IF(H17="Issue",IF(I17="High",WORKDAY(J17,2,DATA!A16:A44),IF(I17="Medium",WORKDAY(J17,14,DATA!A16:A44),IF(OR(I17="Low"),WORKDAY(J17,30,DATA!A16:A44),""))),
"")
))</f>
        <v>46218</v>
      </c>
      <c r="O17" s="60">
        <f ca="1">IF(OR(ISBLANK(#REF!), M17="Completed", M17="Closed", H17&lt;&gt;"Issue"), "",
   (NETWORKDAYS.INTL(TODAY(), N17, 1, DATA!A16:A44) - 1))</f>
        <v>-7</v>
      </c>
      <c r="P17" s="78">
        <f t="shared" ca="1" si="0"/>
        <v>7</v>
      </c>
      <c r="Q17" s="62" t="str">
        <f t="shared" ca="1" si="1"/>
        <v>1-30 Days</v>
      </c>
    </row>
    <row r="18" spans="1:17" x14ac:dyDescent="0.3">
      <c r="A18" s="93">
        <v>16</v>
      </c>
      <c r="B18" s="57"/>
      <c r="C18" s="57"/>
      <c r="D18" s="57"/>
      <c r="E18" s="57"/>
      <c r="F18" s="57"/>
      <c r="G18" s="57"/>
      <c r="H18" s="57"/>
      <c r="I18" s="57"/>
      <c r="J18" s="100"/>
      <c r="K18" s="101"/>
      <c r="L18" s="101"/>
      <c r="M18" s="57"/>
      <c r="N18" s="59" t="str">
        <f>IF(ISBLANK(J18),"",IF(OR(M18="Completed",M18="Closed"),"",IF(H18="Issue",IF(I18="High",WORKDAY(J18,2,DATA!A17:A45),IF(I18="Medium",WORKDAY(J18,14,DATA!A17:A45),IF(OR(I18="Low"),WORKDAY(J18,30,DATA!A17:A45),""))),
"")
))</f>
        <v/>
      </c>
      <c r="O18" s="60" t="str">
        <f ca="1">IF(OR(ISBLANK(#REF!), M18="Completed", M18="Closed", H18&lt;&gt;"Issue"), "",
   (NETWORKDAYS.INTL(TODAY(), N18, 1, DATA!A17:A45) - 1))</f>
        <v/>
      </c>
      <c r="P18" s="78" t="str">
        <f t="shared" ca="1" si="0"/>
        <v/>
      </c>
      <c r="Q18" s="62" t="str">
        <f t="shared" ca="1" si="1"/>
        <v/>
      </c>
    </row>
    <row r="19" spans="1:17" x14ac:dyDescent="0.3">
      <c r="A19" s="93">
        <v>17</v>
      </c>
      <c r="B19" s="57"/>
      <c r="C19" s="57"/>
      <c r="D19" s="57"/>
      <c r="E19" s="57"/>
      <c r="F19" s="57"/>
      <c r="G19" s="57"/>
      <c r="H19" s="57"/>
      <c r="I19" s="57"/>
      <c r="J19" s="100"/>
      <c r="K19" s="100"/>
      <c r="L19" s="100"/>
      <c r="M19" s="57"/>
      <c r="N19" s="59" t="str">
        <f>IF(ISBLANK(J19),"",IF(OR(M19="Completed",M19="Closed"),"",IF(H19="Issue",IF(I19="High",WORKDAY(J19,2,DATA!A18:A46),IF(I19="Medium",WORKDAY(J19,14,DATA!A18:A46),IF(OR(I19="Low"),WORKDAY(J19,30,DATA!A18:A46),""))),
"")
))</f>
        <v/>
      </c>
      <c r="O19" s="60" t="str">
        <f ca="1">IF(OR(ISBLANK(#REF!), M19="Completed", M19="Closed", H19&lt;&gt;"Issue"), "",
   (NETWORKDAYS.INTL(TODAY(), N19, 1, DATA!A18:A46) - 1))</f>
        <v/>
      </c>
      <c r="P19" s="78" t="str">
        <f t="shared" ca="1" si="0"/>
        <v/>
      </c>
      <c r="Q19" s="62" t="str">
        <f t="shared" ca="1" si="1"/>
        <v/>
      </c>
    </row>
    <row r="20" spans="1:17" x14ac:dyDescent="0.3">
      <c r="A20" s="93">
        <v>18</v>
      </c>
      <c r="B20" s="57"/>
      <c r="C20" s="57"/>
      <c r="D20" s="57"/>
      <c r="E20" s="57"/>
      <c r="F20" s="57"/>
      <c r="G20" s="57"/>
      <c r="H20" s="57"/>
      <c r="I20" s="57"/>
      <c r="J20" s="100"/>
      <c r="K20" s="100"/>
      <c r="L20" s="100"/>
      <c r="M20" s="57"/>
      <c r="N20" s="59" t="str">
        <f>IF(ISBLANK(J20),"",IF(OR(M20="Completed",M20="Closed"),"",IF(H20="Issue",IF(I20="High",WORKDAY(J20,2,DATA!A19:A47),IF(I20="Medium",WORKDAY(J20,14,DATA!A19:A47),IF(OR(I20="Low"),WORKDAY(J20,30,DATA!A19:A47),""))),
"")
))</f>
        <v/>
      </c>
      <c r="O20" s="60" t="str">
        <f ca="1">IF(OR(ISBLANK(#REF!), M20="Completed", M20="Closed", H20&lt;&gt;"Issue"), "",
   (NETWORKDAYS.INTL(TODAY(), N20, 1, DATA!A19:A47) - 1))</f>
        <v/>
      </c>
      <c r="P20" s="78" t="str">
        <f t="shared" ca="1" si="0"/>
        <v/>
      </c>
      <c r="Q20" s="62" t="str">
        <f t="shared" ca="1" si="1"/>
        <v/>
      </c>
    </row>
    <row r="21" spans="1:17" x14ac:dyDescent="0.3">
      <c r="A21" s="93">
        <v>19</v>
      </c>
      <c r="B21" s="57"/>
      <c r="C21" s="57"/>
      <c r="D21" s="57"/>
      <c r="E21" s="57"/>
      <c r="F21" s="57"/>
      <c r="G21" s="57"/>
      <c r="H21" s="57"/>
      <c r="I21" s="57"/>
      <c r="J21" s="100"/>
      <c r="K21" s="100"/>
      <c r="L21" s="100"/>
      <c r="M21" s="57"/>
      <c r="N21" s="59" t="str">
        <f>IF(ISBLANK(J21),"",IF(OR(M21="Completed",M21="Closed"),"",IF(H21="Issue",IF(I21="High",WORKDAY(J21,2,DATA!A20:A48),IF(I21="Medium",WORKDAY(J21,14,DATA!A20:A48),IF(OR(I21="Low"),WORKDAY(J21,30,DATA!A20:A48),""))),
"")
))</f>
        <v/>
      </c>
      <c r="O21" s="60" t="str">
        <f ca="1">IF(OR(ISBLANK(#REF!), M21="Completed", M21="Closed", H21&lt;&gt;"Issue"), "",
   (NETWORKDAYS.INTL(TODAY(), N21, 1, DATA!A20:A48) - 1))</f>
        <v/>
      </c>
      <c r="P21" s="78" t="str">
        <f t="shared" ca="1" si="0"/>
        <v/>
      </c>
      <c r="Q21" s="62" t="str">
        <f t="shared" ca="1" si="1"/>
        <v/>
      </c>
    </row>
    <row r="22" spans="1:17" x14ac:dyDescent="0.3">
      <c r="A22" s="93">
        <v>20</v>
      </c>
      <c r="B22" s="57"/>
      <c r="C22" s="57"/>
      <c r="D22" s="57"/>
      <c r="E22" s="57"/>
      <c r="F22" s="57"/>
      <c r="G22" s="57"/>
      <c r="H22" s="57"/>
      <c r="I22" s="57"/>
      <c r="J22" s="100"/>
      <c r="K22" s="101"/>
      <c r="L22" s="101"/>
      <c r="M22" s="57"/>
      <c r="N22" s="59" t="str">
        <f>IF(ISBLANK(J22),"",IF(OR(M22="Completed",M22="Closed"),"",IF(H22="Issue",IF(I22="High",WORKDAY(J22,2,DATA!A21:A49),IF(I22="Medium",WORKDAY(J22,14,DATA!A21:A49),IF(OR(I22="Low"),WORKDAY(J22,30,DATA!A21:A49),""))),
"")
))</f>
        <v/>
      </c>
      <c r="O22" s="60" t="str">
        <f ca="1">IF(OR(ISBLANK(#REF!), M22="Completed", M22="Closed", H22&lt;&gt;"Issue"), "",
   (NETWORKDAYS.INTL(TODAY(), N22, 1, DATA!A21:A49) - 1))</f>
        <v/>
      </c>
      <c r="P22" s="78" t="str">
        <f t="shared" ca="1" si="0"/>
        <v/>
      </c>
      <c r="Q22" s="62" t="str">
        <f t="shared" ca="1" si="1"/>
        <v/>
      </c>
    </row>
    <row r="23" spans="1:17" x14ac:dyDescent="0.3">
      <c r="A23" s="93">
        <v>21</v>
      </c>
      <c r="B23" s="57"/>
      <c r="C23" s="57"/>
      <c r="D23" s="57"/>
      <c r="E23" s="57"/>
      <c r="F23" s="57"/>
      <c r="G23" s="57"/>
      <c r="H23" s="57"/>
      <c r="I23" s="57"/>
      <c r="J23" s="100"/>
      <c r="K23" s="101"/>
      <c r="L23" s="101"/>
      <c r="M23" s="57"/>
      <c r="N23" s="59" t="str">
        <f>IF(ISBLANK(J23),"",IF(OR(M23="Completed",M23="Closed"),"",IF(H23="Issue",IF(I23="High",WORKDAY(J23,2,DATA!A22:A50),IF(I23="Medium",WORKDAY(J23,14,DATA!A22:A50),IF(OR(I23="Low"),WORKDAY(J23,30,DATA!A22:A50),""))),
"")
))</f>
        <v/>
      </c>
      <c r="O23" s="60" t="str">
        <f ca="1">IF(OR(ISBLANK(#REF!), M23="Completed", M23="Closed", H23&lt;&gt;"Issue"), "",
   (NETWORKDAYS.INTL(TODAY(), N23, 1, DATA!A22:A50) - 1))</f>
        <v/>
      </c>
      <c r="P23" s="78" t="str">
        <f t="shared" ca="1" si="0"/>
        <v/>
      </c>
      <c r="Q23" s="62" t="str">
        <f t="shared" ca="1" si="1"/>
        <v/>
      </c>
    </row>
    <row r="24" spans="1:17" x14ac:dyDescent="0.3">
      <c r="A24" s="93">
        <v>22</v>
      </c>
      <c r="B24" s="57"/>
      <c r="C24" s="57"/>
      <c r="D24" s="57"/>
      <c r="E24" s="57"/>
      <c r="F24" s="57"/>
      <c r="G24" s="57"/>
      <c r="H24" s="57"/>
      <c r="I24" s="57"/>
      <c r="J24" s="100"/>
      <c r="K24" s="101"/>
      <c r="L24" s="101"/>
      <c r="M24" s="57"/>
      <c r="N24" s="59" t="str">
        <f>IF(ISBLANK(J24),"",IF(OR(M24="Completed",M24="Closed"),"",IF(H24="Issue",IF(I24="High",WORKDAY(J24,2,DATA!A23:A51),IF(I24="Medium",WORKDAY(J24,14,DATA!A23:A51),IF(OR(I24="Low"),WORKDAY(J24,30,DATA!A23:A51),""))),
"")
))</f>
        <v/>
      </c>
      <c r="O24" s="60" t="str">
        <f ca="1">IF(OR(ISBLANK(#REF!), M24="Completed", M24="Closed", H24&lt;&gt;"Issue"), "",
   (NETWORKDAYS.INTL(TODAY(), N24, 1, DATA!A23:A51) - 1))</f>
        <v/>
      </c>
      <c r="P24" s="78" t="str">
        <f t="shared" ca="1" si="0"/>
        <v/>
      </c>
      <c r="Q24" s="62" t="str">
        <f t="shared" ca="1" si="1"/>
        <v/>
      </c>
    </row>
    <row r="25" spans="1:17" x14ac:dyDescent="0.3">
      <c r="A25" s="93">
        <v>23</v>
      </c>
      <c r="B25" s="57"/>
      <c r="C25" s="57"/>
      <c r="D25" s="57"/>
      <c r="E25" s="57"/>
      <c r="F25" s="57"/>
      <c r="G25" s="57"/>
      <c r="H25" s="57"/>
      <c r="I25" s="57"/>
      <c r="J25" s="100"/>
      <c r="K25" s="100"/>
      <c r="L25" s="100"/>
      <c r="M25" s="57"/>
      <c r="N25" s="59" t="str">
        <f>IF(ISBLANK(J25),"",IF(OR(M25="Completed",M25="Closed"),"",IF(H25="Issue",IF(I25="High",WORKDAY(J25,2,DATA!A24:A52),IF(I25="Medium",WORKDAY(J25,14,DATA!A24:A52),IF(OR(I25="Low"),WORKDAY(J25,30,DATA!A24:A52),""))),
"")
))</f>
        <v/>
      </c>
      <c r="O25" s="60" t="str">
        <f ca="1">IF(OR(ISBLANK(#REF!), M25="Completed", M25="Closed", H25&lt;&gt;"Issue"), "",
   (NETWORKDAYS.INTL(TODAY(), N25, 1, DATA!A24:A52) - 1))</f>
        <v/>
      </c>
      <c r="P25" s="78" t="str">
        <f t="shared" ca="1" si="0"/>
        <v/>
      </c>
      <c r="Q25" s="62" t="str">
        <f t="shared" ca="1" si="1"/>
        <v/>
      </c>
    </row>
    <row r="26" spans="1:17" x14ac:dyDescent="0.3">
      <c r="A26" s="93">
        <v>24</v>
      </c>
      <c r="B26" s="57"/>
      <c r="C26" s="57"/>
      <c r="D26" s="57"/>
      <c r="E26" s="57"/>
      <c r="F26" s="57"/>
      <c r="G26" s="57"/>
      <c r="H26" s="57"/>
      <c r="I26" s="57"/>
      <c r="J26" s="100"/>
      <c r="K26" s="101"/>
      <c r="L26" s="101"/>
      <c r="M26" s="57"/>
      <c r="N26" s="59" t="str">
        <f>IF(ISBLANK(J26),"",IF(OR(M26="Completed",M26="Closed"),"",IF(H26="Issue",IF(I26="High",WORKDAY(J26,2,DATA!A25:A53),IF(I26="Medium",WORKDAY(J26,14,DATA!A25:A53),IF(OR(I26="Low"),WORKDAY(J26,30,DATA!A25:A53),""))),
"")
))</f>
        <v/>
      </c>
      <c r="O26" s="60" t="str">
        <f ca="1">IF(OR(ISBLANK(#REF!), M26="Completed", M26="Closed", H26&lt;&gt;"Issue"), "",
   (NETWORKDAYS.INTL(TODAY(), N26, 1, DATA!A25:A53) - 1))</f>
        <v/>
      </c>
      <c r="P26" s="78" t="str">
        <f t="shared" ca="1" si="0"/>
        <v/>
      </c>
      <c r="Q26" s="62" t="str">
        <f t="shared" ca="1" si="1"/>
        <v/>
      </c>
    </row>
    <row r="27" spans="1:17" x14ac:dyDescent="0.3">
      <c r="A27" s="93">
        <v>25</v>
      </c>
      <c r="B27" s="57"/>
      <c r="C27" s="57"/>
      <c r="D27" s="57"/>
      <c r="E27" s="57"/>
      <c r="F27" s="57"/>
      <c r="G27" s="57"/>
      <c r="H27" s="57"/>
      <c r="I27" s="57"/>
      <c r="J27" s="100"/>
      <c r="K27" s="100"/>
      <c r="L27" s="100"/>
      <c r="M27" s="57"/>
      <c r="N27" s="59" t="str">
        <f>IF(ISBLANK(J27),"",IF(OR(M27="Completed",M27="Closed"),"",IF(H27="Issue",IF(I27="High",WORKDAY(J27,2,DATA!A26:A54),IF(I27="Medium",WORKDAY(J27,14,DATA!A26:A54),IF(OR(I27="Low"),WORKDAY(J27,30,DATA!A26:A54),""))),
"")
))</f>
        <v/>
      </c>
      <c r="O27" s="60" t="str">
        <f ca="1">IF(OR(ISBLANK(#REF!), M27="Completed", M27="Closed", H27&lt;&gt;"Issue"), "",
   (NETWORKDAYS.INTL(TODAY(), N27, 1, DATA!A26:A54) - 1))</f>
        <v/>
      </c>
      <c r="P27" s="78" t="str">
        <f t="shared" ca="1" si="0"/>
        <v/>
      </c>
      <c r="Q27" s="62" t="str">
        <f t="shared" ca="1" si="1"/>
        <v/>
      </c>
    </row>
    <row r="28" spans="1:17" x14ac:dyDescent="0.3">
      <c r="A28" s="93">
        <v>26</v>
      </c>
      <c r="B28" s="57"/>
      <c r="C28" s="57"/>
      <c r="D28" s="57"/>
      <c r="E28" s="57"/>
      <c r="F28" s="57"/>
      <c r="G28" s="57"/>
      <c r="H28" s="57"/>
      <c r="I28" s="57"/>
      <c r="J28" s="100"/>
      <c r="K28" s="100"/>
      <c r="L28" s="100"/>
      <c r="M28" s="57"/>
      <c r="N28" s="59" t="str">
        <f>IF(ISBLANK(J28),"",IF(OR(M28="Completed",M28="Closed"),"",IF(H28="Issue",IF(I28="High",WORKDAY(J28,2,DATA!A27:A55),IF(I28="Medium",WORKDAY(J28,14,DATA!A27:A55),IF(OR(I28="Low"),WORKDAY(J28,30,DATA!A27:A55),""))),
"")
))</f>
        <v/>
      </c>
      <c r="O28" s="60" t="str">
        <f ca="1">IF(OR(ISBLANK(#REF!), M28="Completed", M28="Closed", H28&lt;&gt;"Issue"), "",
   (NETWORKDAYS.INTL(TODAY(), N28, 1, DATA!A27:A55) - 1))</f>
        <v/>
      </c>
      <c r="P28" s="78" t="str">
        <f t="shared" ca="1" si="0"/>
        <v/>
      </c>
      <c r="Q28" s="62" t="str">
        <f t="shared" ca="1" si="1"/>
        <v/>
      </c>
    </row>
    <row r="29" spans="1:17" x14ac:dyDescent="0.3">
      <c r="A29" s="93">
        <v>27</v>
      </c>
      <c r="B29" s="57"/>
      <c r="C29" s="57"/>
      <c r="D29" s="57"/>
      <c r="E29" s="57"/>
      <c r="F29" s="57"/>
      <c r="G29" s="57"/>
      <c r="H29" s="57"/>
      <c r="I29" s="57"/>
      <c r="J29" s="100"/>
      <c r="K29" s="100"/>
      <c r="L29" s="100"/>
      <c r="M29" s="57"/>
      <c r="N29" s="59" t="str">
        <f>IF(ISBLANK(J29),"",IF(OR(M29="Completed",M29="Closed"),"",IF(H29="Issue",IF(I29="High",WORKDAY(J29,2,DATA!A28:A56),IF(I29="Medium",WORKDAY(J29,14,DATA!A28:A56),IF(OR(I29="Low"),WORKDAY(J29,30,DATA!A28:A56),""))),
"")
))</f>
        <v/>
      </c>
      <c r="O29" s="60" t="str">
        <f ca="1">IF(OR(ISBLANK(#REF!), M29="Completed", M29="Closed", H29&lt;&gt;"Issue"), "",
   (NETWORKDAYS.INTL(TODAY(), N29, 1, DATA!A28:A56) - 1))</f>
        <v/>
      </c>
      <c r="P29" s="78" t="str">
        <f t="shared" ca="1" si="0"/>
        <v/>
      </c>
      <c r="Q29" s="62" t="str">
        <f t="shared" ca="1" si="1"/>
        <v/>
      </c>
    </row>
    <row r="30" spans="1:17" x14ac:dyDescent="0.3">
      <c r="A30" s="93">
        <v>28</v>
      </c>
      <c r="B30" s="57"/>
      <c r="C30" s="57"/>
      <c r="D30" s="57"/>
      <c r="E30" s="57"/>
      <c r="F30" s="57"/>
      <c r="G30" s="57"/>
      <c r="H30" s="57"/>
      <c r="I30" s="57"/>
      <c r="J30" s="100"/>
      <c r="K30" s="100"/>
      <c r="L30" s="100"/>
      <c r="M30" s="57"/>
      <c r="N30" s="59" t="str">
        <f>IF(ISBLANK(J30),"",IF(OR(M30="Completed",M30="Closed"),"",IF(H30="Issue",IF(I30="High",WORKDAY(J30,2,DATA!A29:A57),IF(I30="Medium",WORKDAY(J30,14,DATA!A29:A57),IF(OR(I30="Low"),WORKDAY(J30,30,DATA!A29:A57),""))),
"")
))</f>
        <v/>
      </c>
      <c r="O30" s="60" t="str">
        <f ca="1">IF(OR(ISBLANK(#REF!), M30="Completed", M30="Closed", H30&lt;&gt;"Issue"), "",
   (NETWORKDAYS.INTL(TODAY(), N30, 1, DATA!A29:A57) - 1))</f>
        <v/>
      </c>
      <c r="P30" s="78" t="str">
        <f t="shared" ca="1" si="0"/>
        <v/>
      </c>
      <c r="Q30" s="62" t="str">
        <f t="shared" ca="1" si="1"/>
        <v/>
      </c>
    </row>
    <row r="31" spans="1:17" x14ac:dyDescent="0.3">
      <c r="A31" s="93">
        <v>29</v>
      </c>
      <c r="B31" s="57"/>
      <c r="C31" s="57"/>
      <c r="D31" s="57"/>
      <c r="E31" s="57"/>
      <c r="F31" s="57"/>
      <c r="G31" s="57"/>
      <c r="H31" s="57"/>
      <c r="I31" s="57"/>
      <c r="J31" s="100"/>
      <c r="K31" s="101"/>
      <c r="L31" s="101"/>
      <c r="M31" s="57"/>
      <c r="N31" s="59" t="str">
        <f>IF(ISBLANK(J31),"",IF(OR(M31="Completed",M31="Closed"),"",IF(H31="Issue",IF(I31="High",WORKDAY(J31,2,DATA!A30:A58),IF(I31="Medium",WORKDAY(J31,14,DATA!A30:A58),IF(OR(I31="Low"),WORKDAY(J31,30,DATA!A30:A58),""))),
"")
))</f>
        <v/>
      </c>
      <c r="O31" s="60" t="str">
        <f ca="1">IF(OR(ISBLANK(#REF!), M31="Completed", M31="Closed", H31&lt;&gt;"Issue"), "",
   (NETWORKDAYS.INTL(TODAY(), N31, 1, DATA!A30:A58) - 1))</f>
        <v/>
      </c>
      <c r="P31" s="78" t="str">
        <f t="shared" ca="1" si="0"/>
        <v/>
      </c>
      <c r="Q31" s="62" t="str">
        <f t="shared" ca="1" si="1"/>
        <v/>
      </c>
    </row>
    <row r="32" spans="1:17" x14ac:dyDescent="0.3">
      <c r="A32" s="93">
        <v>30</v>
      </c>
      <c r="B32" s="57"/>
      <c r="C32" s="57"/>
      <c r="D32" s="57"/>
      <c r="E32" s="57"/>
      <c r="F32" s="57"/>
      <c r="G32" s="57"/>
      <c r="H32" s="57"/>
      <c r="I32" s="57"/>
      <c r="J32" s="100"/>
      <c r="K32" s="100"/>
      <c r="L32" s="100"/>
      <c r="M32" s="57"/>
      <c r="N32" s="59" t="str">
        <f>IF(ISBLANK(J32),"",IF(OR(M32="Completed",M32="Closed"),"",IF(H32="Issue",IF(I32="High",WORKDAY(J32,2,DATA!A31:A59),IF(I32="Medium",WORKDAY(J32,14,DATA!A31:A59),IF(OR(I32="Low"),WORKDAY(J32,30,DATA!A31:A59),""))),
"")
))</f>
        <v/>
      </c>
      <c r="O32" s="60" t="str">
        <f ca="1">IF(OR(ISBLANK(#REF!), M32="Completed", M32="Closed", H32&lt;&gt;"Issue"), "",
   (NETWORKDAYS.INTL(TODAY(), N32, 1, DATA!A31:A59) - 1))</f>
        <v/>
      </c>
      <c r="P32" s="78" t="str">
        <f t="shared" ca="1" si="0"/>
        <v/>
      </c>
      <c r="Q32" s="62" t="str">
        <f t="shared" ca="1" si="1"/>
        <v/>
      </c>
    </row>
    <row r="33" spans="1:17" x14ac:dyDescent="0.3">
      <c r="A33" s="93">
        <v>31</v>
      </c>
      <c r="B33" s="57"/>
      <c r="C33" s="57"/>
      <c r="D33" s="57"/>
      <c r="E33" s="57"/>
      <c r="F33" s="57"/>
      <c r="G33" s="57"/>
      <c r="H33" s="57"/>
      <c r="I33" s="57"/>
      <c r="J33" s="100"/>
      <c r="K33" s="101"/>
      <c r="L33" s="101"/>
      <c r="M33" s="57"/>
      <c r="N33" s="59" t="str">
        <f>IF(ISBLANK(J33),"",IF(OR(M33="Completed",M33="Closed"),"",IF(H33="Issue",IF(I33="High",WORKDAY(J33,2,DATA!A32:A60),IF(I33="Medium",WORKDAY(J33,14,DATA!A32:A60),IF(OR(I33="Low"),WORKDAY(J33,30,DATA!A32:A60),""))),
"")
))</f>
        <v/>
      </c>
      <c r="O33" s="60" t="str">
        <f ca="1">IF(OR(ISBLANK(#REF!), M33="Completed", M33="Closed", H33&lt;&gt;"Issue"), "",
   (NETWORKDAYS.INTL(TODAY(), N33, 1, DATA!A32:A60) - 1))</f>
        <v/>
      </c>
      <c r="P33" s="78" t="str">
        <f t="shared" ca="1" si="0"/>
        <v/>
      </c>
      <c r="Q33" s="62" t="str">
        <f t="shared" ca="1" si="1"/>
        <v/>
      </c>
    </row>
    <row r="34" spans="1:17" x14ac:dyDescent="0.3">
      <c r="A34" s="93">
        <v>32</v>
      </c>
      <c r="B34" s="57"/>
      <c r="C34" s="57"/>
      <c r="D34" s="57"/>
      <c r="E34" s="57"/>
      <c r="F34" s="57"/>
      <c r="G34" s="57"/>
      <c r="H34" s="57"/>
      <c r="I34" s="57"/>
      <c r="J34" s="100"/>
      <c r="K34" s="100"/>
      <c r="L34" s="100"/>
      <c r="M34" s="57"/>
      <c r="N34" s="59" t="str">
        <f>IF(ISBLANK(J34),"",IF(OR(M34="Completed",M34="Closed"),"",IF(H34="Issue",IF(I34="High",WORKDAY(J34,2,DATA!A33:A61),IF(I34="Medium",WORKDAY(J34,14,DATA!A33:A61),IF(OR(I34="Low"),WORKDAY(J34,30,DATA!A33:A61),""))),
"")
))</f>
        <v/>
      </c>
      <c r="O34" s="60" t="str">
        <f ca="1">IF(OR(ISBLANK(#REF!), M34="Completed", M34="Closed", H34&lt;&gt;"Issue"), "",
   (NETWORKDAYS.INTL(TODAY(), N34, 1, DATA!A33:A61) - 1))</f>
        <v/>
      </c>
      <c r="P34" s="78" t="str">
        <f t="shared" ca="1" si="0"/>
        <v/>
      </c>
      <c r="Q34" s="62" t="str">
        <f t="shared" ca="1" si="1"/>
        <v/>
      </c>
    </row>
    <row r="35" spans="1:17" x14ac:dyDescent="0.3">
      <c r="A35" s="93">
        <v>33</v>
      </c>
      <c r="B35" s="57"/>
      <c r="C35" s="57"/>
      <c r="D35" s="57"/>
      <c r="E35" s="57"/>
      <c r="F35" s="57"/>
      <c r="G35" s="57"/>
      <c r="H35" s="57"/>
      <c r="I35" s="57"/>
      <c r="J35" s="100"/>
      <c r="K35" s="101"/>
      <c r="L35" s="101"/>
      <c r="M35" s="57"/>
      <c r="N35" s="59" t="str">
        <f>IF(ISBLANK(J35),"",IF(OR(M35="Completed",M35="Closed"),"",IF(H35="Issue",IF(I35="High",WORKDAY(J35,2,DATA!A34:A62),IF(I35="Medium",WORKDAY(J35,14,DATA!A34:A62),IF(OR(I35="Low"),WORKDAY(J35,30,DATA!A34:A62),""))),
"")
))</f>
        <v/>
      </c>
      <c r="O35" s="60" t="str">
        <f ca="1">IF(OR(ISBLANK(#REF!), M35="Completed", M35="Closed", H35&lt;&gt;"Issue"), "",
   (NETWORKDAYS.INTL(TODAY(), N35, 1, DATA!A34:A62) - 1))</f>
        <v/>
      </c>
      <c r="P35" s="78" t="str">
        <f t="shared" ca="1" si="0"/>
        <v/>
      </c>
      <c r="Q35" s="62" t="str">
        <f t="shared" ca="1" si="1"/>
        <v/>
      </c>
    </row>
    <row r="36" spans="1:17" x14ac:dyDescent="0.3">
      <c r="A36" s="93">
        <v>34</v>
      </c>
      <c r="B36" s="57"/>
      <c r="C36" s="57"/>
      <c r="D36" s="57"/>
      <c r="E36" s="57"/>
      <c r="F36" s="57"/>
      <c r="G36" s="57"/>
      <c r="H36" s="57"/>
      <c r="I36" s="57"/>
      <c r="J36" s="100"/>
      <c r="K36" s="101"/>
      <c r="L36" s="101"/>
      <c r="M36" s="57"/>
      <c r="N36" s="59" t="str">
        <f>IF(ISBLANK(J36),"",IF(OR(M36="Completed",M36="Closed"),"",IF(H36="Issue",IF(I36="High",WORKDAY(J36,2,DATA!A35:A63),IF(I36="Medium",WORKDAY(J36,14,DATA!A35:A63),IF(OR(I36="Low"),WORKDAY(J36,30,DATA!A35:A63),""))),
"")
))</f>
        <v/>
      </c>
      <c r="O36" s="60" t="str">
        <f ca="1">IF(OR(ISBLANK(#REF!), M36="Completed", M36="Closed", H36&lt;&gt;"Issue"), "",
   (NETWORKDAYS.INTL(TODAY(), N36, 1, DATA!A35:A63) - 1))</f>
        <v/>
      </c>
      <c r="P36" s="78" t="str">
        <f t="shared" ca="1" si="0"/>
        <v/>
      </c>
      <c r="Q36" s="62" t="str">
        <f t="shared" ca="1" si="1"/>
        <v/>
      </c>
    </row>
    <row r="37" spans="1:17" x14ac:dyDescent="0.3">
      <c r="A37" s="93">
        <v>35</v>
      </c>
      <c r="B37" s="57"/>
      <c r="C37" s="57"/>
      <c r="D37" s="57"/>
      <c r="E37" s="57"/>
      <c r="F37" s="57"/>
      <c r="G37" s="57"/>
      <c r="H37" s="57"/>
      <c r="I37" s="57"/>
      <c r="J37" s="100"/>
      <c r="K37" s="100"/>
      <c r="L37" s="100"/>
      <c r="M37" s="57"/>
      <c r="N37" s="59" t="str">
        <f>IF(ISBLANK(J37),"",IF(OR(M37="Completed",M37="Closed"),"",IF(H37="Issue",IF(I37="High",WORKDAY(J37,2,DATA!A36:A64),IF(I37="Medium",WORKDAY(J37,14,DATA!A36:A64),IF(OR(I37="Low"),WORKDAY(J37,30,DATA!A36:A64),""))),
"")
))</f>
        <v/>
      </c>
      <c r="O37" s="60" t="str">
        <f ca="1">IF(OR(ISBLANK(#REF!), M37="Completed", M37="Closed", H37&lt;&gt;"Issue"), "",
   (NETWORKDAYS.INTL(TODAY(), N37, 1, DATA!A36:A64) - 1))</f>
        <v/>
      </c>
      <c r="P37" s="78" t="str">
        <f t="shared" ca="1" si="0"/>
        <v/>
      </c>
      <c r="Q37" s="62" t="str">
        <f t="shared" ca="1" si="1"/>
        <v/>
      </c>
    </row>
    <row r="38" spans="1:17" x14ac:dyDescent="0.3">
      <c r="A38" s="93">
        <v>36</v>
      </c>
      <c r="B38" s="57"/>
      <c r="C38" s="57"/>
      <c r="D38" s="57"/>
      <c r="E38" s="57"/>
      <c r="F38" s="57"/>
      <c r="G38" s="57"/>
      <c r="H38" s="57"/>
      <c r="I38" s="57"/>
      <c r="J38" s="100"/>
      <c r="K38" s="100"/>
      <c r="L38" s="101"/>
      <c r="M38" s="57"/>
      <c r="N38" s="59" t="str">
        <f>IF(ISBLANK(J38),"",IF(OR(M38="Completed",M38="Closed"),"",IF(H38="Issue",IF(I38="High",WORKDAY(J38,2,DATA!A37:A65),IF(I38="Medium",WORKDAY(J38,14,DATA!A37:A65),IF(OR(I38="Low"),WORKDAY(J38,30,DATA!A37:A65),""))),
"")
))</f>
        <v/>
      </c>
      <c r="O38" s="60" t="str">
        <f ca="1">IF(OR(ISBLANK(#REF!), M38="Completed", M38="Closed", H38&lt;&gt;"Issue"), "",
   (NETWORKDAYS.INTL(TODAY(), N38, 1, DATA!A37:A65) - 1))</f>
        <v/>
      </c>
      <c r="P38" s="78" t="str">
        <f t="shared" ca="1" si="0"/>
        <v/>
      </c>
      <c r="Q38" s="62" t="str">
        <f t="shared" ca="1" si="1"/>
        <v/>
      </c>
    </row>
    <row r="39" spans="1:17" x14ac:dyDescent="0.3">
      <c r="A39" s="93">
        <v>37</v>
      </c>
      <c r="B39" s="57"/>
      <c r="C39" s="57"/>
      <c r="D39" s="57"/>
      <c r="E39" s="57"/>
      <c r="F39" s="57"/>
      <c r="G39" s="57"/>
      <c r="H39" s="57"/>
      <c r="I39" s="57"/>
      <c r="J39" s="100"/>
      <c r="K39" s="101"/>
      <c r="L39" s="101"/>
      <c r="M39" s="57"/>
      <c r="N39" s="59" t="str">
        <f>IF(ISBLANK(J39),"",IF(OR(M39="Completed",M39="Closed"),"",IF(H39="Issue",IF(I39="High",WORKDAY(J39,2,DATA!A38:A66),IF(I39="Medium",WORKDAY(J39,14,DATA!A38:A66),IF(OR(I39="Low"),WORKDAY(J39,30,DATA!A38:A66),""))),
"")
))</f>
        <v/>
      </c>
      <c r="O39" s="60" t="str">
        <f ca="1">IF(OR(ISBLANK(#REF!), M39="Completed", M39="Closed", H39&lt;&gt;"Issue"), "",
   (NETWORKDAYS.INTL(TODAY(), N39, 1, DATA!A38:A66) - 1))</f>
        <v/>
      </c>
      <c r="P39" s="78" t="str">
        <f t="shared" ca="1" si="0"/>
        <v/>
      </c>
      <c r="Q39" s="62" t="str">
        <f t="shared" ca="1" si="1"/>
        <v/>
      </c>
    </row>
    <row r="40" spans="1:17" x14ac:dyDescent="0.3">
      <c r="A40" s="93">
        <v>38</v>
      </c>
      <c r="B40" s="57"/>
      <c r="C40" s="57"/>
      <c r="D40" s="57"/>
      <c r="E40" s="57"/>
      <c r="F40" s="57"/>
      <c r="G40" s="57"/>
      <c r="H40" s="57"/>
      <c r="I40" s="57"/>
      <c r="J40" s="100"/>
      <c r="K40" s="101"/>
      <c r="L40" s="101"/>
      <c r="M40" s="57"/>
      <c r="N40" s="59" t="str">
        <f>IF(ISBLANK(J40),"",IF(OR(M40="Completed",M40="Closed"),"",IF(H40="Issue",IF(I40="High",WORKDAY(J40,2,DATA!A39:A67),IF(I40="Medium",WORKDAY(J40,14,DATA!A39:A67),IF(OR(I40="Low"),WORKDAY(J40,30,DATA!A39:A67),""))),
"")
))</f>
        <v/>
      </c>
      <c r="O40" s="60" t="str">
        <f ca="1">IF(OR(ISBLANK(#REF!), M40="Completed", M40="Closed", H40&lt;&gt;"Issue"), "",
   (NETWORKDAYS.INTL(TODAY(), N40, 1, DATA!A39:A67) - 1))</f>
        <v/>
      </c>
      <c r="P40" s="78" t="str">
        <f t="shared" ca="1" si="0"/>
        <v/>
      </c>
      <c r="Q40" s="62" t="str">
        <f t="shared" ca="1" si="1"/>
        <v/>
      </c>
    </row>
    <row r="41" spans="1:17" x14ac:dyDescent="0.3">
      <c r="A41" s="93">
        <v>39</v>
      </c>
      <c r="B41" s="57"/>
      <c r="C41" s="57"/>
      <c r="D41" s="57"/>
      <c r="E41" s="57"/>
      <c r="F41" s="57"/>
      <c r="G41" s="57"/>
      <c r="H41" s="57"/>
      <c r="I41" s="57"/>
      <c r="J41" s="100"/>
      <c r="K41" s="101"/>
      <c r="L41" s="101"/>
      <c r="M41" s="57"/>
      <c r="N41" s="59" t="str">
        <f>IF(ISBLANK(J41),"",IF(OR(M41="Completed",M41="Closed"),"",IF(H41="Issue",IF(I41="High",WORKDAY(J41,2,DATA!A40:A68),IF(I41="Medium",WORKDAY(J41,14,DATA!A40:A68),IF(OR(I41="Low"),WORKDAY(J41,30,DATA!A40:A68),""))),
"")
))</f>
        <v/>
      </c>
      <c r="O41" s="60" t="str">
        <f ca="1">IF(OR(ISBLANK(#REF!), M41="Completed", M41="Closed", H41&lt;&gt;"Issue"), "",
   (NETWORKDAYS.INTL(TODAY(), N41, 1, DATA!A40:A68) - 1))</f>
        <v/>
      </c>
      <c r="P41" s="78" t="str">
        <f t="shared" ca="1" si="0"/>
        <v/>
      </c>
      <c r="Q41" s="62" t="str">
        <f t="shared" ca="1" si="1"/>
        <v/>
      </c>
    </row>
    <row r="42" spans="1:17" x14ac:dyDescent="0.3">
      <c r="A42" s="93">
        <v>40</v>
      </c>
      <c r="B42" s="57"/>
      <c r="C42" s="57"/>
      <c r="D42" s="57"/>
      <c r="E42" s="57"/>
      <c r="F42" s="57"/>
      <c r="G42" s="57"/>
      <c r="H42" s="57"/>
      <c r="I42" s="57"/>
      <c r="J42" s="100"/>
      <c r="K42" s="101"/>
      <c r="L42" s="101"/>
      <c r="M42" s="57"/>
      <c r="N42" s="59" t="str">
        <f>IF(ISBLANK(J42),"",IF(OR(M42="Completed",M42="Closed"),"",IF(H42="Issue",IF(I42="High",WORKDAY(J42,2,DATA!A41:A69),IF(I42="Medium",WORKDAY(J42,14,DATA!A41:A69),IF(OR(I42="Low"),WORKDAY(J42,30,DATA!A41:A69),""))),
"")
))</f>
        <v/>
      </c>
      <c r="O42" s="60" t="str">
        <f ca="1">IF(OR(ISBLANK(#REF!), M42="Completed", M42="Closed", H42&lt;&gt;"Issue"), "",
   (NETWORKDAYS.INTL(TODAY(), N42, 1, DATA!A41:A69) - 1))</f>
        <v/>
      </c>
      <c r="P42" s="78" t="str">
        <f t="shared" ca="1" si="0"/>
        <v/>
      </c>
      <c r="Q42" s="62" t="str">
        <f t="shared" ca="1" si="1"/>
        <v/>
      </c>
    </row>
    <row r="43" spans="1:17" x14ac:dyDescent="0.3">
      <c r="A43" s="93">
        <v>41</v>
      </c>
      <c r="B43" s="57"/>
      <c r="C43" s="57"/>
      <c r="D43" s="57"/>
      <c r="E43" s="57"/>
      <c r="F43" s="57"/>
      <c r="G43" s="57"/>
      <c r="H43" s="57"/>
      <c r="I43" s="57"/>
      <c r="J43" s="100"/>
      <c r="K43" s="100"/>
      <c r="L43" s="100"/>
      <c r="M43" s="57"/>
      <c r="N43" s="59" t="str">
        <f>IF(ISBLANK(J43),"",IF(OR(M43="Completed",M43="Closed"),"",IF(H43="Issue",IF(I43="High",WORKDAY(J43,2,DATA!A42:A70),IF(I43="Medium",WORKDAY(J43,14,DATA!A42:A70),IF(OR(I43="Low"),WORKDAY(J43,30,DATA!A42:A70),""))),
"")
))</f>
        <v/>
      </c>
      <c r="O43" s="60" t="str">
        <f ca="1">IF(OR(ISBLANK(#REF!), M43="Completed", M43="Closed", H43&lt;&gt;"Issue"), "",
   (NETWORKDAYS.INTL(TODAY(), N43, 1, DATA!A42:A70) - 1))</f>
        <v/>
      </c>
      <c r="P43" s="78" t="str">
        <f t="shared" ca="1" si="0"/>
        <v/>
      </c>
      <c r="Q43" s="62" t="str">
        <f t="shared" ca="1" si="1"/>
        <v/>
      </c>
    </row>
    <row r="44" spans="1:17" x14ac:dyDescent="0.3">
      <c r="A44" s="93">
        <v>42</v>
      </c>
      <c r="B44" s="57"/>
      <c r="C44" s="57"/>
      <c r="D44" s="57"/>
      <c r="E44" s="57"/>
      <c r="F44" s="57"/>
      <c r="G44" s="57"/>
      <c r="H44" s="57"/>
      <c r="I44" s="57"/>
      <c r="J44" s="100"/>
      <c r="K44" s="101"/>
      <c r="L44" s="101"/>
      <c r="M44" s="57"/>
      <c r="N44" s="59" t="str">
        <f>IF(ISBLANK(J44),"",IF(OR(M44="Completed",M44="Closed"),"",IF(H44="Issue",IF(I44="High",WORKDAY(J44,2,DATA!A43:A71),IF(I44="Medium",WORKDAY(J44,14,DATA!A43:A71),IF(OR(I44="Low"),WORKDAY(J44,30,DATA!A43:A71),""))),
"")
))</f>
        <v/>
      </c>
      <c r="O44" s="60" t="str">
        <f ca="1">IF(OR(ISBLANK(#REF!), M44="Completed", M44="Closed", H44&lt;&gt;"Issue"), "",
   (NETWORKDAYS.INTL(TODAY(), N44, 1, DATA!A43:A71) - 1))</f>
        <v/>
      </c>
      <c r="P44" s="78" t="str">
        <f t="shared" ca="1" si="0"/>
        <v/>
      </c>
      <c r="Q44" s="62" t="str">
        <f t="shared" ca="1" si="1"/>
        <v/>
      </c>
    </row>
    <row r="45" spans="1:17" x14ac:dyDescent="0.3">
      <c r="A45" s="93">
        <v>43</v>
      </c>
      <c r="B45" s="57"/>
      <c r="C45" s="57"/>
      <c r="D45" s="57"/>
      <c r="E45" s="57"/>
      <c r="F45" s="57"/>
      <c r="G45" s="57"/>
      <c r="H45" s="57"/>
      <c r="I45" s="57"/>
      <c r="J45" s="100"/>
      <c r="K45" s="100"/>
      <c r="L45" s="100"/>
      <c r="M45" s="57"/>
      <c r="N45" s="59" t="str">
        <f>IF(ISBLANK(J45),"",IF(OR(M45="Completed",M45="Closed"),"",IF(H45="Issue",IF(I45="High",WORKDAY(J45,2,DATA!A44:A72),IF(I45="Medium",WORKDAY(J45,14,DATA!A44:A72),IF(OR(I45="Low"),WORKDAY(J45,30,DATA!A44:A72),""))),
"")
))</f>
        <v/>
      </c>
      <c r="O45" s="60" t="str">
        <f ca="1">IF(OR(ISBLANK(#REF!), M45="Completed", M45="Closed", H45&lt;&gt;"Issue"), "",
   (NETWORKDAYS.INTL(TODAY(), N45, 1, DATA!A44:A72) - 1))</f>
        <v/>
      </c>
      <c r="P45" s="78" t="str">
        <f t="shared" ca="1" si="0"/>
        <v/>
      </c>
      <c r="Q45" s="62" t="str">
        <f t="shared" ca="1" si="1"/>
        <v/>
      </c>
    </row>
    <row r="46" spans="1:17" x14ac:dyDescent="0.3">
      <c r="A46" s="93">
        <v>44</v>
      </c>
      <c r="B46" s="57"/>
      <c r="C46" s="57"/>
      <c r="D46" s="57"/>
      <c r="E46" s="57"/>
      <c r="F46" s="57"/>
      <c r="G46" s="57"/>
      <c r="H46" s="57"/>
      <c r="I46" s="57"/>
      <c r="J46" s="100"/>
      <c r="K46" s="100"/>
      <c r="L46" s="100"/>
      <c r="M46" s="57"/>
      <c r="N46" s="59" t="str">
        <f>IF(ISBLANK(J46),"",IF(OR(M46="Completed",M46="Closed"),"",IF(H46="Issue",IF(I46="High",WORKDAY(J46,2,DATA!A45:A73),IF(I46="Medium",WORKDAY(J46,14,DATA!A45:A73),IF(OR(I46="Low"),WORKDAY(J46,30,DATA!A45:A73),""))),
"")
))</f>
        <v/>
      </c>
      <c r="O46" s="60" t="str">
        <f ca="1">IF(OR(ISBLANK(#REF!), M46="Completed", M46="Closed", H46&lt;&gt;"Issue"), "",
   (NETWORKDAYS.INTL(TODAY(), N46, 1, DATA!A45:A73) - 1))</f>
        <v/>
      </c>
      <c r="P46" s="78" t="str">
        <f t="shared" ca="1" si="0"/>
        <v/>
      </c>
      <c r="Q46" s="62" t="str">
        <f t="shared" ca="1" si="1"/>
        <v/>
      </c>
    </row>
    <row r="47" spans="1:17" x14ac:dyDescent="0.3">
      <c r="A47" s="93">
        <v>45</v>
      </c>
      <c r="B47" s="57"/>
      <c r="C47" s="57"/>
      <c r="D47" s="57"/>
      <c r="E47" s="57"/>
      <c r="F47" s="57"/>
      <c r="G47" s="57"/>
      <c r="H47" s="57"/>
      <c r="I47" s="57"/>
      <c r="J47" s="100"/>
      <c r="K47" s="101"/>
      <c r="L47" s="101"/>
      <c r="M47" s="57"/>
      <c r="N47" s="59" t="str">
        <f>IF(ISBLANK(J47),"",IF(OR(M47="Completed",M47="Closed"),"",IF(H47="Issue",IF(I47="High",WORKDAY(J47,2,DATA!A46:A74),IF(I47="Medium",WORKDAY(J47,14,DATA!A46:A74),IF(OR(I47="Low"),WORKDAY(J47,30,DATA!A46:A74),""))),
"")
))</f>
        <v/>
      </c>
      <c r="O47" s="60" t="str">
        <f ca="1">IF(OR(ISBLANK(#REF!), M47="Completed", M47="Closed", H47&lt;&gt;"Issue"), "",
   (NETWORKDAYS.INTL(TODAY(), N47, 1, DATA!A46:A74) - 1))</f>
        <v/>
      </c>
      <c r="P47" s="78" t="str">
        <f t="shared" ca="1" si="0"/>
        <v/>
      </c>
      <c r="Q47" s="62" t="str">
        <f t="shared" ca="1" si="1"/>
        <v/>
      </c>
    </row>
    <row r="48" spans="1:17" x14ac:dyDescent="0.3">
      <c r="A48" s="93">
        <v>46</v>
      </c>
      <c r="B48" s="57"/>
      <c r="C48" s="57"/>
      <c r="D48" s="57"/>
      <c r="E48" s="57"/>
      <c r="F48" s="57"/>
      <c r="G48" s="57"/>
      <c r="H48" s="57"/>
      <c r="I48" s="57"/>
      <c r="J48" s="100"/>
      <c r="K48" s="101"/>
      <c r="L48" s="101"/>
      <c r="M48" s="57"/>
      <c r="N48" s="59" t="str">
        <f>IF(ISBLANK(J48),"",IF(OR(M48="Completed",M48="Closed"),"",IF(H48="Issue",IF(I48="High",WORKDAY(J48,2,DATA!A47:A75),IF(I48="Medium",WORKDAY(J48,14,DATA!A47:A75),IF(OR(I48="Low"),WORKDAY(J48,30,DATA!A47:A75),""))),
"")
))</f>
        <v/>
      </c>
      <c r="O48" s="60" t="str">
        <f ca="1">IF(OR(ISBLANK(#REF!), M48="Completed", M48="Closed", H48&lt;&gt;"Issue"), "",
   (NETWORKDAYS.INTL(TODAY(), N48, 1, DATA!A47:A75) - 1))</f>
        <v/>
      </c>
      <c r="P48" s="78" t="str">
        <f t="shared" ca="1" si="0"/>
        <v/>
      </c>
      <c r="Q48" s="62" t="str">
        <f t="shared" ca="1" si="1"/>
        <v/>
      </c>
    </row>
    <row r="49" spans="1:17" x14ac:dyDescent="0.3">
      <c r="A49" s="93">
        <v>47</v>
      </c>
      <c r="B49" s="57"/>
      <c r="C49" s="57"/>
      <c r="D49" s="57"/>
      <c r="E49" s="57"/>
      <c r="F49" s="57"/>
      <c r="G49" s="57"/>
      <c r="H49" s="57"/>
      <c r="I49" s="57"/>
      <c r="J49" s="100"/>
      <c r="K49" s="100"/>
      <c r="L49" s="100"/>
      <c r="M49" s="57"/>
      <c r="N49" s="59" t="str">
        <f>IF(ISBLANK(J49),"",IF(OR(M49="Completed",M49="Closed"),"",IF(H49="Issue",IF(I49="High",WORKDAY(J49,2,DATA!A48:A76),IF(I49="Medium",WORKDAY(J49,14,DATA!A48:A76),IF(OR(I49="Low"),WORKDAY(J49,30,DATA!A48:A76),""))),
"")
))</f>
        <v/>
      </c>
      <c r="O49" s="60" t="str">
        <f ca="1">IF(OR(ISBLANK(#REF!), M49="Completed", M49="Closed", H49&lt;&gt;"Issue"), "",
   (NETWORKDAYS.INTL(TODAY(), N49, 1, DATA!A48:A76) - 1))</f>
        <v/>
      </c>
      <c r="P49" s="78" t="str">
        <f t="shared" ca="1" si="0"/>
        <v/>
      </c>
      <c r="Q49" s="62" t="str">
        <f t="shared" ca="1" si="1"/>
        <v/>
      </c>
    </row>
    <row r="50" spans="1:17" x14ac:dyDescent="0.3">
      <c r="A50" s="93">
        <v>48</v>
      </c>
      <c r="B50" s="57"/>
      <c r="C50" s="57"/>
      <c r="D50" s="57"/>
      <c r="E50" s="57"/>
      <c r="F50" s="57"/>
      <c r="G50" s="57"/>
      <c r="H50" s="57"/>
      <c r="I50" s="57"/>
      <c r="J50" s="100"/>
      <c r="K50" s="100"/>
      <c r="L50" s="100"/>
      <c r="M50" s="57"/>
      <c r="N50" s="59" t="str">
        <f>IF(ISBLANK(J50),"",IF(OR(M50="Completed",M50="Closed"),"",IF(H50="Issue",IF(I50="High",WORKDAY(J50,2,DATA!A49:A77),IF(I50="Medium",WORKDAY(J50,14,DATA!A49:A77),IF(OR(I50="Low"),WORKDAY(J50,30,DATA!A49:A77),""))),
"")
))</f>
        <v/>
      </c>
      <c r="O50" s="60" t="str">
        <f ca="1">IF(OR(ISBLANK(#REF!), M50="Completed", M50="Closed", H50&lt;&gt;"Issue"), "",
   (NETWORKDAYS.INTL(TODAY(), N50, 1, DATA!A49:A77) - 1))</f>
        <v/>
      </c>
      <c r="P50" s="78" t="str">
        <f t="shared" ca="1" si="0"/>
        <v/>
      </c>
      <c r="Q50" s="62" t="str">
        <f t="shared" ca="1" si="1"/>
        <v/>
      </c>
    </row>
    <row r="51" spans="1:17" x14ac:dyDescent="0.3">
      <c r="A51" s="93">
        <v>49</v>
      </c>
      <c r="B51" s="57"/>
      <c r="C51" s="57"/>
      <c r="D51" s="57"/>
      <c r="E51" s="57"/>
      <c r="F51" s="57"/>
      <c r="G51" s="57"/>
      <c r="H51" s="57"/>
      <c r="I51" s="57"/>
      <c r="J51" s="100"/>
      <c r="K51" s="100"/>
      <c r="L51" s="100"/>
      <c r="M51" s="57"/>
      <c r="N51" s="59" t="str">
        <f>IF(ISBLANK(J51),"",IF(OR(M51="Completed",M51="Closed"),"",IF(H51="Issue",IF(I51="High",WORKDAY(J51,2,DATA!A50:A78),IF(I51="Medium",WORKDAY(J51,14,DATA!A50:A78),IF(OR(I51="Low"),WORKDAY(J51,30,DATA!A50:A78),""))),
"")
))</f>
        <v/>
      </c>
      <c r="O51" s="60" t="str">
        <f ca="1">IF(OR(ISBLANK(#REF!), M51="Completed", M51="Closed", H51&lt;&gt;"Issue"), "",
   (NETWORKDAYS.INTL(TODAY(), N51, 1, DATA!A50:A78) - 1))</f>
        <v/>
      </c>
      <c r="P51" s="78" t="str">
        <f t="shared" ca="1" si="0"/>
        <v/>
      </c>
      <c r="Q51" s="62" t="str">
        <f t="shared" ca="1" si="1"/>
        <v/>
      </c>
    </row>
    <row r="52" spans="1:17" x14ac:dyDescent="0.3">
      <c r="A52" s="93">
        <v>50</v>
      </c>
      <c r="B52" s="57"/>
      <c r="C52" s="57"/>
      <c r="D52" s="57"/>
      <c r="E52" s="57"/>
      <c r="F52" s="57"/>
      <c r="G52" s="57"/>
      <c r="H52" s="57"/>
      <c r="I52" s="57"/>
      <c r="J52" s="100"/>
      <c r="K52" s="100"/>
      <c r="L52" s="100"/>
      <c r="M52" s="57"/>
      <c r="N52" s="59" t="str">
        <f>IF(ISBLANK(J52),"",IF(OR(M52="Completed",M52="Closed"),"",IF(H52="Issue",IF(I52="High",WORKDAY(J52,2,DATA!A51:A79),IF(I52="Medium",WORKDAY(J52,14,DATA!A51:A79),IF(OR(I52="Low"),WORKDAY(J52,30,DATA!A51:A79),""))),
"")
))</f>
        <v/>
      </c>
      <c r="O52" s="60" t="str">
        <f ca="1">IF(OR(ISBLANK(#REF!), M52="Completed", M52="Closed", H52&lt;&gt;"Issue"), "",
   (NETWORKDAYS.INTL(TODAY(), N52, 1, DATA!A51:A79) - 1))</f>
        <v/>
      </c>
      <c r="P52" s="78" t="str">
        <f t="shared" ca="1" si="0"/>
        <v/>
      </c>
      <c r="Q52" s="62" t="str">
        <f t="shared" ca="1" si="1"/>
        <v/>
      </c>
    </row>
    <row r="53" spans="1:17" x14ac:dyDescent="0.3">
      <c r="A53" s="93">
        <v>51</v>
      </c>
      <c r="B53" s="57"/>
      <c r="C53" s="57"/>
      <c r="D53" s="57"/>
      <c r="E53" s="57"/>
      <c r="F53" s="57"/>
      <c r="G53" s="57"/>
      <c r="H53" s="57"/>
      <c r="I53" s="57"/>
      <c r="J53" s="100"/>
      <c r="K53" s="101"/>
      <c r="L53" s="101"/>
      <c r="M53" s="57"/>
      <c r="N53" s="59" t="str">
        <f>IF(ISBLANK(J53),"",IF(OR(M53="Completed",M53="Closed"),"",IF(H53="Issue",IF(I53="High",WORKDAY(J53,2,DATA!A52:A80),IF(I53="Medium",WORKDAY(J53,14,DATA!A52:A80),IF(OR(I53="Low"),WORKDAY(J53,30,DATA!A52:A80),""))),
"")
))</f>
        <v/>
      </c>
      <c r="O53" s="60" t="str">
        <f ca="1">IF(OR(ISBLANK(#REF!), M53="Completed", M53="Closed", H53&lt;&gt;"Issue"), "",
   (NETWORKDAYS.INTL(TODAY(), N53, 1, DATA!A52:A80) - 1))</f>
        <v/>
      </c>
      <c r="P53" s="78" t="str">
        <f t="shared" ca="1" si="0"/>
        <v/>
      </c>
      <c r="Q53" s="62" t="str">
        <f t="shared" ca="1" si="1"/>
        <v/>
      </c>
    </row>
    <row r="54" spans="1:17" x14ac:dyDescent="0.3">
      <c r="A54" s="93">
        <v>52</v>
      </c>
      <c r="B54" s="57"/>
      <c r="C54" s="57"/>
      <c r="D54" s="57"/>
      <c r="E54" s="57"/>
      <c r="F54" s="57"/>
      <c r="G54" s="57"/>
      <c r="H54" s="57"/>
      <c r="I54" s="57"/>
      <c r="J54" s="100"/>
      <c r="K54" s="100"/>
      <c r="L54" s="100"/>
      <c r="M54" s="57"/>
      <c r="N54" s="59" t="str">
        <f>IF(ISBLANK(J54),"",IF(OR(M54="Completed",M54="Closed"),"",IF(H54="Issue",IF(I54="High",WORKDAY(J54,2,DATA!A53:A81),IF(I54="Medium",WORKDAY(J54,14,DATA!A53:A81),IF(OR(I54="Low"),WORKDAY(J54,30,DATA!A53:A81),""))),
"")
))</f>
        <v/>
      </c>
      <c r="O54" s="60" t="str">
        <f ca="1">IF(OR(ISBLANK(#REF!), M54="Completed", M54="Closed", H54&lt;&gt;"Issue"), "",
   (NETWORKDAYS.INTL(TODAY(), N54, 1, DATA!A53:A81) - 1))</f>
        <v/>
      </c>
      <c r="P54" s="78" t="str">
        <f t="shared" ca="1" si="0"/>
        <v/>
      </c>
      <c r="Q54" s="62" t="str">
        <f t="shared" ca="1" si="1"/>
        <v/>
      </c>
    </row>
    <row r="55" spans="1:17" x14ac:dyDescent="0.3">
      <c r="A55" s="93">
        <v>53</v>
      </c>
      <c r="B55" s="57"/>
      <c r="C55" s="57"/>
      <c r="D55" s="57"/>
      <c r="E55" s="57"/>
      <c r="F55" s="57"/>
      <c r="G55" s="57"/>
      <c r="H55" s="57"/>
      <c r="I55" s="57"/>
      <c r="J55" s="100"/>
      <c r="K55" s="101"/>
      <c r="L55" s="101"/>
      <c r="M55" s="57"/>
      <c r="N55" s="59" t="str">
        <f>IF(ISBLANK(J55),"",IF(OR(M55="Completed",M55="Closed"),"",IF(H55="Issue",IF(I55="High",WORKDAY(J55,2,DATA!A54:A82),IF(I55="Medium",WORKDAY(J55,14,DATA!A54:A82),IF(OR(I55="Low"),WORKDAY(J55,30,DATA!A54:A82),""))),
"")
))</f>
        <v/>
      </c>
      <c r="O55" s="60" t="str">
        <f ca="1">IF(OR(ISBLANK(#REF!), M55="Completed", M55="Closed", H55&lt;&gt;"Issue"), "",
   (NETWORKDAYS.INTL(TODAY(), N55, 1, DATA!A54:A82) - 1))</f>
        <v/>
      </c>
      <c r="P55" s="78" t="str">
        <f t="shared" ca="1" si="0"/>
        <v/>
      </c>
      <c r="Q55" s="62" t="str">
        <f t="shared" ca="1" si="1"/>
        <v/>
      </c>
    </row>
    <row r="56" spans="1:17" x14ac:dyDescent="0.3">
      <c r="A56" s="93">
        <v>54</v>
      </c>
      <c r="B56" s="57"/>
      <c r="C56" s="57"/>
      <c r="D56" s="57"/>
      <c r="E56" s="57"/>
      <c r="F56" s="57"/>
      <c r="G56" s="57"/>
      <c r="H56" s="57"/>
      <c r="I56" s="57"/>
      <c r="J56" s="100"/>
      <c r="K56" s="101"/>
      <c r="L56" s="101"/>
      <c r="M56" s="57"/>
      <c r="N56" s="59" t="str">
        <f>IF(ISBLANK(J56),"",IF(OR(M56="Completed",M56="Closed"),"",IF(H56="Issue",IF(I56="High",WORKDAY(J56,2,DATA!A55:A83),IF(I56="Medium",WORKDAY(J56,14,DATA!A55:A83),IF(OR(I56="Low"),WORKDAY(J56,30,DATA!A55:A83),""))),
"")
))</f>
        <v/>
      </c>
      <c r="O56" s="60" t="str">
        <f ca="1">IF(OR(ISBLANK(#REF!), M56="Completed", M56="Closed", H56&lt;&gt;"Issue"), "",
   (NETWORKDAYS.INTL(TODAY(), N56, 1, DATA!A55:A83) - 1))</f>
        <v/>
      </c>
      <c r="P56" s="78" t="str">
        <f t="shared" ca="1" si="0"/>
        <v/>
      </c>
      <c r="Q56" s="62" t="str">
        <f t="shared" ca="1" si="1"/>
        <v/>
      </c>
    </row>
    <row r="57" spans="1:17" x14ac:dyDescent="0.3">
      <c r="A57" s="93">
        <v>55</v>
      </c>
      <c r="B57" s="57"/>
      <c r="C57" s="57"/>
      <c r="D57" s="57"/>
      <c r="E57" s="57"/>
      <c r="F57" s="57"/>
      <c r="G57" s="57"/>
      <c r="H57" s="57"/>
      <c r="I57" s="57"/>
      <c r="J57" s="100"/>
      <c r="K57" s="101"/>
      <c r="L57" s="101"/>
      <c r="M57" s="57"/>
      <c r="N57" s="59" t="str">
        <f>IF(ISBLANK(J57),"",IF(OR(M57="Completed",M57="Closed"),"",IF(H57="Issue",IF(I57="High",WORKDAY(J57,2,DATA!A56:A84),IF(I57="Medium",WORKDAY(J57,14,DATA!A56:A84),IF(OR(I57="Low"),WORKDAY(J57,30,DATA!A56:A84),""))),
"")
))</f>
        <v/>
      </c>
      <c r="O57" s="60" t="str">
        <f ca="1">IF(OR(ISBLANK(#REF!), M57="Completed", M57="Closed", H57&lt;&gt;"Issue"), "",
   (NETWORKDAYS.INTL(TODAY(), N57, 1, DATA!A56:A84) - 1))</f>
        <v/>
      </c>
      <c r="P57" s="78" t="str">
        <f t="shared" ca="1" si="0"/>
        <v/>
      </c>
      <c r="Q57" s="62" t="str">
        <f t="shared" ca="1" si="1"/>
        <v/>
      </c>
    </row>
    <row r="58" spans="1:17" x14ac:dyDescent="0.3">
      <c r="A58" s="93">
        <v>56</v>
      </c>
      <c r="B58" s="57"/>
      <c r="C58" s="57"/>
      <c r="D58" s="57"/>
      <c r="E58" s="57"/>
      <c r="F58" s="57"/>
      <c r="G58" s="57"/>
      <c r="H58" s="57"/>
      <c r="I58" s="57"/>
      <c r="J58" s="100"/>
      <c r="K58" s="100"/>
      <c r="L58" s="100"/>
      <c r="M58" s="57"/>
      <c r="N58" s="59" t="str">
        <f>IF(ISBLANK(J58),"",IF(OR(M58="Completed",M58="Closed"),"",IF(H58="Issue",IF(I58="High",WORKDAY(J58,2,DATA!A57:A85),IF(I58="Medium",WORKDAY(J58,14,DATA!A57:A85),IF(OR(I58="Low"),WORKDAY(J58,30,DATA!A57:A85),""))),
"")
))</f>
        <v/>
      </c>
      <c r="O58" s="60" t="str">
        <f ca="1">IF(OR(ISBLANK(#REF!), M58="Completed", M58="Closed", H58&lt;&gt;"Issue"), "",
   (NETWORKDAYS.INTL(TODAY(), N58, 1, DATA!A57:A85) - 1))</f>
        <v/>
      </c>
      <c r="P58" s="78" t="str">
        <f t="shared" ca="1" si="0"/>
        <v/>
      </c>
      <c r="Q58" s="62" t="str">
        <f t="shared" ca="1" si="1"/>
        <v/>
      </c>
    </row>
    <row r="59" spans="1:17" x14ac:dyDescent="0.3">
      <c r="A59" s="93">
        <v>57</v>
      </c>
      <c r="B59" s="57"/>
      <c r="C59" s="57"/>
      <c r="D59" s="57"/>
      <c r="E59" s="57"/>
      <c r="F59" s="57"/>
      <c r="G59" s="57"/>
      <c r="H59" s="57"/>
      <c r="I59" s="57"/>
      <c r="J59" s="100"/>
      <c r="K59" s="100"/>
      <c r="L59" s="101"/>
      <c r="M59" s="57"/>
      <c r="N59" s="59" t="str">
        <f>IF(ISBLANK(J59),"",IF(OR(M59="Completed",M59="Closed"),"",IF(H59="Issue",IF(I59="High",WORKDAY(J59,2,DATA!A58:A86),IF(I59="Medium",WORKDAY(J59,14,DATA!A58:A86),IF(OR(I59="Low"),WORKDAY(J59,30,DATA!A58:A86),""))),
"")
))</f>
        <v/>
      </c>
      <c r="O59" s="60" t="str">
        <f ca="1">IF(OR(ISBLANK(#REF!), M59="Completed", M59="Closed", H59&lt;&gt;"Issue"), "",
   (NETWORKDAYS.INTL(TODAY(), N59, 1, DATA!A58:A86) - 1))</f>
        <v/>
      </c>
      <c r="P59" s="78" t="str">
        <f t="shared" ca="1" si="0"/>
        <v/>
      </c>
      <c r="Q59" s="62" t="str">
        <f t="shared" ca="1" si="1"/>
        <v/>
      </c>
    </row>
    <row r="60" spans="1:17" x14ac:dyDescent="0.3">
      <c r="A60" s="93">
        <v>58</v>
      </c>
      <c r="B60" s="57"/>
      <c r="C60" s="57"/>
      <c r="D60" s="57"/>
      <c r="E60" s="57"/>
      <c r="F60" s="57"/>
      <c r="G60" s="57"/>
      <c r="H60" s="57"/>
      <c r="I60" s="57"/>
      <c r="J60" s="100"/>
      <c r="K60" s="101"/>
      <c r="L60" s="101"/>
      <c r="M60" s="57"/>
      <c r="N60" s="59" t="str">
        <f>IF(ISBLANK(J60),"",IF(OR(M60="Completed",M60="Closed"),"",IF(H60="Issue",IF(I60="High",WORKDAY(J60,2,DATA!A59:A87),IF(I60="Medium",WORKDAY(J60,14,DATA!A59:A87),IF(OR(I60="Low"),WORKDAY(J60,30,DATA!A59:A87),""))),
"")
))</f>
        <v/>
      </c>
      <c r="O60" s="60" t="str">
        <f ca="1">IF(OR(ISBLANK(#REF!), M60="Completed", M60="Closed", H60&lt;&gt;"Issue"), "",
   (NETWORKDAYS.INTL(TODAY(), N60, 1, DATA!A59:A87) - 1))</f>
        <v/>
      </c>
      <c r="P60" s="78" t="str">
        <f t="shared" ca="1" si="0"/>
        <v/>
      </c>
      <c r="Q60" s="62" t="str">
        <f t="shared" ca="1" si="1"/>
        <v/>
      </c>
    </row>
    <row r="61" spans="1:17" x14ac:dyDescent="0.3">
      <c r="A61" s="93">
        <v>59</v>
      </c>
      <c r="B61" s="57"/>
      <c r="C61" s="57"/>
      <c r="D61" s="57"/>
      <c r="E61" s="57"/>
      <c r="F61" s="57"/>
      <c r="G61" s="57"/>
      <c r="H61" s="57"/>
      <c r="I61" s="57"/>
      <c r="J61" s="100"/>
      <c r="K61" s="101"/>
      <c r="L61" s="101"/>
      <c r="M61" s="57"/>
      <c r="N61" s="59" t="str">
        <f>IF(ISBLANK(J61),"",IF(OR(M61="Completed",M61="Closed"),"",IF(H61="Issue",IF(I61="High",WORKDAY(J61,2,DATA!A60:A88),IF(I61="Medium",WORKDAY(J61,14,DATA!A60:A88),IF(OR(I61="Low"),WORKDAY(J61,30,DATA!A60:A88),""))),
"")
))</f>
        <v/>
      </c>
      <c r="O61" s="60" t="str">
        <f ca="1">IF(OR(ISBLANK(#REF!), M61="Completed", M61="Closed", H61&lt;&gt;"Issue"), "",
   (NETWORKDAYS.INTL(TODAY(), N61, 1, DATA!A60:A88) - 1))</f>
        <v/>
      </c>
      <c r="P61" s="78" t="str">
        <f t="shared" ca="1" si="0"/>
        <v/>
      </c>
      <c r="Q61" s="62" t="str">
        <f t="shared" ca="1" si="1"/>
        <v/>
      </c>
    </row>
    <row r="62" spans="1:17" x14ac:dyDescent="0.3">
      <c r="A62" s="93">
        <v>60</v>
      </c>
      <c r="B62" s="57"/>
      <c r="C62" s="57"/>
      <c r="D62" s="57"/>
      <c r="E62" s="57"/>
      <c r="F62" s="57"/>
      <c r="G62" s="57"/>
      <c r="H62" s="57"/>
      <c r="I62" s="57"/>
      <c r="J62" s="100"/>
      <c r="K62" s="100"/>
      <c r="L62" s="100"/>
      <c r="M62" s="57"/>
      <c r="N62" s="59" t="str">
        <f>IF(ISBLANK(J62),"",IF(OR(M62="Completed",M62="Closed"),"",IF(H62="Issue",IF(I62="High",WORKDAY(J62,2,DATA!A61:A89),IF(I62="Medium",WORKDAY(J62,14,DATA!A61:A89),IF(OR(I62="Low"),WORKDAY(J62,30,DATA!A61:A89),""))),
"")
))</f>
        <v/>
      </c>
      <c r="O62" s="60" t="str">
        <f ca="1">IF(OR(ISBLANK(#REF!), M62="Completed", M62="Closed", H62&lt;&gt;"Issue"), "",
   (NETWORKDAYS.INTL(TODAY(), N62, 1, DATA!A61:A89) - 1))</f>
        <v/>
      </c>
      <c r="P62" s="78" t="str">
        <f t="shared" ca="1" si="0"/>
        <v/>
      </c>
      <c r="Q62" s="62" t="str">
        <f t="shared" ca="1" si="1"/>
        <v/>
      </c>
    </row>
    <row r="63" spans="1:17" x14ac:dyDescent="0.3">
      <c r="A63" s="93">
        <v>61</v>
      </c>
      <c r="B63" s="57"/>
      <c r="C63" s="57"/>
      <c r="D63" s="57"/>
      <c r="E63" s="57"/>
      <c r="F63" s="57"/>
      <c r="G63" s="57"/>
      <c r="H63" s="57"/>
      <c r="I63" s="57"/>
      <c r="J63" s="100"/>
      <c r="K63" s="101"/>
      <c r="L63" s="101"/>
      <c r="M63" s="57"/>
      <c r="N63" s="59" t="str">
        <f>IF(ISBLANK(J63),"",IF(OR(M63="Completed",M63="Closed"),"",IF(H63="Issue",IF(I63="High",WORKDAY(J63,2,DATA!A62:A90),IF(I63="Medium",WORKDAY(J63,14,DATA!A62:A90),IF(OR(I63="Low"),WORKDAY(J63,30,DATA!A62:A90),""))),
"")
))</f>
        <v/>
      </c>
      <c r="O63" s="60" t="str">
        <f ca="1">IF(OR(ISBLANK(#REF!), M63="Completed", M63="Closed", H63&lt;&gt;"Issue"), "",
   (NETWORKDAYS.INTL(TODAY(), N63, 1, DATA!A62:A90) - 1))</f>
        <v/>
      </c>
      <c r="P63" s="78" t="str">
        <f t="shared" ca="1" si="0"/>
        <v/>
      </c>
      <c r="Q63" s="62" t="str">
        <f t="shared" ca="1" si="1"/>
        <v/>
      </c>
    </row>
    <row r="64" spans="1:17" x14ac:dyDescent="0.3">
      <c r="A64" s="93">
        <v>62</v>
      </c>
      <c r="B64" s="57"/>
      <c r="C64" s="57"/>
      <c r="D64" s="57"/>
      <c r="E64" s="57"/>
      <c r="F64" s="57"/>
      <c r="G64" s="57"/>
      <c r="H64" s="57"/>
      <c r="I64" s="57"/>
      <c r="J64" s="100"/>
      <c r="K64" s="101"/>
      <c r="L64" s="101"/>
      <c r="M64" s="57"/>
      <c r="N64" s="59" t="str">
        <f>IF(ISBLANK(J64),"",IF(OR(M64="Completed",M64="Closed"),"",IF(H64="Issue",IF(I64="High",WORKDAY(J64,2,DATA!A63:A91),IF(I64="Medium",WORKDAY(J64,14,DATA!A63:A91),IF(OR(I64="Low"),WORKDAY(J64,30,DATA!A63:A91),""))),
"")
))</f>
        <v/>
      </c>
      <c r="O64" s="60" t="str">
        <f ca="1">IF(OR(ISBLANK(#REF!), M64="Completed", M64="Closed", H64&lt;&gt;"Issue"), "",
   (NETWORKDAYS.INTL(TODAY(), N64, 1, DATA!A63:A91) - 1))</f>
        <v/>
      </c>
      <c r="P64" s="78" t="str">
        <f t="shared" ca="1" si="0"/>
        <v/>
      </c>
      <c r="Q64" s="62" t="str">
        <f t="shared" ca="1" si="1"/>
        <v/>
      </c>
    </row>
    <row r="65" spans="1:17" x14ac:dyDescent="0.3">
      <c r="A65" s="93">
        <v>63</v>
      </c>
      <c r="B65" s="57"/>
      <c r="C65" s="57"/>
      <c r="D65" s="57"/>
      <c r="E65" s="57"/>
      <c r="F65" s="57"/>
      <c r="G65" s="57"/>
      <c r="H65" s="57"/>
      <c r="I65" s="57"/>
      <c r="J65" s="100"/>
      <c r="K65" s="100"/>
      <c r="L65" s="100"/>
      <c r="M65" s="57"/>
      <c r="N65" s="59" t="str">
        <f>IF(ISBLANK(J65),"",IF(OR(M65="Completed",M65="Closed"),"",IF(H65="Issue",IF(I65="High",WORKDAY(J65,2,DATA!A64:A92),IF(I65="Medium",WORKDAY(J65,14,DATA!A64:A92),IF(OR(I65="Low"),WORKDAY(J65,30,DATA!A64:A92),""))),
"")
))</f>
        <v/>
      </c>
      <c r="O65" s="60" t="str">
        <f ca="1">IF(OR(ISBLANK(#REF!), M65="Completed", M65="Closed", H65&lt;&gt;"Issue"), "",
   (NETWORKDAYS.INTL(TODAY(), N65, 1, DATA!A64:A92) - 1))</f>
        <v/>
      </c>
      <c r="P65" s="78" t="str">
        <f t="shared" ca="1" si="0"/>
        <v/>
      </c>
      <c r="Q65" s="62" t="str">
        <f t="shared" ca="1" si="1"/>
        <v/>
      </c>
    </row>
    <row r="66" spans="1:17" x14ac:dyDescent="0.3">
      <c r="A66" s="93">
        <v>64</v>
      </c>
      <c r="B66" s="57"/>
      <c r="C66" s="57"/>
      <c r="D66" s="57"/>
      <c r="E66" s="57"/>
      <c r="F66" s="57"/>
      <c r="G66" s="57"/>
      <c r="H66" s="57"/>
      <c r="I66" s="57"/>
      <c r="J66" s="100"/>
      <c r="K66" s="101"/>
      <c r="L66" s="101"/>
      <c r="M66" s="57"/>
      <c r="N66" s="59" t="str">
        <f>IF(ISBLANK(J66),"",IF(OR(M66="Completed",M66="Closed"),"",IF(H66="Issue",IF(I66="High",WORKDAY(J66,2,DATA!A65:A93),IF(I66="Medium",WORKDAY(J66,14,DATA!A65:A93),IF(OR(I66="Low"),WORKDAY(J66,30,DATA!A65:A93),""))),
"")
))</f>
        <v/>
      </c>
      <c r="O66" s="60" t="str">
        <f ca="1">IF(OR(ISBLANK(#REF!), M66="Completed", M66="Closed", H66&lt;&gt;"Issue"), "",
   (NETWORKDAYS.INTL(TODAY(), N66, 1, DATA!A65:A93) - 1))</f>
        <v/>
      </c>
      <c r="P66" s="78" t="str">
        <f t="shared" ca="1" si="0"/>
        <v/>
      </c>
      <c r="Q66" s="62" t="str">
        <f t="shared" ca="1" si="1"/>
        <v/>
      </c>
    </row>
    <row r="67" spans="1:17" x14ac:dyDescent="0.3">
      <c r="A67" s="93">
        <v>65</v>
      </c>
      <c r="B67" s="57"/>
      <c r="C67" s="57"/>
      <c r="D67" s="57"/>
      <c r="E67" s="57"/>
      <c r="F67" s="57"/>
      <c r="G67" s="57"/>
      <c r="H67" s="57"/>
      <c r="I67" s="57"/>
      <c r="J67" s="100"/>
      <c r="K67" s="100"/>
      <c r="L67" s="100"/>
      <c r="M67" s="57"/>
      <c r="N67" s="59" t="str">
        <f>IF(ISBLANK(J67),"",IF(OR(M67="Completed",M67="Closed"),"",IF(H67="Issue",IF(I67="High",WORKDAY(J67,2,DATA!A66:A94),IF(I67="Medium",WORKDAY(J67,14,DATA!A66:A94),IF(OR(I67="Low"),WORKDAY(J67,30,DATA!A66:A94),""))),
"")
))</f>
        <v/>
      </c>
      <c r="O67" s="60" t="str">
        <f ca="1">IF(OR(ISBLANK(#REF!), M67="Completed", M67="Closed", H67&lt;&gt;"Issue"), "",
   (NETWORKDAYS.INTL(TODAY(), N67, 1, DATA!A66:A94) - 1))</f>
        <v/>
      </c>
      <c r="P67" s="78" t="str">
        <f t="shared" ca="1" si="0"/>
        <v/>
      </c>
      <c r="Q67" s="62" t="str">
        <f t="shared" ca="1" si="1"/>
        <v/>
      </c>
    </row>
    <row r="68" spans="1:17" x14ac:dyDescent="0.3">
      <c r="A68" s="93">
        <v>66</v>
      </c>
      <c r="B68" s="57"/>
      <c r="C68" s="57"/>
      <c r="D68" s="57"/>
      <c r="E68" s="57"/>
      <c r="F68" s="57"/>
      <c r="G68" s="57"/>
      <c r="H68" s="57"/>
      <c r="I68" s="57"/>
      <c r="J68" s="100"/>
      <c r="K68" s="101"/>
      <c r="L68" s="101"/>
      <c r="M68" s="57"/>
      <c r="N68" s="59" t="str">
        <f>IF(ISBLANK(J68),"",IF(OR(M68="Completed",M68="Closed"),"",IF(H68="Issue",IF(I68="High",WORKDAY(J68,2,DATA!A67:A95),IF(I68="Medium",WORKDAY(J68,14,DATA!A67:A95),IF(OR(I68="Low"),WORKDAY(J68,30,DATA!A67:A95),""))),
"")
))</f>
        <v/>
      </c>
      <c r="O68" s="60" t="str">
        <f ca="1">IF(OR(ISBLANK(#REF!), M68="Completed", M68="Closed", H68&lt;&gt;"Issue"), "",
   (NETWORKDAYS.INTL(TODAY(), N68, 1, DATA!A67:A95) - 1))</f>
        <v/>
      </c>
      <c r="P68" s="78" t="str">
        <f t="shared" ref="P68:P131" ca="1" si="4">IF(O68="","",LEFT(O68,10)*(-1))</f>
        <v/>
      </c>
      <c r="Q68" s="62" t="str">
        <f t="shared" ref="Q68:Q131" ca="1" si="5">IF(P68="","",
IF(P68&lt;=30,"1-30 Days",
IF(AND(P68&gt;=31,P68&lt;=60),"31-60 Days",
"&gt;60 Days")))</f>
        <v/>
      </c>
    </row>
    <row r="69" spans="1:17" x14ac:dyDescent="0.3">
      <c r="A69" s="93">
        <v>67</v>
      </c>
      <c r="B69" s="57"/>
      <c r="C69" s="57"/>
      <c r="D69" s="57"/>
      <c r="E69" s="57"/>
      <c r="F69" s="57"/>
      <c r="G69" s="57"/>
      <c r="H69" s="57"/>
      <c r="I69" s="57"/>
      <c r="J69" s="100"/>
      <c r="K69" s="100"/>
      <c r="L69" s="100"/>
      <c r="M69" s="57"/>
      <c r="N69" s="59" t="str">
        <f>IF(ISBLANK(J69),"",IF(OR(M69="Completed",M69="Closed"),"",IF(H69="Issue",IF(I69="High",WORKDAY(J69,2,DATA!A68:A96),IF(I69="Medium",WORKDAY(J69,14,DATA!A68:A96),IF(OR(I69="Low"),WORKDAY(J69,30,DATA!A68:A96),""))),
"")
))</f>
        <v/>
      </c>
      <c r="O69" s="60" t="str">
        <f ca="1">IF(OR(ISBLANK(#REF!), M69="Completed", M69="Closed", H69&lt;&gt;"Issue"), "",
   (NETWORKDAYS.INTL(TODAY(), N69, 1, DATA!A68:A96) - 1))</f>
        <v/>
      </c>
      <c r="P69" s="78" t="str">
        <f t="shared" ca="1" si="4"/>
        <v/>
      </c>
      <c r="Q69" s="62" t="str">
        <f t="shared" ca="1" si="5"/>
        <v/>
      </c>
    </row>
    <row r="70" spans="1:17" x14ac:dyDescent="0.3">
      <c r="A70" s="93">
        <v>68</v>
      </c>
      <c r="B70" s="57"/>
      <c r="C70" s="57"/>
      <c r="D70" s="57"/>
      <c r="E70" s="57"/>
      <c r="F70" s="57"/>
      <c r="G70" s="57"/>
      <c r="H70" s="57"/>
      <c r="I70" s="57"/>
      <c r="J70" s="100"/>
      <c r="K70" s="100"/>
      <c r="L70" s="100"/>
      <c r="M70" s="57"/>
      <c r="N70" s="59" t="str">
        <f>IF(ISBLANK(J70),"",IF(OR(M70="Completed",M70="Closed"),"",IF(H70="Issue",IF(I70="High",WORKDAY(J70,2,DATA!A69:A97),IF(I70="Medium",WORKDAY(J70,14,DATA!A69:A97),IF(OR(I70="Low"),WORKDAY(J70,30,DATA!A69:A97),""))),
"")
))</f>
        <v/>
      </c>
      <c r="O70" s="60" t="str">
        <f ca="1">IF(OR(ISBLANK(#REF!), M70="Completed", M70="Closed", H70&lt;&gt;"Issue"), "",
   (NETWORKDAYS.INTL(TODAY(), N70, 1, DATA!A69:A97) - 1))</f>
        <v/>
      </c>
      <c r="P70" s="78" t="str">
        <f t="shared" ca="1" si="4"/>
        <v/>
      </c>
      <c r="Q70" s="62" t="str">
        <f t="shared" ca="1" si="5"/>
        <v/>
      </c>
    </row>
    <row r="71" spans="1:17" x14ac:dyDescent="0.3">
      <c r="A71" s="93">
        <v>69</v>
      </c>
      <c r="B71" s="57"/>
      <c r="C71" s="57"/>
      <c r="D71" s="57"/>
      <c r="E71" s="57"/>
      <c r="F71" s="57"/>
      <c r="G71" s="57"/>
      <c r="H71" s="57"/>
      <c r="I71" s="57"/>
      <c r="J71" s="100"/>
      <c r="K71" s="100"/>
      <c r="L71" s="100"/>
      <c r="M71" s="57"/>
      <c r="N71" s="59" t="str">
        <f>IF(ISBLANK(J71),"",IF(OR(M71="Completed",M71="Closed"),"",IF(H71="Issue",IF(I71="High",WORKDAY(J71,2,DATA!A70:A98),IF(I71="Medium",WORKDAY(J71,14,DATA!A70:A98),IF(OR(I71="Low"),WORKDAY(J71,30,DATA!A70:A98),""))),
"")
))</f>
        <v/>
      </c>
      <c r="O71" s="60" t="str">
        <f ca="1">IF(OR(ISBLANK(#REF!), M71="Completed", M71="Closed", H71&lt;&gt;"Issue"), "",
   (NETWORKDAYS.INTL(TODAY(), N71, 1, DATA!A70:A98) - 1))</f>
        <v/>
      </c>
      <c r="P71" s="78" t="str">
        <f t="shared" ca="1" si="4"/>
        <v/>
      </c>
      <c r="Q71" s="62" t="str">
        <f t="shared" ca="1" si="5"/>
        <v/>
      </c>
    </row>
    <row r="72" spans="1:17" x14ac:dyDescent="0.3">
      <c r="A72" s="93">
        <v>70</v>
      </c>
      <c r="B72" s="57"/>
      <c r="C72" s="57"/>
      <c r="D72" s="57"/>
      <c r="E72" s="57"/>
      <c r="F72" s="57"/>
      <c r="G72" s="57"/>
      <c r="H72" s="57"/>
      <c r="I72" s="57"/>
      <c r="J72" s="100"/>
      <c r="K72" s="101"/>
      <c r="L72" s="101"/>
      <c r="M72" s="57"/>
      <c r="N72" s="59" t="str">
        <f>IF(ISBLANK(J72),"",IF(OR(M72="Completed",M72="Closed"),"",IF(H72="Issue",IF(I72="High",WORKDAY(J72,2,DATA!A71:A99),IF(I72="Medium",WORKDAY(J72,14,DATA!A71:A99),IF(OR(I72="Low"),WORKDAY(J72,30,DATA!A71:A99),""))),
"")
))</f>
        <v/>
      </c>
      <c r="O72" s="60" t="str">
        <f ca="1">IF(OR(ISBLANK(#REF!), M72="Completed", M72="Closed", H72&lt;&gt;"Issue"), "",
   (NETWORKDAYS.INTL(TODAY(), N72, 1, DATA!A71:A99) - 1))</f>
        <v/>
      </c>
      <c r="P72" s="78" t="str">
        <f t="shared" ca="1" si="4"/>
        <v/>
      </c>
      <c r="Q72" s="62" t="str">
        <f t="shared" ca="1" si="5"/>
        <v/>
      </c>
    </row>
    <row r="73" spans="1:17" x14ac:dyDescent="0.3">
      <c r="A73" s="93">
        <v>71</v>
      </c>
      <c r="B73" s="57"/>
      <c r="C73" s="57"/>
      <c r="D73" s="57"/>
      <c r="E73" s="57"/>
      <c r="F73" s="57"/>
      <c r="G73" s="57"/>
      <c r="H73" s="57"/>
      <c r="I73" s="57"/>
      <c r="J73" s="100"/>
      <c r="K73" s="101"/>
      <c r="L73" s="101"/>
      <c r="M73" s="57"/>
      <c r="N73" s="59" t="str">
        <f>IF(ISBLANK(J73),"",IF(OR(M73="Completed",M73="Closed"),"",IF(H73="Issue",IF(I73="High",WORKDAY(J73,2,DATA!A72:A100),IF(I73="Medium",WORKDAY(J73,14,DATA!A72:A100),IF(OR(I73="Low"),WORKDAY(J73,30,DATA!A72:A100),""))),
"")
))</f>
        <v/>
      </c>
      <c r="O73" s="60" t="str">
        <f ca="1">IF(OR(ISBLANK(#REF!), M73="Completed", M73="Closed", H73&lt;&gt;"Issue"), "",
   (NETWORKDAYS.INTL(TODAY(), N73, 1, DATA!A72:A100) - 1))</f>
        <v/>
      </c>
      <c r="P73" s="78" t="str">
        <f t="shared" ca="1" si="4"/>
        <v/>
      </c>
      <c r="Q73" s="62" t="str">
        <f t="shared" ca="1" si="5"/>
        <v/>
      </c>
    </row>
    <row r="74" spans="1:17" x14ac:dyDescent="0.3">
      <c r="A74" s="93">
        <v>72</v>
      </c>
      <c r="B74" s="57"/>
      <c r="C74" s="57"/>
      <c r="D74" s="57"/>
      <c r="E74" s="57"/>
      <c r="F74" s="57"/>
      <c r="G74" s="57"/>
      <c r="H74" s="57"/>
      <c r="I74" s="57"/>
      <c r="J74" s="100"/>
      <c r="K74" s="100"/>
      <c r="L74" s="100"/>
      <c r="M74" s="57"/>
      <c r="N74" s="59" t="str">
        <f>IF(ISBLANK(J74),"",IF(OR(M74="Completed",M74="Closed"),"",IF(H74="Issue",IF(I74="High",WORKDAY(J74,2,DATA!A73:A101),IF(I74="Medium",WORKDAY(J74,14,DATA!A73:A101),IF(OR(I74="Low"),WORKDAY(J74,30,DATA!A73:A101),""))),
"")
))</f>
        <v/>
      </c>
      <c r="O74" s="60" t="str">
        <f ca="1">IF(OR(ISBLANK(#REF!), M74="Completed", M74="Closed", H74&lt;&gt;"Issue"), "",
   (NETWORKDAYS.INTL(TODAY(), N74, 1, DATA!A73:A101) - 1))</f>
        <v/>
      </c>
      <c r="P74" s="78" t="str">
        <f t="shared" ca="1" si="4"/>
        <v/>
      </c>
      <c r="Q74" s="62" t="str">
        <f t="shared" ca="1" si="5"/>
        <v/>
      </c>
    </row>
    <row r="75" spans="1:17" x14ac:dyDescent="0.3">
      <c r="A75" s="93">
        <v>73</v>
      </c>
      <c r="B75" s="57"/>
      <c r="C75" s="57"/>
      <c r="D75" s="57"/>
      <c r="E75" s="57"/>
      <c r="F75" s="57"/>
      <c r="G75" s="57"/>
      <c r="H75" s="57"/>
      <c r="I75" s="57"/>
      <c r="J75" s="100"/>
      <c r="K75" s="101"/>
      <c r="L75" s="101"/>
      <c r="M75" s="57"/>
      <c r="N75" s="59" t="str">
        <f>IF(ISBLANK(J75),"",IF(OR(M75="Completed",M75="Closed"),"",IF(H75="Issue",IF(I75="High",WORKDAY(J75,2,DATA!A74:A102),IF(I75="Medium",WORKDAY(J75,14,DATA!A74:A102),IF(OR(I75="Low"),WORKDAY(J75,30,DATA!A74:A102),""))),
"")
))</f>
        <v/>
      </c>
      <c r="O75" s="60" t="str">
        <f ca="1">IF(OR(ISBLANK(#REF!), M75="Completed", M75="Closed", H75&lt;&gt;"Issue"), "",
   (NETWORKDAYS.INTL(TODAY(), N75, 1, DATA!A74:A102) - 1))</f>
        <v/>
      </c>
      <c r="P75" s="78" t="str">
        <f t="shared" ca="1" si="4"/>
        <v/>
      </c>
      <c r="Q75" s="62" t="str">
        <f t="shared" ca="1" si="5"/>
        <v/>
      </c>
    </row>
    <row r="76" spans="1:17" x14ac:dyDescent="0.3">
      <c r="A76" s="93">
        <v>74</v>
      </c>
      <c r="B76" s="57"/>
      <c r="C76" s="57"/>
      <c r="D76" s="57"/>
      <c r="E76" s="57"/>
      <c r="F76" s="57"/>
      <c r="G76" s="57"/>
      <c r="H76" s="57"/>
      <c r="I76" s="57"/>
      <c r="J76" s="100"/>
      <c r="K76" s="101"/>
      <c r="L76" s="101"/>
      <c r="M76" s="57"/>
      <c r="N76" s="59" t="str">
        <f>IF(ISBLANK(J76),"",IF(OR(M76="Completed",M76="Closed"),"",IF(H76="Issue",IF(I76="High",WORKDAY(J76,2,DATA!A75:A103),IF(I76="Medium",WORKDAY(J76,14,DATA!A75:A103),IF(OR(I76="Low"),WORKDAY(J76,30,DATA!A75:A103),""))),
"")
))</f>
        <v/>
      </c>
      <c r="O76" s="60" t="str">
        <f ca="1">IF(OR(ISBLANK(#REF!), M76="Completed", M76="Closed", H76&lt;&gt;"Issue"), "",
   (NETWORKDAYS.INTL(TODAY(), N76, 1, DATA!A75:A103) - 1))</f>
        <v/>
      </c>
      <c r="P76" s="78" t="str">
        <f t="shared" ca="1" si="4"/>
        <v/>
      </c>
      <c r="Q76" s="62" t="str">
        <f t="shared" ca="1" si="5"/>
        <v/>
      </c>
    </row>
    <row r="77" spans="1:17" x14ac:dyDescent="0.3">
      <c r="A77" s="93">
        <v>75</v>
      </c>
      <c r="B77" s="57"/>
      <c r="C77" s="57"/>
      <c r="D77" s="57"/>
      <c r="E77" s="57"/>
      <c r="F77" s="57"/>
      <c r="G77" s="57"/>
      <c r="H77" s="57"/>
      <c r="I77" s="57"/>
      <c r="J77" s="100"/>
      <c r="K77" s="100"/>
      <c r="L77" s="101"/>
      <c r="M77" s="57"/>
      <c r="N77" s="59" t="str">
        <f>IF(ISBLANK(J77),"",IF(OR(M77="Completed",M77="Closed"),"",IF(H77="Issue",IF(I77="High",WORKDAY(J77,2,DATA!A76:A104),IF(I77="Medium",WORKDAY(J77,14,DATA!A76:A104),IF(OR(I77="Low"),WORKDAY(J77,30,DATA!A76:A104),""))),
"")
))</f>
        <v/>
      </c>
      <c r="O77" s="60" t="str">
        <f ca="1">IF(OR(ISBLANK(#REF!), M77="Completed", M77="Closed", H77&lt;&gt;"Issue"), "",
   (NETWORKDAYS.INTL(TODAY(), N77, 1, DATA!A76:A104) - 1))</f>
        <v/>
      </c>
      <c r="P77" s="78" t="str">
        <f t="shared" ca="1" si="4"/>
        <v/>
      </c>
      <c r="Q77" s="62" t="str">
        <f t="shared" ca="1" si="5"/>
        <v/>
      </c>
    </row>
    <row r="78" spans="1:17" x14ac:dyDescent="0.3">
      <c r="A78" s="93">
        <v>76</v>
      </c>
      <c r="B78" s="57"/>
      <c r="C78" s="57"/>
      <c r="D78" s="57"/>
      <c r="E78" s="57"/>
      <c r="F78" s="57"/>
      <c r="G78" s="57"/>
      <c r="H78" s="57"/>
      <c r="I78" s="57"/>
      <c r="J78" s="100"/>
      <c r="K78" s="100"/>
      <c r="L78" s="100"/>
      <c r="M78" s="57"/>
      <c r="N78" s="59" t="str">
        <f>IF(ISBLANK(J78),"",IF(OR(M78="Completed",M78="Closed"),"",IF(H78="Issue",IF(I78="High",WORKDAY(J78,2,DATA!A77:A105),IF(I78="Medium",WORKDAY(J78,14,DATA!A77:A105),IF(OR(I78="Low"),WORKDAY(J78,30,DATA!A77:A105),""))),
"")
))</f>
        <v/>
      </c>
      <c r="O78" s="60" t="str">
        <f ca="1">IF(OR(ISBLANK(#REF!), M78="Completed", M78="Closed", H78&lt;&gt;"Issue"), "",
   (NETWORKDAYS.INTL(TODAY(), N78, 1, DATA!A77:A105) - 1))</f>
        <v/>
      </c>
      <c r="P78" s="78" t="str">
        <f t="shared" ca="1" si="4"/>
        <v/>
      </c>
      <c r="Q78" s="62" t="str">
        <f t="shared" ca="1" si="5"/>
        <v/>
      </c>
    </row>
    <row r="79" spans="1:17" x14ac:dyDescent="0.3">
      <c r="A79" s="93">
        <v>77</v>
      </c>
      <c r="B79" s="57"/>
      <c r="C79" s="57"/>
      <c r="D79" s="57"/>
      <c r="E79" s="57"/>
      <c r="F79" s="57"/>
      <c r="G79" s="57"/>
      <c r="H79" s="57"/>
      <c r="I79" s="57"/>
      <c r="J79" s="100"/>
      <c r="K79" s="100"/>
      <c r="L79" s="100"/>
      <c r="M79" s="57"/>
      <c r="N79" s="59" t="str">
        <f>IF(ISBLANK(J79),"",IF(OR(M79="Completed",M79="Closed"),"",IF(H79="Issue",IF(I79="High",WORKDAY(J79,2,DATA!A78:A106),IF(I79="Medium",WORKDAY(J79,14,DATA!A78:A106),IF(OR(I79="Low"),WORKDAY(J79,30,DATA!A78:A106),""))),
"")
))</f>
        <v/>
      </c>
      <c r="O79" s="60" t="str">
        <f ca="1">IF(OR(ISBLANK(#REF!), M79="Completed", M79="Closed", H79&lt;&gt;"Issue"), "",
   (NETWORKDAYS.INTL(TODAY(), N79, 1, DATA!A78:A106) - 1))</f>
        <v/>
      </c>
      <c r="P79" s="78" t="str">
        <f t="shared" ca="1" si="4"/>
        <v/>
      </c>
      <c r="Q79" s="62" t="str">
        <f t="shared" ca="1" si="5"/>
        <v/>
      </c>
    </row>
    <row r="80" spans="1:17" x14ac:dyDescent="0.3">
      <c r="A80" s="93">
        <v>78</v>
      </c>
      <c r="B80" s="57"/>
      <c r="C80" s="57"/>
      <c r="D80" s="57"/>
      <c r="E80" s="57"/>
      <c r="F80" s="57"/>
      <c r="G80" s="57"/>
      <c r="H80" s="57"/>
      <c r="I80" s="57"/>
      <c r="J80" s="100"/>
      <c r="K80" s="100"/>
      <c r="L80" s="100"/>
      <c r="M80" s="57"/>
      <c r="N80" s="59" t="str">
        <f>IF(ISBLANK(J80),"",IF(OR(M80="Completed",M80="Closed"),"",IF(H80="Issue",IF(I80="High",WORKDAY(J80,2,DATA!A79:A107),IF(I80="Medium",WORKDAY(J80,14,DATA!A79:A107),IF(OR(I80="Low"),WORKDAY(J80,30,DATA!A79:A107),""))),
"")
))</f>
        <v/>
      </c>
      <c r="O80" s="60" t="str">
        <f ca="1">IF(OR(ISBLANK(#REF!), M80="Completed", M80="Closed", H80&lt;&gt;"Issue"), "",
   (NETWORKDAYS.INTL(TODAY(), N80, 1, DATA!A79:A107) - 1))</f>
        <v/>
      </c>
      <c r="P80" s="78" t="str">
        <f t="shared" ca="1" si="4"/>
        <v/>
      </c>
      <c r="Q80" s="62" t="str">
        <f t="shared" ca="1" si="5"/>
        <v/>
      </c>
    </row>
    <row r="81" spans="1:17" x14ac:dyDescent="0.3">
      <c r="A81" s="93">
        <v>79</v>
      </c>
      <c r="B81" s="57"/>
      <c r="C81" s="57"/>
      <c r="D81" s="57"/>
      <c r="E81" s="57"/>
      <c r="F81" s="57"/>
      <c r="G81" s="57"/>
      <c r="H81" s="57"/>
      <c r="I81" s="57"/>
      <c r="J81" s="100"/>
      <c r="K81" s="100"/>
      <c r="L81" s="101"/>
      <c r="M81" s="57"/>
      <c r="N81" s="59" t="str">
        <f>IF(ISBLANK(J81),"",IF(OR(M81="Completed",M81="Closed"),"",IF(H81="Issue",IF(I81="High",WORKDAY(J81,2,DATA!A80:A108),IF(I81="Medium",WORKDAY(J81,14,DATA!A80:A108),IF(OR(I81="Low"),WORKDAY(J81,30,DATA!A80:A108),""))),
"")
))</f>
        <v/>
      </c>
      <c r="O81" s="60" t="str">
        <f ca="1">IF(OR(ISBLANK(#REF!), M81="Completed", M81="Closed", H81&lt;&gt;"Issue"), "",
   (NETWORKDAYS.INTL(TODAY(), N81, 1, DATA!A80:A108) - 1))</f>
        <v/>
      </c>
      <c r="P81" s="78" t="str">
        <f t="shared" ca="1" si="4"/>
        <v/>
      </c>
      <c r="Q81" s="62" t="str">
        <f t="shared" ca="1" si="5"/>
        <v/>
      </c>
    </row>
    <row r="82" spans="1:17" x14ac:dyDescent="0.3">
      <c r="A82" s="93">
        <v>80</v>
      </c>
      <c r="B82" s="57"/>
      <c r="C82" s="57"/>
      <c r="D82" s="57"/>
      <c r="E82" s="57"/>
      <c r="F82" s="57"/>
      <c r="G82" s="57"/>
      <c r="H82" s="57"/>
      <c r="I82" s="57"/>
      <c r="J82" s="100"/>
      <c r="K82" s="100"/>
      <c r="L82" s="100"/>
      <c r="M82" s="57"/>
      <c r="N82" s="59" t="str">
        <f>IF(ISBLANK(J82),"",IF(OR(M82="Completed",M82="Closed"),"",IF(H82="Issue",IF(I82="High",WORKDAY(J82,2,DATA!A81:A109),IF(I82="Medium",WORKDAY(J82,14,DATA!A81:A109),IF(OR(I82="Low"),WORKDAY(J82,30,DATA!A81:A109),""))),
"")
))</f>
        <v/>
      </c>
      <c r="O82" s="60" t="str">
        <f ca="1">IF(OR(ISBLANK(#REF!), M82="Completed", M82="Closed", H82&lt;&gt;"Issue"), "",
   (NETWORKDAYS.INTL(TODAY(), N82, 1, DATA!A81:A109) - 1))</f>
        <v/>
      </c>
      <c r="P82" s="78" t="str">
        <f t="shared" ca="1" si="4"/>
        <v/>
      </c>
      <c r="Q82" s="62" t="str">
        <f t="shared" ca="1" si="5"/>
        <v/>
      </c>
    </row>
    <row r="83" spans="1:17" x14ac:dyDescent="0.3">
      <c r="A83" s="93">
        <v>81</v>
      </c>
      <c r="B83" s="57"/>
      <c r="C83" s="57"/>
      <c r="D83" s="57"/>
      <c r="E83" s="57"/>
      <c r="F83" s="57"/>
      <c r="G83" s="57"/>
      <c r="H83" s="57"/>
      <c r="I83" s="57"/>
      <c r="J83" s="100"/>
      <c r="K83" s="101"/>
      <c r="L83" s="101"/>
      <c r="M83" s="57"/>
      <c r="N83" s="59" t="str">
        <f>IF(ISBLANK(J83),"",IF(OR(M83="Completed",M83="Closed"),"",IF(H83="Issue",IF(I83="High",WORKDAY(J83,2,DATA!A82:A110),IF(I83="Medium",WORKDAY(J83,14,DATA!A82:A110),IF(OR(I83="Low"),WORKDAY(J83,30,DATA!A82:A110),""))),
"")
))</f>
        <v/>
      </c>
      <c r="O83" s="60" t="str">
        <f ca="1">IF(OR(ISBLANK(#REF!), M83="Completed", M83="Closed", H83&lt;&gt;"Issue"), "",
   (NETWORKDAYS.INTL(TODAY(), N83, 1, DATA!A82:A110) - 1))</f>
        <v/>
      </c>
      <c r="P83" s="78" t="str">
        <f t="shared" ca="1" si="4"/>
        <v/>
      </c>
      <c r="Q83" s="62" t="str">
        <f t="shared" ca="1" si="5"/>
        <v/>
      </c>
    </row>
    <row r="84" spans="1:17" x14ac:dyDescent="0.3">
      <c r="A84" s="93">
        <v>82</v>
      </c>
      <c r="B84" s="57"/>
      <c r="C84" s="57"/>
      <c r="D84" s="57"/>
      <c r="E84" s="57"/>
      <c r="F84" s="57"/>
      <c r="G84" s="57"/>
      <c r="H84" s="57"/>
      <c r="I84" s="57"/>
      <c r="J84" s="100"/>
      <c r="K84" s="101"/>
      <c r="L84" s="101"/>
      <c r="M84" s="57"/>
      <c r="N84" s="59" t="str">
        <f>IF(ISBLANK(J84),"",IF(OR(M84="Completed",M84="Closed"),"",IF(H84="Issue",IF(I84="High",WORKDAY(J84,2,DATA!A83:A111),IF(I84="Medium",WORKDAY(J84,14,DATA!A83:A111),IF(OR(I84="Low"),WORKDAY(J84,30,DATA!A83:A111),""))),
"")
))</f>
        <v/>
      </c>
      <c r="O84" s="60" t="str">
        <f ca="1">IF(OR(ISBLANK(#REF!), M84="Completed", M84="Closed", H84&lt;&gt;"Issue"), "",
   (NETWORKDAYS.INTL(TODAY(), N84, 1, DATA!A83:A111) - 1))</f>
        <v/>
      </c>
      <c r="P84" s="78" t="str">
        <f t="shared" ca="1" si="4"/>
        <v/>
      </c>
      <c r="Q84" s="62" t="str">
        <f t="shared" ca="1" si="5"/>
        <v/>
      </c>
    </row>
    <row r="85" spans="1:17" x14ac:dyDescent="0.3">
      <c r="A85" s="93">
        <v>83</v>
      </c>
      <c r="B85" s="57"/>
      <c r="C85" s="57"/>
      <c r="D85" s="57"/>
      <c r="E85" s="57"/>
      <c r="F85" s="57"/>
      <c r="G85" s="57"/>
      <c r="H85" s="57"/>
      <c r="I85" s="57"/>
      <c r="J85" s="100"/>
      <c r="K85" s="101"/>
      <c r="L85" s="101"/>
      <c r="M85" s="57"/>
      <c r="N85" s="59" t="str">
        <f>IF(ISBLANK(J85),"",IF(OR(M85="Completed",M85="Closed"),"",IF(H85="Issue",IF(I85="High",WORKDAY(J85,2,DATA!A84:A112),IF(I85="Medium",WORKDAY(J85,14,DATA!A84:A112),IF(OR(I85="Low"),WORKDAY(J85,30,DATA!A84:A112),""))),
"")
))</f>
        <v/>
      </c>
      <c r="O85" s="60" t="str">
        <f ca="1">IF(OR(ISBLANK(#REF!), M85="Completed", M85="Closed", H85&lt;&gt;"Issue"), "",
   (NETWORKDAYS.INTL(TODAY(), N85, 1, DATA!A84:A112) - 1))</f>
        <v/>
      </c>
      <c r="P85" s="78" t="str">
        <f t="shared" ca="1" si="4"/>
        <v/>
      </c>
      <c r="Q85" s="62" t="str">
        <f t="shared" ca="1" si="5"/>
        <v/>
      </c>
    </row>
    <row r="86" spans="1:17" x14ac:dyDescent="0.3">
      <c r="A86" s="93">
        <v>84</v>
      </c>
      <c r="B86" s="57"/>
      <c r="C86" s="57"/>
      <c r="D86" s="57"/>
      <c r="E86" s="57"/>
      <c r="F86" s="57"/>
      <c r="G86" s="57"/>
      <c r="H86" s="57"/>
      <c r="I86" s="57"/>
      <c r="J86" s="100"/>
      <c r="K86" s="101"/>
      <c r="L86" s="101"/>
      <c r="M86" s="57"/>
      <c r="N86" s="59" t="str">
        <f>IF(ISBLANK(J86),"",IF(OR(M86="Completed",M86="Closed"),"",IF(H86="Issue",IF(I86="High",WORKDAY(J86,2,DATA!A85:A113),IF(I86="Medium",WORKDAY(J86,14,DATA!A85:A113),IF(OR(I86="Low"),WORKDAY(J86,30,DATA!A85:A113),""))),
"")
))</f>
        <v/>
      </c>
      <c r="O86" s="60" t="str">
        <f ca="1">IF(OR(ISBLANK(#REF!), M86="Completed", M86="Closed", H86&lt;&gt;"Issue"), "",
   (NETWORKDAYS.INTL(TODAY(), N86, 1, DATA!A85:A113) - 1))</f>
        <v/>
      </c>
      <c r="P86" s="78" t="str">
        <f t="shared" ca="1" si="4"/>
        <v/>
      </c>
      <c r="Q86" s="62" t="str">
        <f t="shared" ca="1" si="5"/>
        <v/>
      </c>
    </row>
    <row r="87" spans="1:17" x14ac:dyDescent="0.3">
      <c r="A87" s="93">
        <v>85</v>
      </c>
      <c r="B87" s="57"/>
      <c r="C87" s="57"/>
      <c r="D87" s="57"/>
      <c r="E87" s="57"/>
      <c r="F87" s="57"/>
      <c r="G87" s="57"/>
      <c r="H87" s="57"/>
      <c r="I87" s="57"/>
      <c r="J87" s="100"/>
      <c r="K87" s="101"/>
      <c r="L87" s="101"/>
      <c r="M87" s="57"/>
      <c r="N87" s="59" t="str">
        <f>IF(ISBLANK(J87),"",IF(OR(M87="Completed",M87="Closed"),"",IF(H87="Issue",IF(I87="High",WORKDAY(J87,2,DATA!A86:A114),IF(I87="Medium",WORKDAY(J87,14,DATA!A86:A114),IF(OR(I87="Low"),WORKDAY(J87,30,DATA!A86:A114),""))),
"")
))</f>
        <v/>
      </c>
      <c r="O87" s="60" t="str">
        <f ca="1">IF(OR(ISBLANK(#REF!), M87="Completed", M87="Closed", H87&lt;&gt;"Issue"), "",
   (NETWORKDAYS.INTL(TODAY(), N87, 1, DATA!A86:A114) - 1))</f>
        <v/>
      </c>
      <c r="P87" s="78" t="str">
        <f t="shared" ca="1" si="4"/>
        <v/>
      </c>
      <c r="Q87" s="62" t="str">
        <f t="shared" ca="1" si="5"/>
        <v/>
      </c>
    </row>
    <row r="88" spans="1:17" x14ac:dyDescent="0.3">
      <c r="A88" s="93">
        <v>86</v>
      </c>
      <c r="B88" s="57"/>
      <c r="C88" s="57"/>
      <c r="D88" s="57"/>
      <c r="E88" s="57"/>
      <c r="F88" s="57"/>
      <c r="G88" s="57"/>
      <c r="H88" s="57"/>
      <c r="I88" s="57"/>
      <c r="J88" s="100"/>
      <c r="K88" s="101"/>
      <c r="L88" s="101"/>
      <c r="M88" s="57"/>
      <c r="N88" s="59" t="str">
        <f>IF(ISBLANK(J88),"",IF(OR(M88="Completed",M88="Closed"),"",IF(H88="Issue",IF(I88="High",WORKDAY(J88,2,DATA!A87:A115),IF(I88="Medium",WORKDAY(J88,14,DATA!A87:A115),IF(OR(I88="Low"),WORKDAY(J88,30,DATA!A87:A115),""))),
"")
))</f>
        <v/>
      </c>
      <c r="O88" s="60" t="str">
        <f ca="1">IF(OR(ISBLANK(#REF!), M88="Completed", M88="Closed", H88&lt;&gt;"Issue"), "",
   (NETWORKDAYS.INTL(TODAY(), N88, 1, DATA!A87:A115) - 1))</f>
        <v/>
      </c>
      <c r="P88" s="78" t="str">
        <f t="shared" ca="1" si="4"/>
        <v/>
      </c>
      <c r="Q88" s="62" t="str">
        <f t="shared" ca="1" si="5"/>
        <v/>
      </c>
    </row>
    <row r="89" spans="1:17" x14ac:dyDescent="0.3">
      <c r="A89" s="93">
        <v>87</v>
      </c>
      <c r="B89" s="57"/>
      <c r="C89" s="57"/>
      <c r="D89" s="57"/>
      <c r="E89" s="57"/>
      <c r="F89" s="57"/>
      <c r="G89" s="57"/>
      <c r="H89" s="57"/>
      <c r="I89" s="57"/>
      <c r="J89" s="100"/>
      <c r="K89" s="101"/>
      <c r="L89" s="101"/>
      <c r="M89" s="57"/>
      <c r="N89" s="59" t="str">
        <f>IF(ISBLANK(J89),"",IF(OR(M89="Completed",M89="Closed"),"",IF(H89="Issue",IF(I89="High",WORKDAY(J89,2,DATA!A88:A116),IF(I89="Medium",WORKDAY(J89,14,DATA!A88:A116),IF(OR(I89="Low"),WORKDAY(J89,30,DATA!A88:A116),""))),
"")
))</f>
        <v/>
      </c>
      <c r="O89" s="60" t="str">
        <f ca="1">IF(OR(ISBLANK(#REF!), M89="Completed", M89="Closed", H89&lt;&gt;"Issue"), "",
   (NETWORKDAYS.INTL(TODAY(), N89, 1, DATA!A88:A116) - 1))</f>
        <v/>
      </c>
      <c r="P89" s="78" t="str">
        <f t="shared" ca="1" si="4"/>
        <v/>
      </c>
      <c r="Q89" s="62" t="str">
        <f t="shared" ca="1" si="5"/>
        <v/>
      </c>
    </row>
    <row r="90" spans="1:17" x14ac:dyDescent="0.3">
      <c r="A90" s="93">
        <v>88</v>
      </c>
      <c r="B90" s="57"/>
      <c r="C90" s="57"/>
      <c r="D90" s="57"/>
      <c r="E90" s="57"/>
      <c r="F90" s="57"/>
      <c r="G90" s="57"/>
      <c r="H90" s="57"/>
      <c r="I90" s="57"/>
      <c r="J90" s="100"/>
      <c r="K90" s="101"/>
      <c r="L90" s="101"/>
      <c r="M90" s="57"/>
      <c r="N90" s="59" t="str">
        <f>IF(ISBLANK(J90),"",IF(OR(M90="Completed",M90="Closed"),"",IF(H90="Issue",IF(I90="High",WORKDAY(J90,2,DATA!A89:A117),IF(I90="Medium",WORKDAY(J90,14,DATA!A89:A117),IF(OR(I90="Low"),WORKDAY(J90,30,DATA!A89:A117),""))),
"")
))</f>
        <v/>
      </c>
      <c r="O90" s="60" t="str">
        <f ca="1">IF(OR(ISBLANK(#REF!), M90="Completed", M90="Closed", H90&lt;&gt;"Issue"), "",
   (NETWORKDAYS.INTL(TODAY(), N90, 1, DATA!A89:A117) - 1))</f>
        <v/>
      </c>
      <c r="P90" s="78" t="str">
        <f t="shared" ca="1" si="4"/>
        <v/>
      </c>
      <c r="Q90" s="62" t="str">
        <f t="shared" ca="1" si="5"/>
        <v/>
      </c>
    </row>
    <row r="91" spans="1:17" x14ac:dyDescent="0.3">
      <c r="A91" s="93">
        <v>89</v>
      </c>
      <c r="B91" s="57"/>
      <c r="C91" s="57"/>
      <c r="D91" s="57"/>
      <c r="E91" s="57"/>
      <c r="F91" s="57"/>
      <c r="G91" s="57"/>
      <c r="H91" s="57"/>
      <c r="I91" s="57"/>
      <c r="J91" s="100"/>
      <c r="K91" s="101"/>
      <c r="L91" s="101"/>
      <c r="M91" s="57"/>
      <c r="N91" s="59" t="str">
        <f>IF(ISBLANK(J91),"",IF(OR(M91="Completed",M91="Closed"),"",IF(H91="Issue",IF(I91="High",WORKDAY(J91,2,DATA!A90:A118),IF(I91="Medium",WORKDAY(J91,14,DATA!A90:A118),IF(OR(I91="Low"),WORKDAY(J91,30,DATA!A90:A118),""))),
"")
))</f>
        <v/>
      </c>
      <c r="O91" s="60" t="str">
        <f ca="1">IF(OR(ISBLANK(#REF!), M91="Completed", M91="Closed", H91&lt;&gt;"Issue"), "",
   (NETWORKDAYS.INTL(TODAY(), N91, 1, DATA!A90:A118) - 1))</f>
        <v/>
      </c>
      <c r="P91" s="78" t="str">
        <f t="shared" ca="1" si="4"/>
        <v/>
      </c>
      <c r="Q91" s="62" t="str">
        <f t="shared" ca="1" si="5"/>
        <v/>
      </c>
    </row>
    <row r="92" spans="1:17" x14ac:dyDescent="0.3">
      <c r="A92" s="93">
        <v>90</v>
      </c>
      <c r="B92" s="57"/>
      <c r="C92" s="57"/>
      <c r="D92" s="57"/>
      <c r="E92" s="57"/>
      <c r="F92" s="57"/>
      <c r="G92" s="57"/>
      <c r="H92" s="57"/>
      <c r="I92" s="57"/>
      <c r="J92" s="100"/>
      <c r="K92" s="101"/>
      <c r="L92" s="101"/>
      <c r="M92" s="57"/>
      <c r="N92" s="59" t="str">
        <f>IF(ISBLANK(J92),"",IF(OR(M92="Completed",M92="Closed"),"",IF(H92="Issue",IF(I92="High",WORKDAY(J92,2,DATA!A91:A119),IF(I92="Medium",WORKDAY(J92,14,DATA!A91:A119),IF(OR(I92="Low"),WORKDAY(J92,30,DATA!A91:A119),""))),
"")
))</f>
        <v/>
      </c>
      <c r="O92" s="60" t="str">
        <f ca="1">IF(OR(ISBLANK(#REF!), M92="Completed", M92="Closed", H92&lt;&gt;"Issue"), "",
   (NETWORKDAYS.INTL(TODAY(), N92, 1, DATA!A91:A119) - 1))</f>
        <v/>
      </c>
      <c r="P92" s="78" t="str">
        <f t="shared" ca="1" si="4"/>
        <v/>
      </c>
      <c r="Q92" s="62" t="str">
        <f t="shared" ca="1" si="5"/>
        <v/>
      </c>
    </row>
    <row r="93" spans="1:17" x14ac:dyDescent="0.3">
      <c r="A93" s="93">
        <v>91</v>
      </c>
      <c r="B93" s="57"/>
      <c r="C93" s="57"/>
      <c r="D93" s="57"/>
      <c r="E93" s="57"/>
      <c r="F93" s="57"/>
      <c r="G93" s="57"/>
      <c r="H93" s="57"/>
      <c r="I93" s="57"/>
      <c r="J93" s="100"/>
      <c r="K93" s="101"/>
      <c r="L93" s="101"/>
      <c r="M93" s="57"/>
      <c r="N93" s="59" t="str">
        <f>IF(ISBLANK(J93),"",IF(OR(M93="Completed",M93="Closed"),"",IF(H93="Issue",IF(I93="High",WORKDAY(J93,2,DATA!A92:A120),IF(I93="Medium",WORKDAY(J93,14,DATA!A92:A120),IF(OR(I93="Low"),WORKDAY(J93,30,DATA!A92:A120),""))),
"")
))</f>
        <v/>
      </c>
      <c r="O93" s="60" t="str">
        <f ca="1">IF(OR(ISBLANK(#REF!), M93="Completed", M93="Closed", H93&lt;&gt;"Issue"), "",
   (NETWORKDAYS.INTL(TODAY(), N93, 1, DATA!A92:A120) - 1))</f>
        <v/>
      </c>
      <c r="P93" s="78" t="str">
        <f t="shared" ca="1" si="4"/>
        <v/>
      </c>
      <c r="Q93" s="62" t="str">
        <f t="shared" ca="1" si="5"/>
        <v/>
      </c>
    </row>
    <row r="94" spans="1:17" x14ac:dyDescent="0.3">
      <c r="A94" s="93">
        <v>92</v>
      </c>
      <c r="B94" s="57"/>
      <c r="C94" s="57"/>
      <c r="D94" s="57"/>
      <c r="E94" s="57"/>
      <c r="F94" s="57"/>
      <c r="G94" s="57"/>
      <c r="H94" s="57"/>
      <c r="I94" s="57"/>
      <c r="J94" s="100"/>
      <c r="K94" s="101"/>
      <c r="L94" s="101"/>
      <c r="M94" s="57"/>
      <c r="N94" s="59" t="str">
        <f>IF(ISBLANK(J94),"",IF(OR(M94="Completed",M94="Closed"),"",IF(H94="Issue",IF(I94="High",WORKDAY(J94,2,DATA!A93:A121),IF(I94="Medium",WORKDAY(J94,14,DATA!A93:A121),IF(OR(I94="Low"),WORKDAY(J94,30,DATA!A93:A121),""))),
"")
))</f>
        <v/>
      </c>
      <c r="O94" s="60" t="str">
        <f ca="1">IF(OR(ISBLANK(#REF!), M94="Completed", M94="Closed", H94&lt;&gt;"Issue"), "",
   (NETWORKDAYS.INTL(TODAY(), N94, 1, DATA!A93:A121) - 1))</f>
        <v/>
      </c>
      <c r="P94" s="78" t="str">
        <f t="shared" ca="1" si="4"/>
        <v/>
      </c>
      <c r="Q94" s="62" t="str">
        <f t="shared" ca="1" si="5"/>
        <v/>
      </c>
    </row>
    <row r="95" spans="1:17" x14ac:dyDescent="0.3">
      <c r="A95" s="93">
        <v>93</v>
      </c>
      <c r="B95" s="57"/>
      <c r="C95" s="57"/>
      <c r="D95" s="57"/>
      <c r="E95" s="57"/>
      <c r="F95" s="57"/>
      <c r="G95" s="57"/>
      <c r="H95" s="57"/>
      <c r="I95" s="57"/>
      <c r="J95" s="100"/>
      <c r="K95" s="101"/>
      <c r="L95" s="101"/>
      <c r="M95" s="57"/>
      <c r="N95" s="59" t="str">
        <f>IF(ISBLANK(J95),"",IF(OR(M95="Completed",M95="Closed"),"",IF(H95="Issue",IF(I95="High",WORKDAY(J95,2,DATA!A94:A122),IF(I95="Medium",WORKDAY(J95,14,DATA!A94:A122),IF(OR(I95="Low"),WORKDAY(J95,30,DATA!A94:A122),""))),
"")
))</f>
        <v/>
      </c>
      <c r="O95" s="60" t="str">
        <f ca="1">IF(OR(ISBLANK(#REF!), M95="Completed", M95="Closed", H95&lt;&gt;"Issue"), "",
   (NETWORKDAYS.INTL(TODAY(), N95, 1, DATA!A94:A122) - 1))</f>
        <v/>
      </c>
      <c r="P95" s="78" t="str">
        <f t="shared" ca="1" si="4"/>
        <v/>
      </c>
      <c r="Q95" s="62" t="str">
        <f t="shared" ca="1" si="5"/>
        <v/>
      </c>
    </row>
    <row r="96" spans="1:17" x14ac:dyDescent="0.3">
      <c r="A96" s="93">
        <v>94</v>
      </c>
      <c r="J96" s="112"/>
      <c r="K96" s="112"/>
      <c r="L96" s="112"/>
      <c r="P96" s="78" t="str">
        <f t="shared" si="4"/>
        <v/>
      </c>
      <c r="Q96" s="62" t="str">
        <f t="shared" si="5"/>
        <v/>
      </c>
    </row>
    <row r="97" spans="1:17" x14ac:dyDescent="0.3">
      <c r="A97" s="93">
        <v>95</v>
      </c>
      <c r="J97" s="112"/>
      <c r="K97" s="112"/>
      <c r="L97" s="112"/>
      <c r="P97" s="78" t="str">
        <f t="shared" si="4"/>
        <v/>
      </c>
      <c r="Q97" s="62" t="str">
        <f t="shared" si="5"/>
        <v/>
      </c>
    </row>
    <row r="98" spans="1:17" x14ac:dyDescent="0.3">
      <c r="A98" s="93">
        <v>96</v>
      </c>
      <c r="J98" s="112"/>
      <c r="K98" s="112"/>
      <c r="L98" s="112"/>
      <c r="P98" s="78" t="str">
        <f t="shared" si="4"/>
        <v/>
      </c>
      <c r="Q98" s="62" t="str">
        <f t="shared" si="5"/>
        <v/>
      </c>
    </row>
    <row r="99" spans="1:17" x14ac:dyDescent="0.3">
      <c r="A99" s="93">
        <v>97</v>
      </c>
      <c r="J99" s="112"/>
      <c r="K99" s="112"/>
      <c r="L99" s="112"/>
      <c r="P99" s="78" t="str">
        <f t="shared" si="4"/>
        <v/>
      </c>
      <c r="Q99" s="62" t="str">
        <f t="shared" si="5"/>
        <v/>
      </c>
    </row>
    <row r="100" spans="1:17" x14ac:dyDescent="0.3">
      <c r="A100" s="93">
        <v>98</v>
      </c>
      <c r="J100" s="112"/>
      <c r="K100" s="112"/>
      <c r="L100" s="112"/>
      <c r="P100" s="78" t="str">
        <f t="shared" si="4"/>
        <v/>
      </c>
      <c r="Q100" s="62" t="str">
        <f t="shared" si="5"/>
        <v/>
      </c>
    </row>
    <row r="101" spans="1:17" x14ac:dyDescent="0.3">
      <c r="A101" s="93">
        <v>99</v>
      </c>
      <c r="J101" s="112"/>
      <c r="K101" s="112"/>
      <c r="L101" s="112"/>
      <c r="P101" s="78" t="str">
        <f t="shared" si="4"/>
        <v/>
      </c>
      <c r="Q101" s="62" t="str">
        <f t="shared" si="5"/>
        <v/>
      </c>
    </row>
    <row r="102" spans="1:17" x14ac:dyDescent="0.3">
      <c r="A102" s="93">
        <v>100</v>
      </c>
      <c r="J102" s="112"/>
      <c r="K102" s="112"/>
      <c r="L102" s="112"/>
      <c r="P102" s="78" t="str">
        <f t="shared" si="4"/>
        <v/>
      </c>
      <c r="Q102" s="62" t="str">
        <f t="shared" si="5"/>
        <v/>
      </c>
    </row>
    <row r="103" spans="1:17" x14ac:dyDescent="0.3">
      <c r="A103" s="93">
        <v>101</v>
      </c>
      <c r="J103" s="112"/>
      <c r="K103" s="112"/>
      <c r="L103" s="112"/>
      <c r="P103" s="78" t="str">
        <f t="shared" si="4"/>
        <v/>
      </c>
      <c r="Q103" s="62" t="str">
        <f t="shared" si="5"/>
        <v/>
      </c>
    </row>
    <row r="104" spans="1:17" x14ac:dyDescent="0.3">
      <c r="A104" s="93">
        <v>102</v>
      </c>
      <c r="J104" s="112"/>
      <c r="K104" s="112"/>
      <c r="L104" s="112"/>
      <c r="P104" s="78" t="str">
        <f t="shared" si="4"/>
        <v/>
      </c>
      <c r="Q104" s="62" t="str">
        <f t="shared" si="5"/>
        <v/>
      </c>
    </row>
    <row r="105" spans="1:17" x14ac:dyDescent="0.3">
      <c r="A105" s="93">
        <v>103</v>
      </c>
      <c r="J105" s="112"/>
      <c r="K105" s="112"/>
      <c r="L105" s="112"/>
      <c r="P105" s="78" t="str">
        <f t="shared" si="4"/>
        <v/>
      </c>
      <c r="Q105" s="62" t="str">
        <f t="shared" si="5"/>
        <v/>
      </c>
    </row>
    <row r="106" spans="1:17" x14ac:dyDescent="0.3">
      <c r="A106" s="93">
        <v>104</v>
      </c>
      <c r="J106" s="112"/>
      <c r="K106" s="112"/>
      <c r="L106" s="112"/>
      <c r="P106" s="78" t="str">
        <f t="shared" si="4"/>
        <v/>
      </c>
      <c r="Q106" s="62" t="str">
        <f t="shared" si="5"/>
        <v/>
      </c>
    </row>
    <row r="107" spans="1:17" x14ac:dyDescent="0.3">
      <c r="A107" s="93">
        <v>105</v>
      </c>
      <c r="J107" s="112"/>
      <c r="K107" s="112"/>
      <c r="L107" s="112"/>
      <c r="P107" s="78" t="str">
        <f t="shared" si="4"/>
        <v/>
      </c>
      <c r="Q107" s="62" t="str">
        <f t="shared" si="5"/>
        <v/>
      </c>
    </row>
    <row r="108" spans="1:17" x14ac:dyDescent="0.3">
      <c r="A108" s="93">
        <v>106</v>
      </c>
      <c r="J108" s="112"/>
      <c r="K108" s="112"/>
      <c r="L108" s="112"/>
      <c r="P108" s="78" t="str">
        <f t="shared" si="4"/>
        <v/>
      </c>
      <c r="Q108" s="62" t="str">
        <f t="shared" si="5"/>
        <v/>
      </c>
    </row>
    <row r="109" spans="1:17" x14ac:dyDescent="0.3">
      <c r="A109" s="93">
        <v>107</v>
      </c>
      <c r="J109" s="112"/>
      <c r="K109" s="112"/>
      <c r="L109" s="112"/>
      <c r="P109" s="78" t="str">
        <f t="shared" si="4"/>
        <v/>
      </c>
      <c r="Q109" s="62" t="str">
        <f t="shared" si="5"/>
        <v/>
      </c>
    </row>
    <row r="110" spans="1:17" x14ac:dyDescent="0.3">
      <c r="A110" s="93">
        <v>108</v>
      </c>
      <c r="J110" s="112"/>
      <c r="K110" s="112"/>
      <c r="L110" s="112"/>
      <c r="P110" s="78" t="str">
        <f t="shared" si="4"/>
        <v/>
      </c>
      <c r="Q110" s="62" t="str">
        <f t="shared" si="5"/>
        <v/>
      </c>
    </row>
    <row r="111" spans="1:17" x14ac:dyDescent="0.3">
      <c r="A111" s="93">
        <v>109</v>
      </c>
      <c r="P111" s="78" t="str">
        <f t="shared" si="4"/>
        <v/>
      </c>
      <c r="Q111" s="62" t="str">
        <f t="shared" si="5"/>
        <v/>
      </c>
    </row>
    <row r="112" spans="1:17" x14ac:dyDescent="0.3">
      <c r="A112" s="93">
        <v>110</v>
      </c>
      <c r="P112" s="78" t="str">
        <f t="shared" si="4"/>
        <v/>
      </c>
      <c r="Q112" s="62" t="str">
        <f t="shared" si="5"/>
        <v/>
      </c>
    </row>
    <row r="113" spans="1:17" x14ac:dyDescent="0.3">
      <c r="A113" s="93">
        <v>111</v>
      </c>
      <c r="P113" s="78" t="str">
        <f t="shared" si="4"/>
        <v/>
      </c>
      <c r="Q113" s="62" t="str">
        <f t="shared" si="5"/>
        <v/>
      </c>
    </row>
    <row r="114" spans="1:17" x14ac:dyDescent="0.3">
      <c r="A114" s="93">
        <v>112</v>
      </c>
      <c r="P114" s="78" t="str">
        <f t="shared" si="4"/>
        <v/>
      </c>
      <c r="Q114" s="62" t="str">
        <f t="shared" si="5"/>
        <v/>
      </c>
    </row>
    <row r="115" spans="1:17" x14ac:dyDescent="0.3">
      <c r="A115" s="93">
        <v>113</v>
      </c>
      <c r="P115" s="78" t="str">
        <f t="shared" si="4"/>
        <v/>
      </c>
      <c r="Q115" s="62" t="str">
        <f t="shared" si="5"/>
        <v/>
      </c>
    </row>
    <row r="116" spans="1:17" x14ac:dyDescent="0.3">
      <c r="A116" s="93">
        <v>114</v>
      </c>
      <c r="P116" s="78" t="str">
        <f t="shared" si="4"/>
        <v/>
      </c>
      <c r="Q116" s="62" t="str">
        <f t="shared" si="5"/>
        <v/>
      </c>
    </row>
    <row r="117" spans="1:17" x14ac:dyDescent="0.3">
      <c r="A117" s="93">
        <v>115</v>
      </c>
      <c r="P117" s="78" t="str">
        <f t="shared" si="4"/>
        <v/>
      </c>
      <c r="Q117" s="62" t="str">
        <f t="shared" si="5"/>
        <v/>
      </c>
    </row>
    <row r="118" spans="1:17" x14ac:dyDescent="0.3">
      <c r="A118" s="93">
        <v>116</v>
      </c>
      <c r="P118" s="78" t="str">
        <f t="shared" si="4"/>
        <v/>
      </c>
      <c r="Q118" s="62" t="str">
        <f t="shared" si="5"/>
        <v/>
      </c>
    </row>
    <row r="119" spans="1:17" x14ac:dyDescent="0.3">
      <c r="A119" s="93">
        <v>117</v>
      </c>
      <c r="P119" s="78" t="str">
        <f t="shared" si="4"/>
        <v/>
      </c>
      <c r="Q119" s="62" t="str">
        <f t="shared" si="5"/>
        <v/>
      </c>
    </row>
    <row r="120" spans="1:17" x14ac:dyDescent="0.3">
      <c r="A120" s="93">
        <v>118</v>
      </c>
      <c r="P120" s="78" t="str">
        <f t="shared" si="4"/>
        <v/>
      </c>
      <c r="Q120" s="62" t="str">
        <f t="shared" si="5"/>
        <v/>
      </c>
    </row>
    <row r="121" spans="1:17" x14ac:dyDescent="0.3">
      <c r="A121" s="93">
        <v>119</v>
      </c>
      <c r="P121" s="78" t="str">
        <f t="shared" si="4"/>
        <v/>
      </c>
      <c r="Q121" s="62" t="str">
        <f t="shared" si="5"/>
        <v/>
      </c>
    </row>
    <row r="122" spans="1:17" x14ac:dyDescent="0.3">
      <c r="A122" s="93">
        <v>120</v>
      </c>
      <c r="P122" s="78" t="str">
        <f t="shared" si="4"/>
        <v/>
      </c>
      <c r="Q122" s="62" t="str">
        <f t="shared" si="5"/>
        <v/>
      </c>
    </row>
    <row r="123" spans="1:17" x14ac:dyDescent="0.3">
      <c r="A123" s="93">
        <v>121</v>
      </c>
      <c r="P123" s="78" t="str">
        <f t="shared" si="4"/>
        <v/>
      </c>
      <c r="Q123" s="62" t="str">
        <f t="shared" si="5"/>
        <v/>
      </c>
    </row>
    <row r="124" spans="1:17" x14ac:dyDescent="0.3">
      <c r="A124" s="93">
        <v>122</v>
      </c>
      <c r="P124" s="78" t="str">
        <f t="shared" si="4"/>
        <v/>
      </c>
      <c r="Q124" s="62" t="str">
        <f t="shared" si="5"/>
        <v/>
      </c>
    </row>
    <row r="125" spans="1:17" x14ac:dyDescent="0.3">
      <c r="A125" s="93">
        <v>123</v>
      </c>
      <c r="P125" s="78" t="str">
        <f t="shared" si="4"/>
        <v/>
      </c>
      <c r="Q125" s="62" t="str">
        <f t="shared" si="5"/>
        <v/>
      </c>
    </row>
    <row r="126" spans="1:17" x14ac:dyDescent="0.3">
      <c r="A126" s="93">
        <v>124</v>
      </c>
      <c r="P126" s="78" t="str">
        <f t="shared" si="4"/>
        <v/>
      </c>
      <c r="Q126" s="62" t="str">
        <f t="shared" si="5"/>
        <v/>
      </c>
    </row>
    <row r="127" spans="1:17" x14ac:dyDescent="0.3">
      <c r="A127" s="93">
        <v>125</v>
      </c>
      <c r="P127" s="78" t="str">
        <f t="shared" si="4"/>
        <v/>
      </c>
      <c r="Q127" s="62" t="str">
        <f t="shared" si="5"/>
        <v/>
      </c>
    </row>
    <row r="128" spans="1:17" x14ac:dyDescent="0.3">
      <c r="A128" s="93">
        <v>126</v>
      </c>
      <c r="P128" s="78" t="str">
        <f t="shared" si="4"/>
        <v/>
      </c>
      <c r="Q128" s="62" t="str">
        <f t="shared" si="5"/>
        <v/>
      </c>
    </row>
    <row r="129" spans="1:17" x14ac:dyDescent="0.3">
      <c r="A129" s="93">
        <v>127</v>
      </c>
      <c r="P129" s="78" t="str">
        <f t="shared" si="4"/>
        <v/>
      </c>
      <c r="Q129" s="62" t="str">
        <f t="shared" si="5"/>
        <v/>
      </c>
    </row>
    <row r="130" spans="1:17" x14ac:dyDescent="0.3">
      <c r="A130" s="93">
        <v>128</v>
      </c>
      <c r="P130" s="78" t="str">
        <f t="shared" si="4"/>
        <v/>
      </c>
      <c r="Q130" s="62" t="str">
        <f t="shared" si="5"/>
        <v/>
      </c>
    </row>
    <row r="131" spans="1:17" x14ac:dyDescent="0.3">
      <c r="A131" s="93">
        <v>129</v>
      </c>
      <c r="P131" s="78" t="str">
        <f t="shared" si="4"/>
        <v/>
      </c>
      <c r="Q131" s="62" t="str">
        <f t="shared" si="5"/>
        <v/>
      </c>
    </row>
    <row r="132" spans="1:17" x14ac:dyDescent="0.3">
      <c r="A132" s="93">
        <v>130</v>
      </c>
      <c r="P132" s="78" t="str">
        <f t="shared" ref="P132:P190" si="6">IF(O132="","",LEFT(O132,10)*(-1))</f>
        <v/>
      </c>
      <c r="Q132" s="62" t="str">
        <f t="shared" ref="Q132:Q190" si="7">IF(P132="","",
IF(P132&lt;=30,"1-30 Days",
IF(AND(P132&gt;=31,P132&lt;=60),"31-60 Days",
"&gt;60 Days")))</f>
        <v/>
      </c>
    </row>
    <row r="133" spans="1:17" x14ac:dyDescent="0.3">
      <c r="A133" s="93">
        <v>131</v>
      </c>
      <c r="P133" s="78" t="str">
        <f t="shared" si="6"/>
        <v/>
      </c>
      <c r="Q133" s="62" t="str">
        <f t="shared" si="7"/>
        <v/>
      </c>
    </row>
    <row r="134" spans="1:17" x14ac:dyDescent="0.3">
      <c r="A134" s="93">
        <v>132</v>
      </c>
      <c r="P134" s="78" t="str">
        <f t="shared" si="6"/>
        <v/>
      </c>
      <c r="Q134" s="62" t="str">
        <f t="shared" si="7"/>
        <v/>
      </c>
    </row>
    <row r="135" spans="1:17" x14ac:dyDescent="0.3">
      <c r="A135" s="93">
        <v>133</v>
      </c>
      <c r="P135" s="78" t="str">
        <f t="shared" si="6"/>
        <v/>
      </c>
      <c r="Q135" s="62" t="str">
        <f t="shared" si="7"/>
        <v/>
      </c>
    </row>
    <row r="136" spans="1:17" x14ac:dyDescent="0.3">
      <c r="A136" s="93">
        <v>134</v>
      </c>
      <c r="P136" s="78" t="str">
        <f t="shared" si="6"/>
        <v/>
      </c>
      <c r="Q136" s="62" t="str">
        <f t="shared" si="7"/>
        <v/>
      </c>
    </row>
    <row r="137" spans="1:17" x14ac:dyDescent="0.3">
      <c r="A137" s="93">
        <v>135</v>
      </c>
      <c r="P137" s="78" t="str">
        <f t="shared" si="6"/>
        <v/>
      </c>
      <c r="Q137" s="62" t="str">
        <f t="shared" si="7"/>
        <v/>
      </c>
    </row>
    <row r="138" spans="1:17" x14ac:dyDescent="0.3">
      <c r="A138" s="93">
        <v>136</v>
      </c>
      <c r="P138" s="78" t="str">
        <f t="shared" si="6"/>
        <v/>
      </c>
      <c r="Q138" s="62" t="str">
        <f t="shared" si="7"/>
        <v/>
      </c>
    </row>
    <row r="139" spans="1:17" x14ac:dyDescent="0.3">
      <c r="A139" s="93">
        <v>137</v>
      </c>
      <c r="P139" s="78" t="str">
        <f t="shared" si="6"/>
        <v/>
      </c>
      <c r="Q139" s="62" t="str">
        <f t="shared" si="7"/>
        <v/>
      </c>
    </row>
    <row r="140" spans="1:17" x14ac:dyDescent="0.3">
      <c r="A140" s="93">
        <v>138</v>
      </c>
      <c r="P140" s="78" t="str">
        <f t="shared" si="6"/>
        <v/>
      </c>
      <c r="Q140" s="62" t="str">
        <f t="shared" si="7"/>
        <v/>
      </c>
    </row>
    <row r="141" spans="1:17" x14ac:dyDescent="0.3">
      <c r="A141" s="93">
        <v>139</v>
      </c>
      <c r="P141" s="78" t="str">
        <f t="shared" si="6"/>
        <v/>
      </c>
      <c r="Q141" s="62" t="str">
        <f t="shared" si="7"/>
        <v/>
      </c>
    </row>
    <row r="142" spans="1:17" x14ac:dyDescent="0.3">
      <c r="A142" s="93">
        <v>140</v>
      </c>
      <c r="P142" s="78" t="str">
        <f t="shared" si="6"/>
        <v/>
      </c>
      <c r="Q142" s="62" t="str">
        <f t="shared" si="7"/>
        <v/>
      </c>
    </row>
    <row r="143" spans="1:17" x14ac:dyDescent="0.3">
      <c r="A143" s="93">
        <v>141</v>
      </c>
      <c r="P143" s="78" t="str">
        <f t="shared" si="6"/>
        <v/>
      </c>
      <c r="Q143" s="62" t="str">
        <f t="shared" si="7"/>
        <v/>
      </c>
    </row>
    <row r="144" spans="1:17" x14ac:dyDescent="0.3">
      <c r="A144" s="93">
        <v>142</v>
      </c>
      <c r="P144" s="78" t="str">
        <f t="shared" si="6"/>
        <v/>
      </c>
      <c r="Q144" s="62" t="str">
        <f t="shared" si="7"/>
        <v/>
      </c>
    </row>
    <row r="145" spans="1:17" x14ac:dyDescent="0.3">
      <c r="A145" s="93">
        <v>143</v>
      </c>
      <c r="P145" s="78" t="str">
        <f t="shared" si="6"/>
        <v/>
      </c>
      <c r="Q145" s="62" t="str">
        <f t="shared" si="7"/>
        <v/>
      </c>
    </row>
    <row r="146" spans="1:17" x14ac:dyDescent="0.3">
      <c r="A146" s="93">
        <v>144</v>
      </c>
      <c r="P146" s="78" t="str">
        <f t="shared" si="6"/>
        <v/>
      </c>
      <c r="Q146" s="62" t="str">
        <f t="shared" si="7"/>
        <v/>
      </c>
    </row>
    <row r="147" spans="1:17" x14ac:dyDescent="0.3">
      <c r="A147" s="93">
        <v>145</v>
      </c>
      <c r="P147" s="78" t="str">
        <f t="shared" si="6"/>
        <v/>
      </c>
      <c r="Q147" s="62" t="str">
        <f t="shared" si="7"/>
        <v/>
      </c>
    </row>
    <row r="148" spans="1:17" x14ac:dyDescent="0.3">
      <c r="A148" s="93">
        <v>146</v>
      </c>
      <c r="P148" s="78" t="str">
        <f t="shared" si="6"/>
        <v/>
      </c>
      <c r="Q148" s="62" t="str">
        <f t="shared" si="7"/>
        <v/>
      </c>
    </row>
    <row r="149" spans="1:17" x14ac:dyDescent="0.3">
      <c r="A149" s="93">
        <v>147</v>
      </c>
      <c r="P149" s="78" t="str">
        <f t="shared" si="6"/>
        <v/>
      </c>
      <c r="Q149" s="62" t="str">
        <f t="shared" si="7"/>
        <v/>
      </c>
    </row>
    <row r="150" spans="1:17" x14ac:dyDescent="0.3">
      <c r="A150" s="93">
        <v>148</v>
      </c>
      <c r="P150" s="78" t="str">
        <f t="shared" si="6"/>
        <v/>
      </c>
      <c r="Q150" s="62" t="str">
        <f t="shared" si="7"/>
        <v/>
      </c>
    </row>
    <row r="151" spans="1:17" x14ac:dyDescent="0.3">
      <c r="A151" s="93">
        <v>149</v>
      </c>
      <c r="P151" s="78" t="str">
        <f t="shared" si="6"/>
        <v/>
      </c>
      <c r="Q151" s="62" t="str">
        <f t="shared" si="7"/>
        <v/>
      </c>
    </row>
    <row r="152" spans="1:17" x14ac:dyDescent="0.3">
      <c r="A152" s="93">
        <v>150</v>
      </c>
      <c r="P152" s="78" t="str">
        <f t="shared" si="6"/>
        <v/>
      </c>
      <c r="Q152" s="62" t="str">
        <f t="shared" si="7"/>
        <v/>
      </c>
    </row>
    <row r="153" spans="1:17" x14ac:dyDescent="0.3">
      <c r="A153" s="93">
        <v>151</v>
      </c>
      <c r="P153" s="78" t="str">
        <f t="shared" si="6"/>
        <v/>
      </c>
      <c r="Q153" s="62" t="str">
        <f t="shared" si="7"/>
        <v/>
      </c>
    </row>
    <row r="154" spans="1:17" x14ac:dyDescent="0.3">
      <c r="A154" s="93">
        <v>152</v>
      </c>
      <c r="P154" s="78" t="str">
        <f t="shared" si="6"/>
        <v/>
      </c>
      <c r="Q154" s="62" t="str">
        <f t="shared" si="7"/>
        <v/>
      </c>
    </row>
    <row r="155" spans="1:17" x14ac:dyDescent="0.3">
      <c r="A155" s="93">
        <v>153</v>
      </c>
      <c r="P155" s="78" t="str">
        <f t="shared" si="6"/>
        <v/>
      </c>
      <c r="Q155" s="62" t="str">
        <f t="shared" si="7"/>
        <v/>
      </c>
    </row>
    <row r="156" spans="1:17" x14ac:dyDescent="0.3">
      <c r="A156" s="93">
        <v>154</v>
      </c>
      <c r="P156" s="78" t="str">
        <f t="shared" si="6"/>
        <v/>
      </c>
      <c r="Q156" s="62" t="str">
        <f t="shared" si="7"/>
        <v/>
      </c>
    </row>
    <row r="157" spans="1:17" x14ac:dyDescent="0.3">
      <c r="A157" s="93">
        <v>155</v>
      </c>
      <c r="P157" s="78" t="str">
        <f t="shared" si="6"/>
        <v/>
      </c>
      <c r="Q157" s="62" t="str">
        <f t="shared" si="7"/>
        <v/>
      </c>
    </row>
    <row r="158" spans="1:17" x14ac:dyDescent="0.3">
      <c r="A158" s="93">
        <v>156</v>
      </c>
      <c r="P158" s="78" t="str">
        <f t="shared" si="6"/>
        <v/>
      </c>
      <c r="Q158" s="62" t="str">
        <f t="shared" si="7"/>
        <v/>
      </c>
    </row>
    <row r="159" spans="1:17" x14ac:dyDescent="0.3">
      <c r="A159" s="93">
        <v>157</v>
      </c>
      <c r="P159" s="78" t="str">
        <f t="shared" si="6"/>
        <v/>
      </c>
      <c r="Q159" s="62" t="str">
        <f t="shared" si="7"/>
        <v/>
      </c>
    </row>
    <row r="160" spans="1:17" x14ac:dyDescent="0.3">
      <c r="A160" s="93">
        <v>158</v>
      </c>
      <c r="P160" s="78" t="str">
        <f t="shared" si="6"/>
        <v/>
      </c>
      <c r="Q160" s="62" t="str">
        <f t="shared" si="7"/>
        <v/>
      </c>
    </row>
    <row r="161" spans="1:17" x14ac:dyDescent="0.3">
      <c r="A161" s="93">
        <v>159</v>
      </c>
      <c r="P161" s="78" t="str">
        <f t="shared" si="6"/>
        <v/>
      </c>
      <c r="Q161" s="62" t="str">
        <f t="shared" si="7"/>
        <v/>
      </c>
    </row>
    <row r="162" spans="1:17" x14ac:dyDescent="0.3">
      <c r="A162" s="93">
        <v>160</v>
      </c>
      <c r="P162" s="78" t="str">
        <f t="shared" si="6"/>
        <v/>
      </c>
      <c r="Q162" s="62" t="str">
        <f t="shared" si="7"/>
        <v/>
      </c>
    </row>
    <row r="163" spans="1:17" x14ac:dyDescent="0.3">
      <c r="A163" s="93">
        <v>161</v>
      </c>
      <c r="P163" s="78" t="str">
        <f t="shared" si="6"/>
        <v/>
      </c>
      <c r="Q163" s="62" t="str">
        <f t="shared" si="7"/>
        <v/>
      </c>
    </row>
    <row r="164" spans="1:17" x14ac:dyDescent="0.3">
      <c r="A164" s="93">
        <v>162</v>
      </c>
      <c r="P164" s="78" t="str">
        <f t="shared" si="6"/>
        <v/>
      </c>
      <c r="Q164" s="62" t="str">
        <f t="shared" si="7"/>
        <v/>
      </c>
    </row>
    <row r="165" spans="1:17" x14ac:dyDescent="0.3">
      <c r="A165" s="93">
        <v>163</v>
      </c>
      <c r="P165" s="78" t="str">
        <f t="shared" si="6"/>
        <v/>
      </c>
      <c r="Q165" s="62" t="str">
        <f t="shared" si="7"/>
        <v/>
      </c>
    </row>
    <row r="166" spans="1:17" x14ac:dyDescent="0.3">
      <c r="A166" s="93">
        <v>164</v>
      </c>
      <c r="P166" s="78" t="str">
        <f t="shared" si="6"/>
        <v/>
      </c>
      <c r="Q166" s="62" t="str">
        <f t="shared" si="7"/>
        <v/>
      </c>
    </row>
    <row r="167" spans="1:17" x14ac:dyDescent="0.3">
      <c r="A167" s="93">
        <v>165</v>
      </c>
      <c r="P167" s="78" t="str">
        <f t="shared" si="6"/>
        <v/>
      </c>
      <c r="Q167" s="62" t="str">
        <f t="shared" si="7"/>
        <v/>
      </c>
    </row>
    <row r="168" spans="1:17" x14ac:dyDescent="0.3">
      <c r="A168" s="93">
        <v>166</v>
      </c>
      <c r="P168" s="78" t="str">
        <f t="shared" si="6"/>
        <v/>
      </c>
      <c r="Q168" s="62" t="str">
        <f t="shared" si="7"/>
        <v/>
      </c>
    </row>
    <row r="169" spans="1:17" x14ac:dyDescent="0.3">
      <c r="A169" s="93">
        <v>167</v>
      </c>
      <c r="P169" s="78" t="str">
        <f t="shared" si="6"/>
        <v/>
      </c>
      <c r="Q169" s="62" t="str">
        <f t="shared" si="7"/>
        <v/>
      </c>
    </row>
    <row r="170" spans="1:17" x14ac:dyDescent="0.3">
      <c r="A170" s="93">
        <v>168</v>
      </c>
      <c r="P170" s="78" t="str">
        <f t="shared" si="6"/>
        <v/>
      </c>
      <c r="Q170" s="62" t="str">
        <f t="shared" si="7"/>
        <v/>
      </c>
    </row>
    <row r="171" spans="1:17" x14ac:dyDescent="0.3">
      <c r="A171" s="93">
        <v>169</v>
      </c>
      <c r="P171" s="78" t="str">
        <f t="shared" si="6"/>
        <v/>
      </c>
      <c r="Q171" s="62" t="str">
        <f t="shared" si="7"/>
        <v/>
      </c>
    </row>
    <row r="172" spans="1:17" x14ac:dyDescent="0.3">
      <c r="A172" s="93">
        <v>170</v>
      </c>
      <c r="P172" s="78" t="str">
        <f t="shared" si="6"/>
        <v/>
      </c>
      <c r="Q172" s="62" t="str">
        <f t="shared" si="7"/>
        <v/>
      </c>
    </row>
    <row r="173" spans="1:17" x14ac:dyDescent="0.3">
      <c r="A173" s="93">
        <v>171</v>
      </c>
      <c r="P173" s="78" t="str">
        <f t="shared" si="6"/>
        <v/>
      </c>
      <c r="Q173" s="62" t="str">
        <f t="shared" si="7"/>
        <v/>
      </c>
    </row>
    <row r="174" spans="1:17" x14ac:dyDescent="0.3">
      <c r="A174" s="93">
        <v>172</v>
      </c>
      <c r="P174" s="78" t="str">
        <f t="shared" si="6"/>
        <v/>
      </c>
      <c r="Q174" s="62" t="str">
        <f t="shared" si="7"/>
        <v/>
      </c>
    </row>
    <row r="175" spans="1:17" x14ac:dyDescent="0.3">
      <c r="A175" s="93">
        <v>173</v>
      </c>
      <c r="P175" s="78" t="str">
        <f t="shared" si="6"/>
        <v/>
      </c>
      <c r="Q175" s="62" t="str">
        <f t="shared" si="7"/>
        <v/>
      </c>
    </row>
    <row r="176" spans="1:17" x14ac:dyDescent="0.3">
      <c r="A176" s="93">
        <v>174</v>
      </c>
      <c r="P176" s="78" t="str">
        <f t="shared" si="6"/>
        <v/>
      </c>
      <c r="Q176" s="62" t="str">
        <f t="shared" si="7"/>
        <v/>
      </c>
    </row>
    <row r="177" spans="1:17" x14ac:dyDescent="0.3">
      <c r="A177" s="93">
        <v>175</v>
      </c>
      <c r="P177" s="78" t="str">
        <f t="shared" si="6"/>
        <v/>
      </c>
      <c r="Q177" s="62" t="str">
        <f t="shared" si="7"/>
        <v/>
      </c>
    </row>
    <row r="178" spans="1:17" x14ac:dyDescent="0.3">
      <c r="A178" s="93">
        <v>176</v>
      </c>
      <c r="P178" s="78" t="str">
        <f t="shared" si="6"/>
        <v/>
      </c>
      <c r="Q178" s="62" t="str">
        <f t="shared" si="7"/>
        <v/>
      </c>
    </row>
    <row r="179" spans="1:17" x14ac:dyDescent="0.3">
      <c r="A179" s="93">
        <v>177</v>
      </c>
      <c r="P179" s="78" t="str">
        <f t="shared" si="6"/>
        <v/>
      </c>
      <c r="Q179" s="62" t="str">
        <f t="shared" si="7"/>
        <v/>
      </c>
    </row>
    <row r="180" spans="1:17" x14ac:dyDescent="0.3">
      <c r="A180" s="93">
        <v>178</v>
      </c>
      <c r="P180" s="78" t="str">
        <f t="shared" si="6"/>
        <v/>
      </c>
      <c r="Q180" s="62" t="str">
        <f t="shared" si="7"/>
        <v/>
      </c>
    </row>
    <row r="181" spans="1:17" x14ac:dyDescent="0.3">
      <c r="A181" s="93">
        <v>179</v>
      </c>
      <c r="P181" s="78" t="str">
        <f t="shared" si="6"/>
        <v/>
      </c>
      <c r="Q181" s="62" t="str">
        <f t="shared" si="7"/>
        <v/>
      </c>
    </row>
    <row r="182" spans="1:17" x14ac:dyDescent="0.3">
      <c r="A182" s="93">
        <v>180</v>
      </c>
      <c r="P182" s="78" t="str">
        <f t="shared" si="6"/>
        <v/>
      </c>
      <c r="Q182" s="62" t="str">
        <f t="shared" si="7"/>
        <v/>
      </c>
    </row>
    <row r="183" spans="1:17" x14ac:dyDescent="0.3">
      <c r="A183" s="93">
        <v>181</v>
      </c>
      <c r="P183" s="78" t="str">
        <f t="shared" si="6"/>
        <v/>
      </c>
      <c r="Q183" s="62" t="str">
        <f t="shared" si="7"/>
        <v/>
      </c>
    </row>
    <row r="184" spans="1:17" x14ac:dyDescent="0.3">
      <c r="A184" s="93">
        <v>182</v>
      </c>
      <c r="P184" s="78" t="str">
        <f t="shared" si="6"/>
        <v/>
      </c>
      <c r="Q184" s="62" t="str">
        <f t="shared" si="7"/>
        <v/>
      </c>
    </row>
    <row r="185" spans="1:17" x14ac:dyDescent="0.3">
      <c r="A185" s="93">
        <v>183</v>
      </c>
      <c r="P185" s="78" t="str">
        <f t="shared" si="6"/>
        <v/>
      </c>
      <c r="Q185" s="62" t="str">
        <f t="shared" si="7"/>
        <v/>
      </c>
    </row>
    <row r="186" spans="1:17" x14ac:dyDescent="0.3">
      <c r="A186" s="93">
        <v>184</v>
      </c>
      <c r="P186" s="78" t="str">
        <f t="shared" si="6"/>
        <v/>
      </c>
      <c r="Q186" s="62" t="str">
        <f t="shared" si="7"/>
        <v/>
      </c>
    </row>
    <row r="187" spans="1:17" x14ac:dyDescent="0.3">
      <c r="A187" s="93">
        <v>185</v>
      </c>
      <c r="P187" s="78" t="str">
        <f t="shared" si="6"/>
        <v/>
      </c>
      <c r="Q187" s="62" t="str">
        <f t="shared" si="7"/>
        <v/>
      </c>
    </row>
    <row r="188" spans="1:17" x14ac:dyDescent="0.3">
      <c r="A188" s="93">
        <v>186</v>
      </c>
      <c r="P188" s="78" t="str">
        <f t="shared" si="6"/>
        <v/>
      </c>
      <c r="Q188" s="62" t="str">
        <f t="shared" si="7"/>
        <v/>
      </c>
    </row>
    <row r="189" spans="1:17" x14ac:dyDescent="0.3">
      <c r="A189" s="93">
        <v>187</v>
      </c>
      <c r="P189" s="78" t="str">
        <f t="shared" si="6"/>
        <v/>
      </c>
      <c r="Q189" s="62" t="str">
        <f t="shared" si="7"/>
        <v/>
      </c>
    </row>
    <row r="190" spans="1:17" x14ac:dyDescent="0.3">
      <c r="A190" s="93">
        <v>188</v>
      </c>
      <c r="P190" s="78" t="str">
        <f t="shared" si="6"/>
        <v/>
      </c>
      <c r="Q190" s="62" t="str">
        <f t="shared" si="7"/>
        <v/>
      </c>
    </row>
  </sheetData>
  <mergeCells count="1">
    <mergeCell ref="S8:S9"/>
  </mergeCells>
  <dataValidations count="3">
    <dataValidation type="list" allowBlank="1" showInputMessage="1" showErrorMessage="1" sqref="I3:I95" xr:uid="{E4B083C7-E090-4E1B-82D8-37E093178DC8}">
      <formula1>"High, Medium, Low"</formula1>
    </dataValidation>
    <dataValidation type="list" allowBlank="1" showInputMessage="1" showErrorMessage="1" sqref="M3:M95" xr:uid="{8EAD84A6-8ADC-4757-9579-E9F749D260CD}">
      <formula1>"Pending, InProgress, Completed, Closed"</formula1>
    </dataValidation>
    <dataValidation type="list" allowBlank="1" showInputMessage="1" showErrorMessage="1" sqref="H3" xr:uid="{154F5B87-6E58-4894-BFBE-137E1F482920}">
      <formula1>"Issue, Modification, Information, Change Request, Quotation"</formula1>
    </dataValidation>
  </dataValidations>
  <hyperlinks>
    <hyperlink ref="A1" location="'All clients'!A1" display="&lt;---" xr:uid="{4437558D-0ADA-47F5-BCEC-3A02359B3E3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CC7CE-BA47-466C-9918-4FF3196D1D4E}">
  <dimension ref="A1:V189"/>
  <sheetViews>
    <sheetView topLeftCell="G5" zoomScale="90" zoomScaleNormal="90" workbookViewId="0">
      <selection activeCell="U4" sqref="U4"/>
    </sheetView>
  </sheetViews>
  <sheetFormatPr defaultRowHeight="15.6" x14ac:dyDescent="0.3"/>
  <cols>
    <col min="1" max="1" width="8.796875" style="87"/>
    <col min="2" max="2" width="12.796875" style="87" customWidth="1"/>
    <col min="3" max="3" width="12.59765625" style="87" customWidth="1"/>
    <col min="4" max="4" width="16.59765625" style="87" customWidth="1"/>
    <col min="5" max="5" width="8.796875" style="87"/>
    <col min="6" max="6" width="19.69921875" style="87" customWidth="1"/>
    <col min="7" max="7" width="32.296875" style="87" customWidth="1"/>
    <col min="8" max="9" width="8.796875" style="87"/>
    <col min="10" max="10" width="14.5" style="87" customWidth="1"/>
    <col min="11" max="11" width="15.59765625" style="87" customWidth="1"/>
    <col min="12" max="12" width="14.3984375" style="87" customWidth="1"/>
    <col min="13" max="13" width="9.09765625" style="87" customWidth="1"/>
    <col min="14" max="14" width="10.69921875" style="87" customWidth="1"/>
    <col min="15" max="15" width="14.69921875" style="87" customWidth="1"/>
    <col min="16" max="16" width="8.796875" style="64"/>
    <col min="17" max="17" width="9.3984375" style="64" customWidth="1"/>
    <col min="19" max="22" width="11.8984375" customWidth="1"/>
  </cols>
  <sheetData>
    <row r="1" spans="1:22" x14ac:dyDescent="0.3">
      <c r="A1" s="45" t="s">
        <v>48</v>
      </c>
      <c r="B1" s="46" t="s">
        <v>49</v>
      </c>
      <c r="C1" s="46">
        <f>T7</f>
        <v>21</v>
      </c>
      <c r="D1" s="47" t="s">
        <v>50</v>
      </c>
      <c r="E1" s="48">
        <f>SUM(T3:T4)</f>
        <v>4</v>
      </c>
      <c r="F1" s="49" t="s">
        <v>51</v>
      </c>
      <c r="G1" s="99">
        <f>SUM(T5:T6)</f>
        <v>17</v>
      </c>
      <c r="H1" s="51"/>
      <c r="I1" s="51"/>
      <c r="J1" s="51"/>
      <c r="K1" s="51"/>
      <c r="L1" s="51"/>
      <c r="M1" s="51"/>
      <c r="N1" s="51"/>
      <c r="O1" s="51"/>
      <c r="P1" s="114"/>
      <c r="Q1" s="114"/>
    </row>
    <row r="2" spans="1:22" ht="27.6" x14ac:dyDescent="0.3">
      <c r="A2" s="54" t="s">
        <v>52</v>
      </c>
      <c r="B2" s="54" t="s">
        <v>53</v>
      </c>
      <c r="C2" s="54" t="s">
        <v>54</v>
      </c>
      <c r="D2" s="54" t="s">
        <v>55</v>
      </c>
      <c r="E2" s="54" t="s">
        <v>56</v>
      </c>
      <c r="F2" s="54" t="s">
        <v>57</v>
      </c>
      <c r="G2" s="54" t="s">
        <v>58</v>
      </c>
      <c r="H2" s="54" t="s">
        <v>59</v>
      </c>
      <c r="I2" s="54" t="s">
        <v>60</v>
      </c>
      <c r="J2" s="54" t="s">
        <v>61</v>
      </c>
      <c r="K2" s="54" t="s">
        <v>62</v>
      </c>
      <c r="L2" s="54" t="s">
        <v>63</v>
      </c>
      <c r="M2" s="54" t="s">
        <v>64</v>
      </c>
      <c r="N2" s="54" t="s">
        <v>65</v>
      </c>
      <c r="O2" s="54" t="s">
        <v>66</v>
      </c>
      <c r="P2" s="54" t="s">
        <v>67</v>
      </c>
      <c r="Q2" s="54" t="s">
        <v>68</v>
      </c>
    </row>
    <row r="3" spans="1:22" ht="41.4" x14ac:dyDescent="0.3">
      <c r="A3" s="82">
        <v>1</v>
      </c>
      <c r="B3" s="82" t="s">
        <v>1078</v>
      </c>
      <c r="C3" s="82" t="s">
        <v>70</v>
      </c>
      <c r="D3" s="82" t="s">
        <v>368</v>
      </c>
      <c r="E3" s="82" t="s">
        <v>359</v>
      </c>
      <c r="F3" s="82" t="s">
        <v>1079</v>
      </c>
      <c r="G3" s="82" t="s">
        <v>1080</v>
      </c>
      <c r="H3" s="82" t="s">
        <v>74</v>
      </c>
      <c r="I3" s="57" t="s">
        <v>75</v>
      </c>
      <c r="J3" s="83">
        <v>45966.429861111108</v>
      </c>
      <c r="K3" s="83">
        <v>45968.709722222222</v>
      </c>
      <c r="L3" s="83">
        <v>46080.695833333331</v>
      </c>
      <c r="M3" s="82" t="s">
        <v>76</v>
      </c>
      <c r="N3" s="59" t="str">
        <f>IF(ISBLANK(J3),"",IF(OR(M3="Completed",M3="Closed"),"",IF(H3="Issue",IF(I3="High",WORKDAY(J3,2,DATA!A2:A30),IF(I3="Medium",WORKDAY(J3,14, DATA!A2:A30),IF(OR(I3="Low"),WORKDAY(J3,30,DATA!A2:A30),""))),
"")
))</f>
        <v/>
      </c>
      <c r="O3" s="60" t="str">
        <f ca="1">IF(OR(ISBLANK(#REF!), M3="Completed", M3="Closed", H3&lt;&gt;"Issue"), "",
   (NETWORKDAYS.INTL(TODAY(), N3, 1, DATA!A2:A30) - 1))</f>
        <v/>
      </c>
      <c r="P3" s="88" t="str">
        <f ca="1">IF(O3="","",LEFT(O3,10)*(-1))</f>
        <v/>
      </c>
      <c r="Q3" s="64" t="str">
        <f t="shared" ref="Q3:Q20" ca="1" si="0">IF(P3="","",
IF(P3&lt;=0,"Not Due",
IF(P3&lt;=30,"1-30 Days",
IF(P3&lt;=60,"31-60 Days",
"&gt;60 Days"))))</f>
        <v/>
      </c>
      <c r="S3" s="63" t="s">
        <v>77</v>
      </c>
      <c r="T3" s="64">
        <f>COUNTIF(M3:M298, "Pending")</f>
        <v>4</v>
      </c>
    </row>
    <row r="4" spans="1:22" ht="69" x14ac:dyDescent="0.3">
      <c r="A4" s="82">
        <v>2</v>
      </c>
      <c r="B4" s="82" t="s">
        <v>1081</v>
      </c>
      <c r="C4" s="82" t="s">
        <v>70</v>
      </c>
      <c r="D4" s="82" t="s">
        <v>1082</v>
      </c>
      <c r="E4" s="82" t="s">
        <v>359</v>
      </c>
      <c r="F4" s="82" t="s">
        <v>1083</v>
      </c>
      <c r="G4" s="82" t="s">
        <v>1084</v>
      </c>
      <c r="H4" s="82" t="s">
        <v>74</v>
      </c>
      <c r="I4" s="57" t="s">
        <v>75</v>
      </c>
      <c r="J4" s="83">
        <v>46073.37222222222</v>
      </c>
      <c r="K4" s="83">
        <v>46073.381944444445</v>
      </c>
      <c r="L4" s="83">
        <v>46085.446527777778</v>
      </c>
      <c r="M4" s="82" t="s">
        <v>76</v>
      </c>
      <c r="N4" s="59" t="str">
        <f>IF(ISBLANK(J4),"",IF(OR(M4="Completed",M4="Closed"),"",IF(H4="Issue",IF(I4="High",WORKDAY(J4,2,DATA!A3:A31),IF(I4="Medium",WORKDAY(J4,14, DATA!A3:A31),IF(OR(I4="Low"),WORKDAY(J4,30,DATA!A3:A31),""))),
"")
))</f>
        <v/>
      </c>
      <c r="O4" s="60" t="str">
        <f ca="1">IF(OR(ISBLANK(#REF!), M4="Completed", M4="Closed", H4&lt;&gt;"Issue"), "",
   (NETWORKDAYS.INTL(TODAY(), N4, 1, DATA!A3:A31) - 1))</f>
        <v/>
      </c>
      <c r="P4" s="88" t="str">
        <f t="shared" ref="P4:P66" ca="1" si="1">IF(O4="","",LEFT(O4,10)*(-1))</f>
        <v/>
      </c>
      <c r="Q4" s="64" t="str">
        <f t="shared" ca="1" si="0"/>
        <v/>
      </c>
      <c r="S4" s="63" t="s">
        <v>80</v>
      </c>
      <c r="T4" s="64">
        <f>COUNTIF(M3:M298, "InProgress")</f>
        <v>0</v>
      </c>
    </row>
    <row r="5" spans="1:22" ht="55.2" x14ac:dyDescent="0.3">
      <c r="A5" s="82">
        <v>3</v>
      </c>
      <c r="B5" s="82" t="s">
        <v>1085</v>
      </c>
      <c r="C5" s="82" t="s">
        <v>70</v>
      </c>
      <c r="D5" s="82" t="s">
        <v>238</v>
      </c>
      <c r="E5" s="82" t="s">
        <v>359</v>
      </c>
      <c r="F5" s="82" t="s">
        <v>1086</v>
      </c>
      <c r="G5" s="82" t="s">
        <v>1087</v>
      </c>
      <c r="H5" s="82" t="s">
        <v>74</v>
      </c>
      <c r="I5" s="57" t="s">
        <v>75</v>
      </c>
      <c r="J5" s="83">
        <v>46118.484722222223</v>
      </c>
      <c r="K5" s="83">
        <v>46197.7</v>
      </c>
      <c r="L5" s="83">
        <v>46197.7</v>
      </c>
      <c r="M5" s="82" t="s">
        <v>76</v>
      </c>
      <c r="N5" s="59" t="str">
        <f>IF(ISBLANK(J5),"",IF(OR(M5="Completed",M5="Closed"),"",IF(H5="Issue",IF(I5="High",WORKDAY(J5,2,DATA!A4:A32),IF(I5="Medium",WORKDAY(J5,14, DATA!A4:A32),IF(OR(I5="Low"),WORKDAY(J5,30,DATA!A4:A32),""))),
"")
))</f>
        <v/>
      </c>
      <c r="O5" s="60" t="str">
        <f ca="1">IF(OR(ISBLANK(#REF!), M5="Completed", M5="Closed", H5&lt;&gt;"Issue"), "",
   (NETWORKDAYS.INTL(TODAY(), N5, 1, DATA!A4:A32) - 1))</f>
        <v/>
      </c>
      <c r="P5" s="88" t="str">
        <f t="shared" ca="1" si="1"/>
        <v/>
      </c>
      <c r="Q5" s="64" t="str">
        <f t="shared" ca="1" si="0"/>
        <v/>
      </c>
      <c r="S5" s="65" t="s">
        <v>85</v>
      </c>
      <c r="T5" s="64">
        <f>COUNTIF(M3:M298, "Completed")</f>
        <v>6</v>
      </c>
    </row>
    <row r="6" spans="1:22" ht="82.8" x14ac:dyDescent="0.3">
      <c r="A6" s="82">
        <v>4</v>
      </c>
      <c r="B6" s="82" t="s">
        <v>1088</v>
      </c>
      <c r="C6" s="82" t="s">
        <v>70</v>
      </c>
      <c r="D6" s="82" t="s">
        <v>238</v>
      </c>
      <c r="E6" s="82" t="s">
        <v>359</v>
      </c>
      <c r="F6" s="82" t="s">
        <v>1089</v>
      </c>
      <c r="G6" s="82" t="s">
        <v>1090</v>
      </c>
      <c r="H6" s="82" t="s">
        <v>74</v>
      </c>
      <c r="I6" s="57" t="s">
        <v>75</v>
      </c>
      <c r="J6" s="83">
        <v>46118.675694444442</v>
      </c>
      <c r="K6" s="83">
        <v>46191.697916666664</v>
      </c>
      <c r="L6" s="83">
        <v>46191.697916666664</v>
      </c>
      <c r="M6" s="82" t="s">
        <v>76</v>
      </c>
      <c r="N6" s="59" t="str">
        <f>IF(ISBLANK(J6),"",IF(OR(M6="Completed",M6="Closed"),"",IF(H6="Issue",IF(I6="High",WORKDAY(J6,2,DATA!A5:A33),IF(I6="Medium",WORKDAY(J6,14, DATA!A5:A33),IF(OR(I6="Low"),WORKDAY(J6,30,DATA!A5:A33),""))),
"")
))</f>
        <v/>
      </c>
      <c r="O6" s="60" t="str">
        <f ca="1">IF(OR(ISBLANK(#REF!), M6="Completed", M6="Closed", H6&lt;&gt;"Issue"), "",
   (NETWORKDAYS.INTL(TODAY(), N6, 1, DATA!A5:A33) - 1))</f>
        <v/>
      </c>
      <c r="P6" s="88" t="str">
        <f t="shared" ca="1" si="1"/>
        <v/>
      </c>
      <c r="Q6" s="64" t="str">
        <f t="shared" ca="1" si="0"/>
        <v/>
      </c>
      <c r="S6" s="65" t="s">
        <v>76</v>
      </c>
      <c r="T6" s="64">
        <f>COUNTIF(M3:M298, "Closed")</f>
        <v>11</v>
      </c>
    </row>
    <row r="7" spans="1:22" ht="41.4" x14ac:dyDescent="0.3">
      <c r="A7" s="82">
        <v>5</v>
      </c>
      <c r="B7" s="82" t="s">
        <v>1091</v>
      </c>
      <c r="C7" s="84"/>
      <c r="D7" s="82" t="s">
        <v>1082</v>
      </c>
      <c r="E7" s="82" t="s">
        <v>359</v>
      </c>
      <c r="F7" s="82" t="s">
        <v>1092</v>
      </c>
      <c r="G7" s="82" t="s">
        <v>1093</v>
      </c>
      <c r="H7" s="82" t="s">
        <v>74</v>
      </c>
      <c r="I7" s="57" t="s">
        <v>75</v>
      </c>
      <c r="J7" s="83">
        <v>46119.450694444444</v>
      </c>
      <c r="K7" s="84"/>
      <c r="L7" s="84"/>
      <c r="M7" s="82" t="s">
        <v>77</v>
      </c>
      <c r="N7" s="59">
        <f>IF(ISBLANK(J7),"",IF(OR(M7="Completed",M7="Closed"),"",IF(H7="Issue",IF(I7="High",WORKDAY(J7,2,DATA!A6:A34),IF(I7="Medium",WORKDAY(J7,14, DATA!A6:A34),IF(OR(I7="Low"),WORKDAY(J7,30,DATA!A6:A34),""))),
"")
))</f>
        <v>46139</v>
      </c>
      <c r="O7" s="60">
        <f ca="1">IF(OR(ISBLANK(#REF!), M7="Completed", M7="Closed", H7&lt;&gt;"Issue"), "",
   (NETWORKDAYS.INTL(TODAY(), N7, 1, DATA!A6:A34) - 1))</f>
        <v>-61</v>
      </c>
      <c r="P7" s="88">
        <f t="shared" ca="1" si="1"/>
        <v>61</v>
      </c>
      <c r="Q7" s="64" t="str">
        <f t="shared" ca="1" si="0"/>
        <v>&gt;60 Days</v>
      </c>
      <c r="S7" s="76" t="s">
        <v>49</v>
      </c>
      <c r="T7" s="64">
        <f>SUM(T3:T6)</f>
        <v>21</v>
      </c>
    </row>
    <row r="8" spans="1:22" ht="41.4" x14ac:dyDescent="0.3">
      <c r="A8" s="82">
        <v>6</v>
      </c>
      <c r="B8" s="82" t="s">
        <v>1094</v>
      </c>
      <c r="C8" s="84"/>
      <c r="D8" s="82" t="s">
        <v>1082</v>
      </c>
      <c r="E8" s="82" t="s">
        <v>359</v>
      </c>
      <c r="F8" s="82" t="s">
        <v>1095</v>
      </c>
      <c r="G8" s="82" t="s">
        <v>1096</v>
      </c>
      <c r="H8" s="82" t="s">
        <v>74</v>
      </c>
      <c r="I8" s="57" t="s">
        <v>75</v>
      </c>
      <c r="J8" s="83">
        <v>46126.396527777775</v>
      </c>
      <c r="K8" s="84"/>
      <c r="L8" s="84"/>
      <c r="M8" s="82" t="s">
        <v>77</v>
      </c>
      <c r="N8" s="59">
        <f>IF(ISBLANK(J8),"",IF(OR(M8="Completed",M8="Closed"),"",IF(H8="Issue",IF(I8="High",WORKDAY(J8,2,DATA!A7:A35),IF(I8="Medium",WORKDAY(J8,14, DATA!A7:A35),IF(OR(I8="Low"),WORKDAY(J8,30,DATA!A7:A35),""))),
"")
))</f>
        <v>46147</v>
      </c>
      <c r="O8" s="60">
        <f ca="1">IF(OR(ISBLANK(#REF!), M8="Completed", M8="Closed", H8&lt;&gt;"Issue"), "",
   (NETWORKDAYS.INTL(TODAY(), N8, 1, DATA!A7:A35) - 1))</f>
        <v>-56</v>
      </c>
      <c r="P8" s="88">
        <f t="shared" ca="1" si="1"/>
        <v>56</v>
      </c>
      <c r="Q8" s="64" t="str">
        <f t="shared" ca="1" si="0"/>
        <v>31-60 Days</v>
      </c>
      <c r="S8" s="139" t="s">
        <v>66</v>
      </c>
      <c r="T8" s="90" t="s">
        <v>94</v>
      </c>
      <c r="U8" s="90" t="s">
        <v>95</v>
      </c>
      <c r="V8" s="90" t="s">
        <v>96</v>
      </c>
    </row>
    <row r="9" spans="1:22" ht="69" x14ac:dyDescent="0.3">
      <c r="A9" s="82">
        <v>7</v>
      </c>
      <c r="B9" s="82" t="s">
        <v>1097</v>
      </c>
      <c r="C9" s="84"/>
      <c r="D9" s="82" t="s">
        <v>238</v>
      </c>
      <c r="E9" s="82" t="s">
        <v>359</v>
      </c>
      <c r="F9" s="82" t="s">
        <v>1098</v>
      </c>
      <c r="G9" s="82" t="s">
        <v>1099</v>
      </c>
      <c r="H9" s="82" t="s">
        <v>74</v>
      </c>
      <c r="I9" s="57" t="s">
        <v>75</v>
      </c>
      <c r="J9" s="83">
        <v>46126.461805555555</v>
      </c>
      <c r="K9" s="84"/>
      <c r="L9" s="84"/>
      <c r="M9" s="82" t="s">
        <v>77</v>
      </c>
      <c r="N9" s="59">
        <f>IF(ISBLANK(J9),"",IF(OR(M9="Completed",M9="Closed"),"",IF(H9="Issue",IF(I9="High",WORKDAY(J9,2,DATA!A8:A36),IF(I9="Medium",WORKDAY(J9,14, DATA!A8:A36),IF(OR(I9="Low"),WORKDAY(J9,30,DATA!A8:A36),""))),
"")
))</f>
        <v>46147</v>
      </c>
      <c r="O9" s="60">
        <f ca="1">IF(OR(ISBLANK(#REF!), M9="Completed", M9="Closed", H9&lt;&gt;"Issue"), "",
   (NETWORKDAYS.INTL(TODAY(), N9, 1, DATA!A8:A36) - 1))</f>
        <v>-56</v>
      </c>
      <c r="P9" s="88">
        <f t="shared" ca="1" si="1"/>
        <v>56</v>
      </c>
      <c r="Q9" s="64" t="str">
        <f t="shared" ca="1" si="0"/>
        <v>31-60 Days</v>
      </c>
      <c r="S9" s="139"/>
      <c r="T9" s="70">
        <f ca="1">COUNTIFS(P3:P276,"&gt;=1",P3:P276,"&lt;=30")</f>
        <v>1</v>
      </c>
      <c r="U9" s="70">
        <f ca="1">COUNTIFS(P3:P276,"&gt;=31",P3:P276,"&lt;=60")</f>
        <v>2</v>
      </c>
      <c r="V9" s="70">
        <f ca="1">COUNTIFS(P3:P276,"&gt;60")</f>
        <v>1</v>
      </c>
    </row>
    <row r="10" spans="1:22" ht="234.6" x14ac:dyDescent="0.3">
      <c r="A10" s="82">
        <v>8</v>
      </c>
      <c r="B10" s="82" t="s">
        <v>1100</v>
      </c>
      <c r="C10" s="82" t="s">
        <v>70</v>
      </c>
      <c r="D10" s="82" t="s">
        <v>379</v>
      </c>
      <c r="E10" s="82" t="s">
        <v>359</v>
      </c>
      <c r="F10" s="82" t="s">
        <v>1101</v>
      </c>
      <c r="G10" s="82" t="s">
        <v>1102</v>
      </c>
      <c r="H10" s="82" t="s">
        <v>74</v>
      </c>
      <c r="I10" s="57" t="s">
        <v>75</v>
      </c>
      <c r="J10" s="83">
        <v>46127.395833333336</v>
      </c>
      <c r="K10" s="83">
        <v>46141.513888888891</v>
      </c>
      <c r="L10" s="83">
        <v>46159.948611111111</v>
      </c>
      <c r="M10" s="82" t="s">
        <v>76</v>
      </c>
      <c r="N10" s="59" t="str">
        <f>IF(ISBLANK(J10),"",IF(OR(M10="Completed",M10="Closed"),"",IF(H10="Issue",IF(I10="High",WORKDAY(J10,2,DATA!A9:A37),IF(I10="Medium",WORKDAY(J10,14, DATA!A9:A37),IF(OR(I10="Low"),WORKDAY(J10,30,DATA!A9:A37),""))),
"")
))</f>
        <v/>
      </c>
      <c r="O10" s="60" t="str">
        <f ca="1">IF(OR(ISBLANK(#REF!), M10="Completed", M10="Closed", H10&lt;&gt;"Issue"), "",
   (NETWORKDAYS.INTL(TODAY(), N10, 1, DATA!A9:A37) - 1))</f>
        <v/>
      </c>
      <c r="P10" s="88" t="str">
        <f t="shared" ca="1" si="1"/>
        <v/>
      </c>
      <c r="Q10" s="64" t="str">
        <f t="shared" ca="1" si="0"/>
        <v/>
      </c>
    </row>
    <row r="11" spans="1:22" ht="41.4" x14ac:dyDescent="0.3">
      <c r="A11" s="82">
        <v>9</v>
      </c>
      <c r="B11" s="82" t="s">
        <v>1103</v>
      </c>
      <c r="C11" s="82" t="s">
        <v>70</v>
      </c>
      <c r="D11" s="82" t="s">
        <v>238</v>
      </c>
      <c r="E11" s="82" t="s">
        <v>359</v>
      </c>
      <c r="F11" s="82" t="s">
        <v>1104</v>
      </c>
      <c r="G11" s="82" t="s">
        <v>1105</v>
      </c>
      <c r="H11" s="82" t="s">
        <v>74</v>
      </c>
      <c r="I11" s="57" t="s">
        <v>75</v>
      </c>
      <c r="J11" s="83">
        <v>46127.526388888888</v>
      </c>
      <c r="K11" s="83">
        <v>46127.71597222222</v>
      </c>
      <c r="L11" s="83">
        <v>46159.951388888891</v>
      </c>
      <c r="M11" s="82" t="s">
        <v>76</v>
      </c>
      <c r="N11" s="59" t="str">
        <f>IF(ISBLANK(J11),"",IF(OR(M11="Completed",M11="Closed"),"",IF(H11="Issue",IF(I11="High",WORKDAY(J11,2,DATA!A10:A38),IF(I11="Medium",WORKDAY(J11,14, DATA!A10:A38),IF(OR(I11="Low"),WORKDAY(J11,30,DATA!A10:A38),""))),
"")
))</f>
        <v/>
      </c>
      <c r="O11" s="60" t="str">
        <f ca="1">IF(OR(ISBLANK(#REF!), M11="Completed", M11="Closed", H11&lt;&gt;"Issue"), "",
   (NETWORKDAYS.INTL(TODAY(), N11, 1, DATA!A10:A38) - 1))</f>
        <v/>
      </c>
      <c r="P11" s="88" t="str">
        <f t="shared" ca="1" si="1"/>
        <v/>
      </c>
      <c r="Q11" s="64" t="str">
        <f t="shared" ca="1" si="0"/>
        <v/>
      </c>
    </row>
    <row r="12" spans="1:22" ht="41.4" x14ac:dyDescent="0.3">
      <c r="A12" s="82">
        <v>10</v>
      </c>
      <c r="B12" s="82" t="s">
        <v>1106</v>
      </c>
      <c r="C12" s="82" t="s">
        <v>70</v>
      </c>
      <c r="D12" s="82" t="s">
        <v>238</v>
      </c>
      <c r="E12" s="82" t="s">
        <v>359</v>
      </c>
      <c r="F12" s="82" t="s">
        <v>1107</v>
      </c>
      <c r="G12" s="82" t="s">
        <v>1108</v>
      </c>
      <c r="H12" s="82" t="s">
        <v>74</v>
      </c>
      <c r="I12" s="57" t="s">
        <v>75</v>
      </c>
      <c r="J12" s="83">
        <v>46127.529861111114</v>
      </c>
      <c r="K12" s="83">
        <v>46129.375</v>
      </c>
      <c r="L12" s="83">
        <v>46129.375694444447</v>
      </c>
      <c r="M12" s="82" t="s">
        <v>76</v>
      </c>
      <c r="N12" s="59" t="str">
        <f>IF(ISBLANK(J12),"",IF(OR(M12="Completed",M12="Closed"),"",IF(H12="Issue",IF(I12="High",WORKDAY(J12,2,DATA!A11:A39),IF(I12="Medium",WORKDAY(J12,14, DATA!A11:A39),IF(OR(I12="Low"),WORKDAY(J12,30,DATA!A11:A39),""))),
"")
))</f>
        <v/>
      </c>
      <c r="O12" s="60" t="str">
        <f ca="1">IF(OR(ISBLANK(#REF!), M12="Completed", M12="Closed", H12&lt;&gt;"Issue"), "",
   (NETWORKDAYS.INTL(TODAY(), N12, 1, DATA!A11:A39) - 1))</f>
        <v/>
      </c>
      <c r="P12" s="88" t="str">
        <f t="shared" ca="1" si="1"/>
        <v/>
      </c>
      <c r="Q12" s="64" t="str">
        <f t="shared" ca="1" si="0"/>
        <v/>
      </c>
    </row>
    <row r="13" spans="1:22" ht="41.4" x14ac:dyDescent="0.3">
      <c r="A13" s="82">
        <v>11</v>
      </c>
      <c r="B13" s="82" t="s">
        <v>1109</v>
      </c>
      <c r="C13" s="82" t="s">
        <v>70</v>
      </c>
      <c r="D13" s="82" t="s">
        <v>238</v>
      </c>
      <c r="E13" s="82" t="s">
        <v>359</v>
      </c>
      <c r="F13" s="82" t="s">
        <v>1110</v>
      </c>
      <c r="G13" s="82" t="s">
        <v>1111</v>
      </c>
      <c r="H13" s="82" t="s">
        <v>74</v>
      </c>
      <c r="I13" s="57" t="s">
        <v>75</v>
      </c>
      <c r="J13" s="83">
        <v>46132.421527777777</v>
      </c>
      <c r="K13" s="83">
        <v>46139.427083333336</v>
      </c>
      <c r="L13" s="84"/>
      <c r="M13" s="82" t="s">
        <v>85</v>
      </c>
      <c r="N13" s="59" t="str">
        <f>IF(ISBLANK(J13),"",IF(OR(M13="Completed",M13="Closed"),"",IF(H13="Issue",IF(I13="High",WORKDAY(J13,2,DATA!A12:A40),IF(I13="Medium",WORKDAY(J13,14, DATA!A12:A40),IF(OR(I13="Low"),WORKDAY(J13,30,DATA!A12:A40),""))),
"")
))</f>
        <v/>
      </c>
      <c r="O13" s="60" t="str">
        <f ca="1">IF(OR(ISBLANK(#REF!), M13="Completed", M13="Closed", H13&lt;&gt;"Issue"), "",
   (NETWORKDAYS.INTL(TODAY(), N13, 1, DATA!A12:A40) - 1))</f>
        <v/>
      </c>
      <c r="P13" s="88" t="str">
        <f t="shared" ca="1" si="1"/>
        <v/>
      </c>
      <c r="Q13" s="64" t="str">
        <f t="shared" ca="1" si="0"/>
        <v/>
      </c>
    </row>
    <row r="14" spans="1:22" ht="248.4" x14ac:dyDescent="0.3">
      <c r="A14" s="82">
        <v>12</v>
      </c>
      <c r="B14" s="82" t="s">
        <v>1112</v>
      </c>
      <c r="C14" s="82" t="s">
        <v>70</v>
      </c>
      <c r="D14" s="82" t="s">
        <v>238</v>
      </c>
      <c r="E14" s="82" t="s">
        <v>359</v>
      </c>
      <c r="F14" s="82" t="s">
        <v>1113</v>
      </c>
      <c r="G14" s="82" t="s">
        <v>1114</v>
      </c>
      <c r="H14" s="82" t="s">
        <v>74</v>
      </c>
      <c r="I14" s="57" t="s">
        <v>75</v>
      </c>
      <c r="J14" s="83">
        <v>46136.436805555553</v>
      </c>
      <c r="K14" s="83">
        <v>46197.660416666666</v>
      </c>
      <c r="L14" s="83">
        <v>46197.661111111112</v>
      </c>
      <c r="M14" s="82" t="s">
        <v>76</v>
      </c>
      <c r="N14" s="59" t="str">
        <f>IF(ISBLANK(J14),"",IF(OR(M14="Completed",M14="Closed"),"",IF(H14="Issue",IF(I14="High",WORKDAY(J14,2,DATA!A13:A41),IF(I14="Medium",WORKDAY(J14,14, DATA!A13:A41),IF(OR(I14="Low"),WORKDAY(J14,30,DATA!A13:A41),""))),
"")
))</f>
        <v/>
      </c>
      <c r="O14" s="60" t="str">
        <f ca="1">IF(OR(ISBLANK(#REF!), M14="Completed", M14="Closed", H14&lt;&gt;"Issue"), "",
   (NETWORKDAYS.INTL(TODAY(), N14, 1, DATA!A13:A41) - 1))</f>
        <v/>
      </c>
      <c r="P14" s="88" t="str">
        <f t="shared" ca="1" si="1"/>
        <v/>
      </c>
      <c r="Q14" s="64" t="str">
        <f t="shared" ca="1" si="0"/>
        <v/>
      </c>
    </row>
    <row r="15" spans="1:22" ht="165.6" x14ac:dyDescent="0.3">
      <c r="A15" s="82">
        <v>13</v>
      </c>
      <c r="B15" s="82" t="s">
        <v>1115</v>
      </c>
      <c r="C15" s="82" t="s">
        <v>70</v>
      </c>
      <c r="D15" s="82" t="s">
        <v>238</v>
      </c>
      <c r="E15" s="82" t="s">
        <v>359</v>
      </c>
      <c r="F15" s="82" t="s">
        <v>1116</v>
      </c>
      <c r="G15" s="82" t="s">
        <v>1117</v>
      </c>
      <c r="H15" s="82" t="s">
        <v>74</v>
      </c>
      <c r="I15" s="57" t="s">
        <v>75</v>
      </c>
      <c r="J15" s="83">
        <v>46140.727777777778</v>
      </c>
      <c r="K15" s="83">
        <v>46197.527777777781</v>
      </c>
      <c r="L15" s="83">
        <v>46197.527777777781</v>
      </c>
      <c r="M15" s="82" t="s">
        <v>76</v>
      </c>
      <c r="N15" s="59" t="str">
        <f>IF(ISBLANK(J15),"",IF(OR(M15="Completed",M15="Closed"),"",IF(H15="Issue",IF(I15="High",WORKDAY(J15,2,DATA!A14:A42),IF(I15="Medium",WORKDAY(J15,14, DATA!A14:A42),IF(OR(I15="Low"),WORKDAY(J15,30,DATA!A14:A42),""))),
"")
))</f>
        <v/>
      </c>
      <c r="O15" s="60" t="str">
        <f ca="1">IF(OR(ISBLANK(#REF!), M15="Completed", M15="Closed", H15&lt;&gt;"Issue"), "",
   (NETWORKDAYS.INTL(TODAY(), N15, 1, DATA!A14:A42) - 1))</f>
        <v/>
      </c>
      <c r="P15" s="88" t="str">
        <f t="shared" ca="1" si="1"/>
        <v/>
      </c>
      <c r="Q15" s="64" t="str">
        <f t="shared" ca="1" si="0"/>
        <v/>
      </c>
    </row>
    <row r="16" spans="1:22" ht="69" x14ac:dyDescent="0.3">
      <c r="A16" s="82">
        <v>14</v>
      </c>
      <c r="B16" s="82" t="s">
        <v>1118</v>
      </c>
      <c r="C16" s="82" t="s">
        <v>70</v>
      </c>
      <c r="D16" s="82" t="s">
        <v>238</v>
      </c>
      <c r="E16" s="82" t="s">
        <v>359</v>
      </c>
      <c r="F16" s="82" t="s">
        <v>1119</v>
      </c>
      <c r="G16" s="82" t="s">
        <v>1120</v>
      </c>
      <c r="H16" s="82" t="s">
        <v>74</v>
      </c>
      <c r="I16" s="57" t="s">
        <v>75</v>
      </c>
      <c r="J16" s="83">
        <v>46150.703472222223</v>
      </c>
      <c r="K16" s="83">
        <v>46153.38958333333</v>
      </c>
      <c r="L16" s="84"/>
      <c r="M16" s="82" t="s">
        <v>85</v>
      </c>
      <c r="N16" s="59" t="str">
        <f>IF(ISBLANK(J16),"",IF(OR(M16="Completed",M16="Closed"),"",IF(H16="Issue",IF(I16="High",WORKDAY(J16,2,DATA!A15:A43),IF(I16="Medium",WORKDAY(J16,14, DATA!A15:A43),IF(OR(I16="Low"),WORKDAY(J16,30,DATA!A15:A43),""))),
"")
))</f>
        <v/>
      </c>
      <c r="O16" s="60" t="str">
        <f ca="1">IF(OR(ISBLANK(#REF!), M16="Completed", M16="Closed", H16&lt;&gt;"Issue"), "",
   (NETWORKDAYS.INTL(TODAY(), N16, 1, DATA!A15:A43) - 1))</f>
        <v/>
      </c>
      <c r="P16" s="88" t="str">
        <f t="shared" ca="1" si="1"/>
        <v/>
      </c>
      <c r="Q16" s="64" t="str">
        <f t="shared" ca="1" si="0"/>
        <v/>
      </c>
    </row>
    <row r="17" spans="1:17" ht="69" x14ac:dyDescent="0.3">
      <c r="A17" s="82">
        <v>15</v>
      </c>
      <c r="B17" s="82" t="s">
        <v>1121</v>
      </c>
      <c r="C17" s="82" t="s">
        <v>70</v>
      </c>
      <c r="D17" s="82" t="s">
        <v>452</v>
      </c>
      <c r="E17" s="82" t="s">
        <v>359</v>
      </c>
      <c r="F17" s="82" t="s">
        <v>1122</v>
      </c>
      <c r="G17" s="82" t="s">
        <v>1123</v>
      </c>
      <c r="H17" s="82" t="s">
        <v>74</v>
      </c>
      <c r="I17" s="57" t="s">
        <v>75</v>
      </c>
      <c r="J17" s="83">
        <v>46150.71875</v>
      </c>
      <c r="K17" s="83">
        <v>46197.51458333333</v>
      </c>
      <c r="L17" s="83">
        <v>46197.51458333333</v>
      </c>
      <c r="M17" s="82" t="s">
        <v>76</v>
      </c>
      <c r="N17" s="59" t="str">
        <f>IF(ISBLANK(J17),"",IF(OR(M17="Completed",M17="Closed"),"",IF(H17="Issue",IF(I17="High",WORKDAY(J17,2,DATA!A16:A44),IF(I17="Medium",WORKDAY(J17,14, DATA!A16:A44),IF(OR(I17="Low"),WORKDAY(J17,30,DATA!A16:A44),""))),
"")
))</f>
        <v/>
      </c>
      <c r="O17" s="60" t="str">
        <f ca="1">IF(OR(ISBLANK(#REF!), M17="Completed", M17="Closed", H17&lt;&gt;"Issue"), "",
   (NETWORKDAYS.INTL(TODAY(), N17, 1, DATA!A16:A44) - 1))</f>
        <v/>
      </c>
      <c r="P17" s="88" t="str">
        <f t="shared" ca="1" si="1"/>
        <v/>
      </c>
      <c r="Q17" s="64" t="str">
        <f t="shared" ca="1" si="0"/>
        <v/>
      </c>
    </row>
    <row r="18" spans="1:17" ht="55.2" x14ac:dyDescent="0.3">
      <c r="A18" s="82">
        <v>16</v>
      </c>
      <c r="B18" s="82" t="s">
        <v>1124</v>
      </c>
      <c r="C18" s="82" t="s">
        <v>70</v>
      </c>
      <c r="D18" s="82" t="s">
        <v>199</v>
      </c>
      <c r="E18" s="82" t="s">
        <v>359</v>
      </c>
      <c r="F18" s="82" t="s">
        <v>1125</v>
      </c>
      <c r="G18" s="82" t="s">
        <v>1126</v>
      </c>
      <c r="H18" s="82" t="s">
        <v>74</v>
      </c>
      <c r="I18" s="57" t="s">
        <v>75</v>
      </c>
      <c r="J18" s="83">
        <v>46154.42291666667</v>
      </c>
      <c r="K18" s="83">
        <v>46154.679861111108</v>
      </c>
      <c r="L18" s="84"/>
      <c r="M18" s="82" t="s">
        <v>85</v>
      </c>
      <c r="N18" s="59" t="str">
        <f>IF(ISBLANK(J18),"",IF(OR(M18="Completed",M18="Closed"),"",IF(H18="Issue",IF(I18="High",WORKDAY(J18,2,DATA!A17:A45),IF(I18="Medium",WORKDAY(J18,14, DATA!A17:A45),IF(OR(I18="Low"),WORKDAY(J18,30,DATA!A17:A45),""))),
"")
))</f>
        <v/>
      </c>
      <c r="O18" s="60" t="str">
        <f ca="1">IF(OR(ISBLANK(#REF!), M18="Completed", M18="Closed", H18&lt;&gt;"Issue"), "",
   (NETWORKDAYS.INTL(TODAY(), N18, 1, DATA!A17:A45) - 1))</f>
        <v/>
      </c>
      <c r="P18" s="88" t="str">
        <f t="shared" ca="1" si="1"/>
        <v/>
      </c>
      <c r="Q18" s="64" t="str">
        <f t="shared" ca="1" si="0"/>
        <v/>
      </c>
    </row>
    <row r="19" spans="1:17" ht="55.2" x14ac:dyDescent="0.3">
      <c r="A19" s="82">
        <v>17</v>
      </c>
      <c r="B19" s="82" t="s">
        <v>1127</v>
      </c>
      <c r="C19" s="82" t="s">
        <v>70</v>
      </c>
      <c r="D19" s="82" t="s">
        <v>238</v>
      </c>
      <c r="E19" s="82" t="s">
        <v>359</v>
      </c>
      <c r="F19" s="82" t="s">
        <v>1128</v>
      </c>
      <c r="G19" s="82" t="s">
        <v>1129</v>
      </c>
      <c r="H19" s="82" t="s">
        <v>74</v>
      </c>
      <c r="I19" s="57" t="s">
        <v>75</v>
      </c>
      <c r="J19" s="83">
        <v>46170.51666666667</v>
      </c>
      <c r="K19" s="83">
        <v>46197.509722222225</v>
      </c>
      <c r="L19" s="83">
        <v>46197.509722222225</v>
      </c>
      <c r="M19" s="82" t="s">
        <v>76</v>
      </c>
      <c r="N19" s="59" t="str">
        <f>IF(ISBLANK(J19),"",IF(OR(M19="Completed",M19="Closed"),"",IF(H19="Issue",IF(I19="High",WORKDAY(J19,2,DATA!A18:A46),IF(I19="Medium",WORKDAY(J19,14, DATA!A18:A46),IF(OR(I19="Low"),WORKDAY(J19,30,DATA!A18:A46),""))),
"")
))</f>
        <v/>
      </c>
      <c r="O19" s="60" t="str">
        <f ca="1">IF(OR(ISBLANK(#REF!), M19="Completed", M19="Closed", H19&lt;&gt;"Issue"), "",
   (NETWORKDAYS.INTL(TODAY(), N19, 1, DATA!A18:A46) - 1))</f>
        <v/>
      </c>
      <c r="P19" s="88" t="str">
        <f t="shared" ca="1" si="1"/>
        <v/>
      </c>
      <c r="Q19" s="64" t="str">
        <f t="shared" ca="1" si="0"/>
        <v/>
      </c>
    </row>
    <row r="20" spans="1:17" ht="82.8" x14ac:dyDescent="0.3">
      <c r="A20" s="82">
        <v>18</v>
      </c>
      <c r="B20" s="82" t="s">
        <v>1130</v>
      </c>
      <c r="C20" s="82" t="s">
        <v>70</v>
      </c>
      <c r="D20" s="82" t="s">
        <v>379</v>
      </c>
      <c r="E20" s="82" t="s">
        <v>359</v>
      </c>
      <c r="F20" s="82" t="s">
        <v>1131</v>
      </c>
      <c r="G20" s="82" t="s">
        <v>1132</v>
      </c>
      <c r="H20" s="82" t="s">
        <v>74</v>
      </c>
      <c r="I20" s="57" t="s">
        <v>75</v>
      </c>
      <c r="J20" s="83">
        <v>46182.462500000001</v>
      </c>
      <c r="K20" s="83">
        <v>46191.355555555558</v>
      </c>
      <c r="L20" s="84"/>
      <c r="M20" s="82" t="s">
        <v>85</v>
      </c>
      <c r="N20" s="59" t="str">
        <f>IF(ISBLANK(J20),"",IF(OR(M20="Completed",M20="Closed"),"",IF(H20="Issue",IF(I20="High",WORKDAY(J20,2,DATA!A19:A47),IF(I20="Medium",WORKDAY(J20,14, DATA!A19:A47),IF(OR(I20="Low"),WORKDAY(J20,30,DATA!A19:A47),""))),
"")
))</f>
        <v/>
      </c>
      <c r="O20" s="60" t="str">
        <f ca="1">IF(OR(ISBLANK(#REF!), M20="Completed", M20="Closed", H20&lt;&gt;"Issue"), "",
   (NETWORKDAYS.INTL(TODAY(), N20, 1, DATA!A19:A47) - 1))</f>
        <v/>
      </c>
      <c r="P20" s="88" t="str">
        <f t="shared" ca="1" si="1"/>
        <v/>
      </c>
      <c r="Q20" s="64" t="str">
        <f t="shared" ca="1" si="0"/>
        <v/>
      </c>
    </row>
    <row r="21" spans="1:17" ht="27.6" x14ac:dyDescent="0.3">
      <c r="A21" s="82">
        <v>19</v>
      </c>
      <c r="B21" s="82" t="s">
        <v>1133</v>
      </c>
      <c r="C21" s="82" t="s">
        <v>70</v>
      </c>
      <c r="D21" s="82" t="s">
        <v>199</v>
      </c>
      <c r="E21" s="82" t="s">
        <v>359</v>
      </c>
      <c r="F21" s="82" t="s">
        <v>1134</v>
      </c>
      <c r="G21" s="82" t="s">
        <v>1135</v>
      </c>
      <c r="H21" s="82" t="s">
        <v>74</v>
      </c>
      <c r="I21" s="57" t="s">
        <v>75</v>
      </c>
      <c r="J21" s="83">
        <v>46184.488194444442</v>
      </c>
      <c r="K21" s="83">
        <v>46197.36041666667</v>
      </c>
      <c r="L21" s="84"/>
      <c r="M21" s="82" t="s">
        <v>85</v>
      </c>
      <c r="N21" s="59" t="str">
        <f>IF(ISBLANK(J21),"",IF(OR(M21="Completed",M21="Closed"),"",IF(H21="Issue",IF(I21="High",WORKDAY(J21,2,DATA!A20:A48),IF(I21="Medium",WORKDAY(J21,14, DATA!A20:A48),IF(OR(I21="Low"),WORKDAY(J21,30,DATA!A20:A48),""))),
"")
))</f>
        <v/>
      </c>
      <c r="O21" s="60" t="str">
        <f ca="1">IF(OR(ISBLANK(#REF!), M21="Completed", M21="Closed", H21&lt;&gt;"Issue"), "",
   (NETWORKDAYS.INTL(TODAY(), N21, 1, DATA!A20:A48) - 1))</f>
        <v/>
      </c>
      <c r="P21" s="88" t="str">
        <f t="shared" ca="1" si="1"/>
        <v/>
      </c>
      <c r="Q21" s="64" t="str">
        <f ca="1">IF(P21="","",
IF(P21&lt;=0,"Not Due",
IF(P21&lt;=30,"1-30 Days",
IF(P21&lt;=60,"31-60 Days",
"&gt;60 Days"))))</f>
        <v/>
      </c>
    </row>
    <row r="22" spans="1:17" ht="55.2" x14ac:dyDescent="0.3">
      <c r="A22" s="82">
        <v>20</v>
      </c>
      <c r="B22" s="82" t="s">
        <v>1441</v>
      </c>
      <c r="C22" s="84"/>
      <c r="D22" s="82" t="s">
        <v>238</v>
      </c>
      <c r="E22" s="82" t="s">
        <v>359</v>
      </c>
      <c r="F22" s="82" t="s">
        <v>1442</v>
      </c>
      <c r="G22" s="82" t="s">
        <v>1443</v>
      </c>
      <c r="H22" s="82" t="s">
        <v>74</v>
      </c>
      <c r="I22" s="57" t="s">
        <v>75</v>
      </c>
      <c r="J22" s="83">
        <v>46198.431944444441</v>
      </c>
      <c r="K22" s="84"/>
      <c r="L22" s="84"/>
      <c r="M22" s="82" t="s">
        <v>77</v>
      </c>
      <c r="N22" s="59">
        <f>IF(ISBLANK(J22),"",IF(OR(M22="Completed",M22="Closed"),"",IF(H22="Issue",IF(I22="High",WORKDAY(J22,2,DATA!A21:A49),IF(I22="Medium",WORKDAY(J22,14, DATA!A21:A49),IF(OR(I22="Low"),WORKDAY(J22,30,DATA!A21:A49),""))),
"")
))</f>
        <v>46218</v>
      </c>
      <c r="O22" s="60">
        <f ca="1">IF(OR(ISBLANK(#REF!), M22="Completed", M22="Closed", H22&lt;&gt;"Issue"), "",
   (NETWORKDAYS.INTL(TODAY(), N22, 1, DATA!A21:A49) - 1))</f>
        <v>-7</v>
      </c>
      <c r="P22" s="88">
        <f t="shared" ca="1" si="1"/>
        <v>7</v>
      </c>
      <c r="Q22" s="64" t="str">
        <f t="shared" ref="Q22:Q84" ca="1" si="2">IF(P22="","",
IF(P22&lt;=0,"Not Due",
IF(P22&lt;=30,"1-30 Days",
IF(P22&lt;=60,"31-60 Days",
"&gt;60 Days"))))</f>
        <v>1-30 Days</v>
      </c>
    </row>
    <row r="23" spans="1:17" ht="138" x14ac:dyDescent="0.3">
      <c r="A23" s="82">
        <v>21</v>
      </c>
      <c r="B23" s="82" t="s">
        <v>1444</v>
      </c>
      <c r="C23" s="82" t="s">
        <v>70</v>
      </c>
      <c r="D23" s="82" t="s">
        <v>238</v>
      </c>
      <c r="E23" s="82" t="s">
        <v>359</v>
      </c>
      <c r="F23" s="82" t="s">
        <v>1445</v>
      </c>
      <c r="G23" s="82" t="s">
        <v>1446</v>
      </c>
      <c r="H23" s="82" t="s">
        <v>74</v>
      </c>
      <c r="I23" s="57" t="s">
        <v>75</v>
      </c>
      <c r="J23" s="83">
        <v>46200.569444444445</v>
      </c>
      <c r="K23" s="83">
        <v>46202.59652777778</v>
      </c>
      <c r="L23" s="84"/>
      <c r="M23" s="82" t="s">
        <v>85</v>
      </c>
      <c r="N23" s="59" t="str">
        <f>IF(ISBLANK(J23),"",IF(OR(M23="Completed",M23="Closed"),"",IF(H23="Issue",IF(I23="High",WORKDAY(J23,2,DATA!A23:A51),IF(I23="Medium",WORKDAY(J23,14, DATA!A23:A51),IF(OR(I23="Low"),WORKDAY(J23,30,DATA!A23:A51),""))),
"")
))</f>
        <v/>
      </c>
      <c r="O23" s="60" t="str">
        <f ca="1">IF(OR(ISBLANK(#REF!), M23="Completed", M23="Closed", H23&lt;&gt;"Issue"), "",
   (NETWORKDAYS.INTL(TODAY(), N23, 1, DATA!A23:A51) - 1))</f>
        <v/>
      </c>
      <c r="P23" s="88" t="str">
        <f t="shared" ca="1" si="1"/>
        <v/>
      </c>
      <c r="Q23" s="64" t="str">
        <f t="shared" ca="1" si="2"/>
        <v/>
      </c>
    </row>
    <row r="24" spans="1:17" x14ac:dyDescent="0.3">
      <c r="A24" s="82">
        <v>22</v>
      </c>
      <c r="B24" s="57"/>
      <c r="C24" s="57"/>
      <c r="D24" s="57"/>
      <c r="E24" s="57"/>
      <c r="F24" s="57"/>
      <c r="G24" s="57"/>
      <c r="H24" s="57"/>
      <c r="I24" s="57" t="s">
        <v>75</v>
      </c>
      <c r="J24" s="100"/>
      <c r="K24" s="100"/>
      <c r="L24" s="100"/>
      <c r="M24" s="57"/>
      <c r="N24" s="59" t="str">
        <f>IF(ISBLANK(J24),"",IF(OR(M24="Completed",M24="Closed"),"",IF(H24="Issue",IF(I24="High",WORKDAY(J24,2,DATA!A24:A52),IF(I24="Medium",WORKDAY(J24,14, DATA!A24:A52),IF(OR(I24="Low"),WORKDAY(J24,30,DATA!A24:A52),""))),
"")
))</f>
        <v/>
      </c>
      <c r="O24" s="60" t="str">
        <f ca="1">IF(OR(ISBLANK(#REF!), M24="Completed", M24="Closed", H24&lt;&gt;"Issue"), "",
   (NETWORKDAYS.INTL(TODAY(), N24, 1, DATA!A24:A52) - 1))</f>
        <v/>
      </c>
      <c r="P24" s="88" t="str">
        <f t="shared" ca="1" si="1"/>
        <v/>
      </c>
      <c r="Q24" s="64" t="str">
        <f t="shared" ca="1" si="2"/>
        <v/>
      </c>
    </row>
    <row r="25" spans="1:17" x14ac:dyDescent="0.3">
      <c r="A25" s="82">
        <v>23</v>
      </c>
      <c r="B25" s="57"/>
      <c r="C25" s="57"/>
      <c r="D25" s="57"/>
      <c r="E25" s="57"/>
      <c r="F25" s="57"/>
      <c r="G25" s="57"/>
      <c r="H25" s="57"/>
      <c r="I25" s="57" t="s">
        <v>75</v>
      </c>
      <c r="J25" s="100"/>
      <c r="K25" s="101"/>
      <c r="L25" s="101"/>
      <c r="M25" s="57"/>
      <c r="N25" s="59" t="str">
        <f>IF(ISBLANK(J25),"",IF(OR(M25="Completed",M25="Closed"),"",IF(H25="Issue",IF(I25="High",WORKDAY(J25,2,DATA!A25:A53),IF(I25="Medium",WORKDAY(J25,14, DATA!A25:A53),IF(OR(I25="Low"),WORKDAY(J25,30,DATA!A25:A53),""))),
"")
))</f>
        <v/>
      </c>
      <c r="O25" s="60" t="str">
        <f ca="1">IF(OR(ISBLANK(#REF!), M25="Completed", M25="Closed", H25&lt;&gt;"Issue"), "",
   (NETWORKDAYS.INTL(TODAY(), N25, 1, DATA!A25:A53) - 1))</f>
        <v/>
      </c>
      <c r="P25" s="88" t="str">
        <f t="shared" ca="1" si="1"/>
        <v/>
      </c>
      <c r="Q25" s="64" t="str">
        <f t="shared" ca="1" si="2"/>
        <v/>
      </c>
    </row>
    <row r="26" spans="1:17" x14ac:dyDescent="0.3">
      <c r="A26" s="82">
        <v>24</v>
      </c>
      <c r="B26" s="57"/>
      <c r="C26" s="57"/>
      <c r="D26" s="57"/>
      <c r="E26" s="57"/>
      <c r="F26" s="57"/>
      <c r="G26" s="57"/>
      <c r="H26" s="57"/>
      <c r="I26" s="57" t="s">
        <v>75</v>
      </c>
      <c r="J26" s="100"/>
      <c r="K26" s="100"/>
      <c r="L26" s="100"/>
      <c r="M26" s="57"/>
      <c r="N26" s="59" t="str">
        <f>IF(ISBLANK(J26),"",IF(OR(M26="Completed",M26="Closed"),"",IF(H26="Issue",IF(I26="High",WORKDAY(J26,2,DATA!A26:A54),IF(I26="Medium",WORKDAY(J26,14, DATA!A26:A54),IF(OR(I26="Low"),WORKDAY(J26,30,DATA!A26:A54),""))),
"")
))</f>
        <v/>
      </c>
      <c r="O26" s="60" t="str">
        <f ca="1">IF(OR(ISBLANK(#REF!), M26="Completed", M26="Closed", H26&lt;&gt;"Issue"), "",
   (NETWORKDAYS.INTL(TODAY(), N26, 1, DATA!A26:A54) - 1))</f>
        <v/>
      </c>
      <c r="P26" s="88" t="str">
        <f t="shared" ca="1" si="1"/>
        <v/>
      </c>
      <c r="Q26" s="64" t="str">
        <f t="shared" ca="1" si="2"/>
        <v/>
      </c>
    </row>
    <row r="27" spans="1:17" x14ac:dyDescent="0.3">
      <c r="A27" s="82">
        <v>25</v>
      </c>
      <c r="B27" s="57"/>
      <c r="C27" s="57"/>
      <c r="D27" s="57"/>
      <c r="E27" s="57"/>
      <c r="F27" s="57"/>
      <c r="G27" s="57"/>
      <c r="H27" s="57"/>
      <c r="I27" s="57" t="s">
        <v>75</v>
      </c>
      <c r="J27" s="100"/>
      <c r="K27" s="100"/>
      <c r="L27" s="100"/>
      <c r="M27" s="57"/>
      <c r="N27" s="59" t="str">
        <f>IF(ISBLANK(J27),"",IF(OR(M27="Completed",M27="Closed"),"",IF(H27="Issue",IF(I27="High",WORKDAY(J27,2,DATA!A27:A55),IF(I27="Medium",WORKDAY(J27,14, DATA!A27:A55),IF(OR(I27="Low"),WORKDAY(J27,30,DATA!A27:A55),""))),
"")
))</f>
        <v/>
      </c>
      <c r="O27" s="60" t="str">
        <f ca="1">IF(OR(ISBLANK(#REF!), M27="Completed", M27="Closed", H27&lt;&gt;"Issue"), "",
   (NETWORKDAYS.INTL(TODAY(), N27, 1, DATA!A27:A55) - 1))</f>
        <v/>
      </c>
      <c r="P27" s="88" t="str">
        <f t="shared" ca="1" si="1"/>
        <v/>
      </c>
      <c r="Q27" s="64" t="str">
        <f t="shared" ca="1" si="2"/>
        <v/>
      </c>
    </row>
    <row r="28" spans="1:17" x14ac:dyDescent="0.3">
      <c r="A28" s="82">
        <v>26</v>
      </c>
      <c r="B28" s="57"/>
      <c r="C28" s="57"/>
      <c r="D28" s="57"/>
      <c r="E28" s="57"/>
      <c r="F28" s="57"/>
      <c r="G28" s="57"/>
      <c r="H28" s="57"/>
      <c r="I28" s="57" t="s">
        <v>75</v>
      </c>
      <c r="J28" s="100"/>
      <c r="K28" s="100"/>
      <c r="L28" s="100"/>
      <c r="M28" s="57"/>
      <c r="N28" s="59" t="str">
        <f>IF(ISBLANK(J28),"",IF(OR(M28="Completed",M28="Closed"),"",IF(H28="Issue",IF(I28="High",WORKDAY(J28,2,DATA!A28:A56),IF(I28="Medium",WORKDAY(J28,14, DATA!A28:A56),IF(OR(I28="Low"),WORKDAY(J28,30,DATA!A28:A56),""))),
"")
))</f>
        <v/>
      </c>
      <c r="O28" s="60" t="str">
        <f ca="1">IF(OR(ISBLANK(#REF!), M28="Completed", M28="Closed", H28&lt;&gt;"Issue"), "",
   (NETWORKDAYS.INTL(TODAY(), N28, 1, DATA!A28:A56) - 1))</f>
        <v/>
      </c>
      <c r="P28" s="88" t="str">
        <f t="shared" ca="1" si="1"/>
        <v/>
      </c>
      <c r="Q28" s="64" t="str">
        <f t="shared" ca="1" si="2"/>
        <v/>
      </c>
    </row>
    <row r="29" spans="1:17" x14ac:dyDescent="0.3">
      <c r="A29" s="82">
        <v>27</v>
      </c>
      <c r="B29" s="57"/>
      <c r="C29" s="57"/>
      <c r="D29" s="57"/>
      <c r="E29" s="57"/>
      <c r="F29" s="57"/>
      <c r="G29" s="57"/>
      <c r="H29" s="57"/>
      <c r="I29" s="57" t="s">
        <v>75</v>
      </c>
      <c r="J29" s="100"/>
      <c r="K29" s="100"/>
      <c r="L29" s="100"/>
      <c r="M29" s="57"/>
      <c r="N29" s="59" t="str">
        <f>IF(ISBLANK(J29),"",IF(OR(M29="Completed",M29="Closed"),"",IF(H29="Issue",IF(I29="High",WORKDAY(J29,2,DATA!A29:A57),IF(I29="Medium",WORKDAY(J29,14, DATA!A29:A57),IF(OR(I29="Low"),WORKDAY(J29,30,DATA!A29:A57),""))),
"")
))</f>
        <v/>
      </c>
      <c r="O29" s="60" t="str">
        <f ca="1">IF(OR(ISBLANK(#REF!), M29="Completed", M29="Closed", H29&lt;&gt;"Issue"), "",
   (NETWORKDAYS.INTL(TODAY(), N29, 1, DATA!A29:A57) - 1))</f>
        <v/>
      </c>
      <c r="P29" s="88" t="str">
        <f t="shared" ca="1" si="1"/>
        <v/>
      </c>
      <c r="Q29" s="64" t="str">
        <f t="shared" ca="1" si="2"/>
        <v/>
      </c>
    </row>
    <row r="30" spans="1:17" x14ac:dyDescent="0.3">
      <c r="A30" s="82">
        <v>28</v>
      </c>
      <c r="B30" s="57"/>
      <c r="C30" s="57"/>
      <c r="D30" s="57"/>
      <c r="E30" s="57"/>
      <c r="F30" s="57"/>
      <c r="G30" s="57"/>
      <c r="H30" s="57"/>
      <c r="I30" s="57" t="s">
        <v>75</v>
      </c>
      <c r="J30" s="100"/>
      <c r="K30" s="101"/>
      <c r="L30" s="101"/>
      <c r="M30" s="57"/>
      <c r="N30" s="59" t="str">
        <f>IF(ISBLANK(J30),"",IF(OR(M30="Completed",M30="Closed"),"",IF(H30="Issue",IF(I30="High",WORKDAY(J30,2,DATA!A30:A58),IF(I30="Medium",WORKDAY(J30,14, DATA!A30:A58),IF(OR(I30="Low"),WORKDAY(J30,30,DATA!A30:A58),""))),
"")
))</f>
        <v/>
      </c>
      <c r="O30" s="60" t="str">
        <f ca="1">IF(OR(ISBLANK(#REF!), M30="Completed", M30="Closed", H30&lt;&gt;"Issue"), "",
   (NETWORKDAYS.INTL(TODAY(), N30, 1, DATA!A30:A58) - 1))</f>
        <v/>
      </c>
      <c r="P30" s="88" t="str">
        <f t="shared" ca="1" si="1"/>
        <v/>
      </c>
      <c r="Q30" s="64" t="str">
        <f t="shared" ca="1" si="2"/>
        <v/>
      </c>
    </row>
    <row r="31" spans="1:17" x14ac:dyDescent="0.3">
      <c r="A31" s="82">
        <v>29</v>
      </c>
      <c r="B31" s="57"/>
      <c r="C31" s="57"/>
      <c r="D31" s="57"/>
      <c r="E31" s="57"/>
      <c r="F31" s="57"/>
      <c r="G31" s="57"/>
      <c r="H31" s="57"/>
      <c r="I31" s="57" t="s">
        <v>75</v>
      </c>
      <c r="J31" s="100"/>
      <c r="K31" s="100"/>
      <c r="L31" s="100"/>
      <c r="M31" s="57"/>
      <c r="N31" s="59" t="str">
        <f>IF(ISBLANK(J31),"",IF(OR(M31="Completed",M31="Closed"),"",IF(H31="Issue",IF(I31="High",WORKDAY(J31,2,DATA!A31:A59),IF(I31="Medium",WORKDAY(J31,14, DATA!A31:A59),IF(OR(I31="Low"),WORKDAY(J31,30,DATA!A31:A59),""))),
"")
))</f>
        <v/>
      </c>
      <c r="O31" s="60" t="str">
        <f ca="1">IF(OR(ISBLANK(#REF!), M31="Completed", M31="Closed", H31&lt;&gt;"Issue"), "",
   (NETWORKDAYS.INTL(TODAY(), N31, 1, DATA!A31:A59) - 1))</f>
        <v/>
      </c>
      <c r="P31" s="88" t="str">
        <f t="shared" ca="1" si="1"/>
        <v/>
      </c>
      <c r="Q31" s="64" t="str">
        <f t="shared" ca="1" si="2"/>
        <v/>
      </c>
    </row>
    <row r="32" spans="1:17" x14ac:dyDescent="0.3">
      <c r="A32" s="82">
        <v>30</v>
      </c>
      <c r="B32" s="57"/>
      <c r="C32" s="57"/>
      <c r="D32" s="57"/>
      <c r="E32" s="57"/>
      <c r="F32" s="57"/>
      <c r="G32" s="57"/>
      <c r="H32" s="57"/>
      <c r="I32" s="57" t="s">
        <v>75</v>
      </c>
      <c r="J32" s="100"/>
      <c r="K32" s="101"/>
      <c r="L32" s="101"/>
      <c r="M32" s="57"/>
      <c r="N32" s="59" t="str">
        <f>IF(ISBLANK(J32),"",IF(OR(M32="Completed",M32="Closed"),"",IF(H32="Issue",IF(I32="High",WORKDAY(J32,2,DATA!A32:A60),IF(I32="Medium",WORKDAY(J32,14, DATA!A32:A60),IF(OR(I32="Low"),WORKDAY(J32,30,DATA!A32:A60),""))),
"")
))</f>
        <v/>
      </c>
      <c r="O32" s="60" t="str">
        <f ca="1">IF(OR(ISBLANK(#REF!), M32="Completed", M32="Closed", H32&lt;&gt;"Issue"), "",
   (NETWORKDAYS.INTL(TODAY(), N32, 1, DATA!A32:A60) - 1))</f>
        <v/>
      </c>
      <c r="P32" s="88" t="str">
        <f t="shared" ca="1" si="1"/>
        <v/>
      </c>
      <c r="Q32" s="64" t="str">
        <f t="shared" ca="1" si="2"/>
        <v/>
      </c>
    </row>
    <row r="33" spans="1:17" x14ac:dyDescent="0.3">
      <c r="A33" s="82">
        <v>31</v>
      </c>
      <c r="B33" s="57"/>
      <c r="C33" s="57"/>
      <c r="D33" s="57"/>
      <c r="E33" s="57"/>
      <c r="F33" s="57"/>
      <c r="G33" s="57"/>
      <c r="H33" s="57"/>
      <c r="I33" s="57" t="s">
        <v>75</v>
      </c>
      <c r="J33" s="100"/>
      <c r="K33" s="100"/>
      <c r="L33" s="100"/>
      <c r="M33" s="57"/>
      <c r="N33" s="59" t="str">
        <f>IF(ISBLANK(J33),"",IF(OR(M33="Completed",M33="Closed"),"",IF(H33="Issue",IF(I33="High",WORKDAY(J33,2,DATA!A33:A61),IF(I33="Medium",WORKDAY(J33,14, DATA!A33:A61),IF(OR(I33="Low"),WORKDAY(J33,30,DATA!A33:A61),""))),
"")
))</f>
        <v/>
      </c>
      <c r="O33" s="60" t="str">
        <f ca="1">IF(OR(ISBLANK(#REF!), M33="Completed", M33="Closed", H33&lt;&gt;"Issue"), "",
   (NETWORKDAYS.INTL(TODAY(), N33, 1, DATA!A33:A61) - 1))</f>
        <v/>
      </c>
      <c r="P33" s="88" t="str">
        <f t="shared" ca="1" si="1"/>
        <v/>
      </c>
      <c r="Q33" s="64" t="str">
        <f t="shared" ca="1" si="2"/>
        <v/>
      </c>
    </row>
    <row r="34" spans="1:17" x14ac:dyDescent="0.3">
      <c r="A34" s="82">
        <v>32</v>
      </c>
      <c r="B34" s="57"/>
      <c r="C34" s="57"/>
      <c r="D34" s="57"/>
      <c r="E34" s="57"/>
      <c r="F34" s="57"/>
      <c r="G34" s="57"/>
      <c r="H34" s="57"/>
      <c r="I34" s="57" t="s">
        <v>75</v>
      </c>
      <c r="J34" s="100"/>
      <c r="K34" s="101"/>
      <c r="L34" s="101"/>
      <c r="M34" s="57"/>
      <c r="N34" s="59" t="str">
        <f>IF(ISBLANK(J34),"",IF(OR(M34="Completed",M34="Closed"),"",IF(H34="Issue",IF(I34="High",WORKDAY(J34,2,DATA!A34:A62),IF(I34="Medium",WORKDAY(J34,14, DATA!A34:A62),IF(OR(I34="Low"),WORKDAY(J34,30,DATA!A34:A62),""))),
"")
))</f>
        <v/>
      </c>
      <c r="O34" s="60" t="str">
        <f ca="1">IF(OR(ISBLANK(#REF!), M34="Completed", M34="Closed", H34&lt;&gt;"Issue"), "",
   (NETWORKDAYS.INTL(TODAY(), N34, 1, DATA!A34:A62) - 1))</f>
        <v/>
      </c>
      <c r="P34" s="88" t="str">
        <f t="shared" ca="1" si="1"/>
        <v/>
      </c>
      <c r="Q34" s="64" t="str">
        <f t="shared" ca="1" si="2"/>
        <v/>
      </c>
    </row>
    <row r="35" spans="1:17" x14ac:dyDescent="0.3">
      <c r="A35" s="82">
        <v>33</v>
      </c>
      <c r="B35" s="57"/>
      <c r="C35" s="57"/>
      <c r="D35" s="57"/>
      <c r="E35" s="57"/>
      <c r="F35" s="57"/>
      <c r="G35" s="57"/>
      <c r="H35" s="57"/>
      <c r="I35" s="57" t="s">
        <v>75</v>
      </c>
      <c r="J35" s="100"/>
      <c r="K35" s="101"/>
      <c r="L35" s="101"/>
      <c r="M35" s="57"/>
      <c r="N35" s="59" t="str">
        <f>IF(ISBLANK(J35),"",IF(OR(M35="Completed",M35="Closed"),"",IF(H35="Issue",IF(I35="High",WORKDAY(J35,2,DATA!A35:A63),IF(I35="Medium",WORKDAY(J35,14, DATA!A35:A63),IF(OR(I35="Low"),WORKDAY(J35,30,DATA!A35:A63),""))),
"")
))</f>
        <v/>
      </c>
      <c r="O35" s="60" t="str">
        <f ca="1">IF(OR(ISBLANK(#REF!), M35="Completed", M35="Closed", H35&lt;&gt;"Issue"), "",
   (NETWORKDAYS.INTL(TODAY(), N35, 1, DATA!A35:A63) - 1))</f>
        <v/>
      </c>
      <c r="P35" s="88" t="str">
        <f t="shared" ca="1" si="1"/>
        <v/>
      </c>
      <c r="Q35" s="64" t="str">
        <f t="shared" ca="1" si="2"/>
        <v/>
      </c>
    </row>
    <row r="36" spans="1:17" x14ac:dyDescent="0.3">
      <c r="A36" s="82">
        <v>34</v>
      </c>
      <c r="B36" s="57"/>
      <c r="C36" s="57"/>
      <c r="D36" s="57"/>
      <c r="E36" s="57"/>
      <c r="F36" s="57"/>
      <c r="G36" s="57"/>
      <c r="H36" s="57"/>
      <c r="I36" s="57" t="s">
        <v>75</v>
      </c>
      <c r="J36" s="100"/>
      <c r="K36" s="100"/>
      <c r="L36" s="100"/>
      <c r="M36" s="57"/>
      <c r="N36" s="59" t="str">
        <f>IF(ISBLANK(J36),"",IF(OR(M36="Completed",M36="Closed"),"",IF(H36="Issue",IF(I36="High",WORKDAY(J36,2,DATA!A36:A64),IF(I36="Medium",WORKDAY(J36,14, DATA!A36:A64),IF(OR(I36="Low"),WORKDAY(J36,30,DATA!A36:A64),""))),
"")
))</f>
        <v/>
      </c>
      <c r="O36" s="60" t="str">
        <f ca="1">IF(OR(ISBLANK(#REF!), M36="Completed", M36="Closed", H36&lt;&gt;"Issue"), "",
   (NETWORKDAYS.INTL(TODAY(), N36, 1, DATA!A36:A64) - 1))</f>
        <v/>
      </c>
      <c r="P36" s="88" t="str">
        <f t="shared" ca="1" si="1"/>
        <v/>
      </c>
      <c r="Q36" s="64" t="str">
        <f t="shared" ca="1" si="2"/>
        <v/>
      </c>
    </row>
    <row r="37" spans="1:17" x14ac:dyDescent="0.3">
      <c r="A37" s="82">
        <v>35</v>
      </c>
      <c r="B37" s="57"/>
      <c r="C37" s="57"/>
      <c r="D37" s="57"/>
      <c r="E37" s="57"/>
      <c r="F37" s="57"/>
      <c r="G37" s="57"/>
      <c r="H37" s="57"/>
      <c r="I37" s="57" t="s">
        <v>75</v>
      </c>
      <c r="J37" s="100"/>
      <c r="K37" s="100"/>
      <c r="L37" s="101"/>
      <c r="M37" s="57"/>
      <c r="N37" s="59" t="str">
        <f>IF(ISBLANK(J37),"",IF(OR(M37="Completed",M37="Closed"),"",IF(H37="Issue",IF(I37="High",WORKDAY(J37,2,DATA!A37:A65),IF(I37="Medium",WORKDAY(J37,14, DATA!A37:A65),IF(OR(I37="Low"),WORKDAY(J37,30,DATA!A37:A65),""))),
"")
))</f>
        <v/>
      </c>
      <c r="O37" s="60" t="str">
        <f ca="1">IF(OR(ISBLANK(#REF!), M37="Completed", M37="Closed", H37&lt;&gt;"Issue"), "",
   (NETWORKDAYS.INTL(TODAY(), N37, 1, DATA!A37:A65) - 1))</f>
        <v/>
      </c>
      <c r="P37" s="88" t="str">
        <f t="shared" ca="1" si="1"/>
        <v/>
      </c>
      <c r="Q37" s="64" t="str">
        <f t="shared" ca="1" si="2"/>
        <v/>
      </c>
    </row>
    <row r="38" spans="1:17" x14ac:dyDescent="0.3">
      <c r="A38" s="82">
        <v>36</v>
      </c>
      <c r="B38" s="57"/>
      <c r="C38" s="57"/>
      <c r="D38" s="57"/>
      <c r="E38" s="57"/>
      <c r="F38" s="57"/>
      <c r="G38" s="57"/>
      <c r="H38" s="57"/>
      <c r="I38" s="57" t="s">
        <v>75</v>
      </c>
      <c r="J38" s="100"/>
      <c r="K38" s="101"/>
      <c r="L38" s="101"/>
      <c r="M38" s="57"/>
      <c r="N38" s="59" t="str">
        <f>IF(ISBLANK(J38),"",IF(OR(M38="Completed",M38="Closed"),"",IF(H38="Issue",IF(I38="High",WORKDAY(J38,2,DATA!A38:A66),IF(I38="Medium",WORKDAY(J38,14, DATA!A38:A66),IF(OR(I38="Low"),WORKDAY(J38,30,DATA!A38:A66),""))),
"")
))</f>
        <v/>
      </c>
      <c r="O38" s="60" t="str">
        <f ca="1">IF(OR(ISBLANK(#REF!), M38="Completed", M38="Closed", H38&lt;&gt;"Issue"), "",
   (NETWORKDAYS.INTL(TODAY(), N38, 1, DATA!A38:A66) - 1))</f>
        <v/>
      </c>
      <c r="P38" s="88" t="str">
        <f t="shared" ca="1" si="1"/>
        <v/>
      </c>
      <c r="Q38" s="64" t="str">
        <f t="shared" ca="1" si="2"/>
        <v/>
      </c>
    </row>
    <row r="39" spans="1:17" x14ac:dyDescent="0.3">
      <c r="A39" s="82">
        <v>37</v>
      </c>
      <c r="B39" s="57"/>
      <c r="C39" s="57"/>
      <c r="D39" s="57"/>
      <c r="E39" s="57"/>
      <c r="F39" s="57"/>
      <c r="G39" s="57"/>
      <c r="H39" s="57"/>
      <c r="I39" s="57" t="s">
        <v>75</v>
      </c>
      <c r="J39" s="100"/>
      <c r="K39" s="101"/>
      <c r="L39" s="101"/>
      <c r="M39" s="57"/>
      <c r="N39" s="59" t="str">
        <f>IF(ISBLANK(J39),"",IF(OR(M39="Completed",M39="Closed"),"",IF(H39="Issue",IF(I39="High",WORKDAY(J39,2,DATA!A39:A67),IF(I39="Medium",WORKDAY(J39,14, DATA!A39:A67),IF(OR(I39="Low"),WORKDAY(J39,30,DATA!A39:A67),""))),
"")
))</f>
        <v/>
      </c>
      <c r="O39" s="60" t="str">
        <f ca="1">IF(OR(ISBLANK(#REF!), M39="Completed", M39="Closed", H39&lt;&gt;"Issue"), "",
   (NETWORKDAYS.INTL(TODAY(), N39, 1, DATA!A39:A67) - 1))</f>
        <v/>
      </c>
      <c r="P39" s="88" t="str">
        <f t="shared" ca="1" si="1"/>
        <v/>
      </c>
      <c r="Q39" s="64" t="str">
        <f t="shared" ca="1" si="2"/>
        <v/>
      </c>
    </row>
    <row r="40" spans="1:17" x14ac:dyDescent="0.3">
      <c r="A40" s="82">
        <v>38</v>
      </c>
      <c r="B40" s="57"/>
      <c r="C40" s="57"/>
      <c r="D40" s="57"/>
      <c r="E40" s="57"/>
      <c r="F40" s="57"/>
      <c r="G40" s="57"/>
      <c r="H40" s="57"/>
      <c r="I40" s="57" t="s">
        <v>75</v>
      </c>
      <c r="J40" s="100"/>
      <c r="K40" s="101"/>
      <c r="L40" s="101"/>
      <c r="M40" s="57"/>
      <c r="N40" s="59" t="str">
        <f>IF(ISBLANK(J40),"",IF(OR(M40="Completed",M40="Closed"),"",IF(H40="Issue",IF(I40="High",WORKDAY(J40,2,DATA!A40:A68),IF(I40="Medium",WORKDAY(J40,14, DATA!A40:A68),IF(OR(I40="Low"),WORKDAY(J40,30,DATA!A40:A68),""))),
"")
))</f>
        <v/>
      </c>
      <c r="O40" s="60" t="str">
        <f ca="1">IF(OR(ISBLANK(#REF!), M40="Completed", M40="Closed", H40&lt;&gt;"Issue"), "",
   (NETWORKDAYS.INTL(TODAY(), N40, 1, DATA!A40:A68) - 1))</f>
        <v/>
      </c>
      <c r="P40" s="88" t="str">
        <f t="shared" ca="1" si="1"/>
        <v/>
      </c>
      <c r="Q40" s="64" t="str">
        <f t="shared" ca="1" si="2"/>
        <v/>
      </c>
    </row>
    <row r="41" spans="1:17" x14ac:dyDescent="0.3">
      <c r="A41" s="82">
        <v>39</v>
      </c>
      <c r="B41" s="57"/>
      <c r="C41" s="57"/>
      <c r="D41" s="57"/>
      <c r="E41" s="57"/>
      <c r="F41" s="57"/>
      <c r="G41" s="57"/>
      <c r="H41" s="57"/>
      <c r="I41" s="57" t="s">
        <v>75</v>
      </c>
      <c r="J41" s="100"/>
      <c r="K41" s="101"/>
      <c r="L41" s="101"/>
      <c r="M41" s="57"/>
      <c r="N41" s="59" t="str">
        <f>IF(ISBLANK(J41),"",IF(OR(M41="Completed",M41="Closed"),"",IF(H41="Issue",IF(I41="High",WORKDAY(J41,2,DATA!A41:A69),IF(I41="Medium",WORKDAY(J41,14, DATA!A41:A69),IF(OR(I41="Low"),WORKDAY(J41,30,DATA!A41:A69),""))),
"")
))</f>
        <v/>
      </c>
      <c r="O41" s="60" t="str">
        <f ca="1">IF(OR(ISBLANK(#REF!), M41="Completed", M41="Closed", H41&lt;&gt;"Issue"), "",
   (NETWORKDAYS.INTL(TODAY(), N41, 1, DATA!A41:A69) - 1))</f>
        <v/>
      </c>
      <c r="P41" s="88" t="str">
        <f t="shared" ca="1" si="1"/>
        <v/>
      </c>
      <c r="Q41" s="64" t="str">
        <f t="shared" ca="1" si="2"/>
        <v/>
      </c>
    </row>
    <row r="42" spans="1:17" x14ac:dyDescent="0.3">
      <c r="A42" s="82">
        <v>40</v>
      </c>
      <c r="B42" s="57"/>
      <c r="C42" s="57"/>
      <c r="D42" s="57"/>
      <c r="E42" s="57"/>
      <c r="F42" s="57"/>
      <c r="G42" s="57"/>
      <c r="H42" s="57"/>
      <c r="I42" s="57" t="s">
        <v>75</v>
      </c>
      <c r="J42" s="100"/>
      <c r="K42" s="100"/>
      <c r="L42" s="100"/>
      <c r="M42" s="57"/>
      <c r="N42" s="59" t="str">
        <f>IF(ISBLANK(J42),"",IF(OR(M42="Completed",M42="Closed"),"",IF(H42="Issue",IF(I42="High",WORKDAY(J42,2,DATA!A42:A70),IF(I42="Medium",WORKDAY(J42,14, DATA!A42:A70),IF(OR(I42="Low"),WORKDAY(J42,30,DATA!A42:A70),""))),
"")
))</f>
        <v/>
      </c>
      <c r="O42" s="60" t="str">
        <f ca="1">IF(OR(ISBLANK(#REF!), M42="Completed", M42="Closed", H42&lt;&gt;"Issue"), "",
   (NETWORKDAYS.INTL(TODAY(), N42, 1, DATA!A42:A70) - 1))</f>
        <v/>
      </c>
      <c r="P42" s="88" t="str">
        <f t="shared" ca="1" si="1"/>
        <v/>
      </c>
      <c r="Q42" s="64" t="str">
        <f t="shared" ca="1" si="2"/>
        <v/>
      </c>
    </row>
    <row r="43" spans="1:17" x14ac:dyDescent="0.3">
      <c r="A43" s="82">
        <v>41</v>
      </c>
      <c r="B43" s="57"/>
      <c r="C43" s="57"/>
      <c r="D43" s="57"/>
      <c r="E43" s="57"/>
      <c r="F43" s="57"/>
      <c r="G43" s="57"/>
      <c r="H43" s="57"/>
      <c r="I43" s="57" t="s">
        <v>75</v>
      </c>
      <c r="J43" s="100"/>
      <c r="K43" s="101"/>
      <c r="L43" s="101"/>
      <c r="M43" s="57"/>
      <c r="N43" s="59" t="str">
        <f>IF(ISBLANK(J43),"",IF(OR(M43="Completed",M43="Closed"),"",IF(H43="Issue",IF(I43="High",WORKDAY(J43,2,DATA!A43:A71),IF(I43="Medium",WORKDAY(J43,14, DATA!A43:A71),IF(OR(I43="Low"),WORKDAY(J43,30,DATA!A43:A71),""))),
"")
))</f>
        <v/>
      </c>
      <c r="O43" s="60" t="str">
        <f ca="1">IF(OR(ISBLANK(#REF!), M43="Completed", M43="Closed", H43&lt;&gt;"Issue"), "",
   (NETWORKDAYS.INTL(TODAY(), N43, 1, DATA!A43:A71) - 1))</f>
        <v/>
      </c>
      <c r="P43" s="88" t="str">
        <f t="shared" ca="1" si="1"/>
        <v/>
      </c>
      <c r="Q43" s="64" t="str">
        <f t="shared" ca="1" si="2"/>
        <v/>
      </c>
    </row>
    <row r="44" spans="1:17" x14ac:dyDescent="0.3">
      <c r="A44" s="82">
        <v>42</v>
      </c>
      <c r="B44" s="57"/>
      <c r="C44" s="57"/>
      <c r="D44" s="57"/>
      <c r="E44" s="57"/>
      <c r="F44" s="57"/>
      <c r="G44" s="57"/>
      <c r="H44" s="57"/>
      <c r="I44" s="57" t="s">
        <v>75</v>
      </c>
      <c r="J44" s="100"/>
      <c r="K44" s="100"/>
      <c r="L44" s="100"/>
      <c r="M44" s="57"/>
      <c r="N44" s="59" t="str">
        <f>IF(ISBLANK(J44),"",IF(OR(M44="Completed",M44="Closed"),"",IF(H44="Issue",IF(I44="High",WORKDAY(J44,2,DATA!A44:A72),IF(I44="Medium",WORKDAY(J44,14, DATA!A44:A72),IF(OR(I44="Low"),WORKDAY(J44,30,DATA!A44:A72),""))),
"")
))</f>
        <v/>
      </c>
      <c r="O44" s="60" t="str">
        <f ca="1">IF(OR(ISBLANK(#REF!), M44="Completed", M44="Closed", H44&lt;&gt;"Issue"), "",
   (NETWORKDAYS.INTL(TODAY(), N44, 1, DATA!A44:A72) - 1))</f>
        <v/>
      </c>
      <c r="P44" s="88" t="str">
        <f t="shared" ca="1" si="1"/>
        <v/>
      </c>
      <c r="Q44" s="64" t="str">
        <f t="shared" ca="1" si="2"/>
        <v/>
      </c>
    </row>
    <row r="45" spans="1:17" x14ac:dyDescent="0.3">
      <c r="A45" s="82">
        <v>43</v>
      </c>
      <c r="B45" s="57"/>
      <c r="C45" s="57"/>
      <c r="D45" s="57"/>
      <c r="E45" s="57"/>
      <c r="F45" s="57"/>
      <c r="G45" s="57"/>
      <c r="H45" s="57"/>
      <c r="I45" s="57" t="s">
        <v>75</v>
      </c>
      <c r="J45" s="100"/>
      <c r="K45" s="100"/>
      <c r="L45" s="100"/>
      <c r="M45" s="57"/>
      <c r="N45" s="59" t="str">
        <f>IF(ISBLANK(J45),"",IF(OR(M45="Completed",M45="Closed"),"",IF(H45="Issue",IF(I45="High",WORKDAY(J45,2,DATA!A45:A73),IF(I45="Medium",WORKDAY(J45,14, DATA!A45:A73),IF(OR(I45="Low"),WORKDAY(J45,30,DATA!A45:A73),""))),
"")
))</f>
        <v/>
      </c>
      <c r="O45" s="60" t="str">
        <f ca="1">IF(OR(ISBLANK(#REF!), M45="Completed", M45="Closed", H45&lt;&gt;"Issue"), "",
   (NETWORKDAYS.INTL(TODAY(), N45, 1, DATA!A45:A73) - 1))</f>
        <v/>
      </c>
      <c r="P45" s="88" t="str">
        <f t="shared" ca="1" si="1"/>
        <v/>
      </c>
      <c r="Q45" s="64" t="str">
        <f t="shared" ca="1" si="2"/>
        <v/>
      </c>
    </row>
    <row r="46" spans="1:17" x14ac:dyDescent="0.3">
      <c r="A46" s="82">
        <v>44</v>
      </c>
      <c r="B46" s="57"/>
      <c r="C46" s="57"/>
      <c r="D46" s="57"/>
      <c r="E46" s="57"/>
      <c r="F46" s="57"/>
      <c r="G46" s="57"/>
      <c r="H46" s="57"/>
      <c r="I46" s="57" t="s">
        <v>75</v>
      </c>
      <c r="J46" s="100"/>
      <c r="K46" s="101"/>
      <c r="L46" s="101"/>
      <c r="M46" s="57"/>
      <c r="N46" s="59" t="str">
        <f>IF(ISBLANK(J46),"",IF(OR(M46="Completed",M46="Closed"),"",IF(H46="Issue",IF(I46="High",WORKDAY(J46,2,DATA!A46:A74),IF(I46="Medium",WORKDAY(J46,14, DATA!A46:A74),IF(OR(I46="Low"),WORKDAY(J46,30,DATA!A46:A74),""))),
"")
))</f>
        <v/>
      </c>
      <c r="O46" s="60" t="str">
        <f ca="1">IF(OR(ISBLANK(#REF!), M46="Completed", M46="Closed", H46&lt;&gt;"Issue"), "",
   (NETWORKDAYS.INTL(TODAY(), N46, 1, DATA!A46:A74) - 1))</f>
        <v/>
      </c>
      <c r="P46" s="88" t="str">
        <f t="shared" ca="1" si="1"/>
        <v/>
      </c>
      <c r="Q46" s="64" t="str">
        <f t="shared" ca="1" si="2"/>
        <v/>
      </c>
    </row>
    <row r="47" spans="1:17" x14ac:dyDescent="0.3">
      <c r="A47" s="82">
        <v>45</v>
      </c>
      <c r="B47" s="57"/>
      <c r="C47" s="57"/>
      <c r="D47" s="57"/>
      <c r="E47" s="57"/>
      <c r="F47" s="57"/>
      <c r="G47" s="57"/>
      <c r="H47" s="57"/>
      <c r="I47" s="57" t="s">
        <v>75</v>
      </c>
      <c r="J47" s="100"/>
      <c r="K47" s="101"/>
      <c r="L47" s="101"/>
      <c r="M47" s="57"/>
      <c r="N47" s="59" t="str">
        <f>IF(ISBLANK(J47),"",IF(OR(M47="Completed",M47="Closed"),"",IF(H47="Issue",IF(I47="High",WORKDAY(J47,2,DATA!A47:A75),IF(I47="Medium",WORKDAY(J47,14, DATA!A47:A75),IF(OR(I47="Low"),WORKDAY(J47,30,DATA!A47:A75),""))),
"")
))</f>
        <v/>
      </c>
      <c r="O47" s="60" t="str">
        <f ca="1">IF(OR(ISBLANK(#REF!), M47="Completed", M47="Closed", H47&lt;&gt;"Issue"), "",
   (NETWORKDAYS.INTL(TODAY(), N47, 1, DATA!A47:A75) - 1))</f>
        <v/>
      </c>
      <c r="P47" s="88" t="str">
        <f t="shared" ca="1" si="1"/>
        <v/>
      </c>
      <c r="Q47" s="64" t="str">
        <f t="shared" ca="1" si="2"/>
        <v/>
      </c>
    </row>
    <row r="48" spans="1:17" x14ac:dyDescent="0.3">
      <c r="A48" s="82">
        <v>46</v>
      </c>
      <c r="B48" s="57"/>
      <c r="C48" s="57"/>
      <c r="D48" s="57"/>
      <c r="E48" s="57"/>
      <c r="F48" s="57"/>
      <c r="G48" s="57"/>
      <c r="H48" s="57"/>
      <c r="I48" s="57" t="s">
        <v>75</v>
      </c>
      <c r="J48" s="100"/>
      <c r="K48" s="100"/>
      <c r="L48" s="100"/>
      <c r="M48" s="57"/>
      <c r="N48" s="59" t="str">
        <f>IF(ISBLANK(J48),"",IF(OR(M48="Completed",M48="Closed"),"",IF(H48="Issue",IF(I48="High",WORKDAY(J48,2,DATA!A48:A76),IF(I48="Medium",WORKDAY(J48,14, DATA!A48:A76),IF(OR(I48="Low"),WORKDAY(J48,30,DATA!A48:A76),""))),
"")
))</f>
        <v/>
      </c>
      <c r="O48" s="60" t="str">
        <f ca="1">IF(OR(ISBLANK(#REF!), M48="Completed", M48="Closed", H48&lt;&gt;"Issue"), "",
   (NETWORKDAYS.INTL(TODAY(), N48, 1, DATA!A48:A76) - 1))</f>
        <v/>
      </c>
      <c r="P48" s="88" t="str">
        <f t="shared" ca="1" si="1"/>
        <v/>
      </c>
      <c r="Q48" s="64" t="str">
        <f t="shared" ca="1" si="2"/>
        <v/>
      </c>
    </row>
    <row r="49" spans="1:17" x14ac:dyDescent="0.3">
      <c r="A49" s="82">
        <v>47</v>
      </c>
      <c r="B49" s="57"/>
      <c r="C49" s="57"/>
      <c r="D49" s="57"/>
      <c r="E49" s="57"/>
      <c r="F49" s="57"/>
      <c r="G49" s="57"/>
      <c r="H49" s="57"/>
      <c r="I49" s="57" t="s">
        <v>75</v>
      </c>
      <c r="J49" s="100"/>
      <c r="K49" s="100"/>
      <c r="L49" s="100"/>
      <c r="M49" s="57"/>
      <c r="N49" s="59" t="str">
        <f>IF(ISBLANK(J49),"",IF(OR(M49="Completed",M49="Closed"),"",IF(H49="Issue",IF(I49="High",WORKDAY(J49,2,DATA!A49:A77),IF(I49="Medium",WORKDAY(J49,14, DATA!A49:A77),IF(OR(I49="Low"),WORKDAY(J49,30,DATA!A49:A77),""))),
"")
))</f>
        <v/>
      </c>
      <c r="O49" s="60" t="str">
        <f ca="1">IF(OR(ISBLANK(#REF!), M49="Completed", M49="Closed", H49&lt;&gt;"Issue"), "",
   (NETWORKDAYS.INTL(TODAY(), N49, 1, DATA!A49:A77) - 1))</f>
        <v/>
      </c>
      <c r="P49" s="88" t="str">
        <f t="shared" ca="1" si="1"/>
        <v/>
      </c>
      <c r="Q49" s="64" t="str">
        <f t="shared" ca="1" si="2"/>
        <v/>
      </c>
    </row>
    <row r="50" spans="1:17" x14ac:dyDescent="0.3">
      <c r="A50" s="82">
        <v>48</v>
      </c>
      <c r="B50" s="57"/>
      <c r="C50" s="57"/>
      <c r="D50" s="57"/>
      <c r="E50" s="57"/>
      <c r="F50" s="57"/>
      <c r="G50" s="57"/>
      <c r="H50" s="57"/>
      <c r="I50" s="57" t="s">
        <v>75</v>
      </c>
      <c r="J50" s="100"/>
      <c r="K50" s="100"/>
      <c r="L50" s="100"/>
      <c r="M50" s="57"/>
      <c r="N50" s="59" t="str">
        <f>IF(ISBLANK(J50),"",IF(OR(M50="Completed",M50="Closed"),"",IF(H50="Issue",IF(I50="High",WORKDAY(J50,2,DATA!A50:A78),IF(I50="Medium",WORKDAY(J50,14, DATA!A50:A78),IF(OR(I50="Low"),WORKDAY(J50,30,DATA!A50:A78),""))),
"")
))</f>
        <v/>
      </c>
      <c r="O50" s="60" t="str">
        <f ca="1">IF(OR(ISBLANK(#REF!), M50="Completed", M50="Closed", H50&lt;&gt;"Issue"), "",
   (NETWORKDAYS.INTL(TODAY(), N50, 1, DATA!A50:A78) - 1))</f>
        <v/>
      </c>
      <c r="P50" s="88" t="str">
        <f t="shared" ca="1" si="1"/>
        <v/>
      </c>
      <c r="Q50" s="64" t="str">
        <f t="shared" ca="1" si="2"/>
        <v/>
      </c>
    </row>
    <row r="51" spans="1:17" x14ac:dyDescent="0.3">
      <c r="A51" s="82">
        <v>49</v>
      </c>
      <c r="B51" s="57"/>
      <c r="C51" s="57"/>
      <c r="D51" s="57"/>
      <c r="E51" s="57"/>
      <c r="F51" s="57"/>
      <c r="G51" s="57"/>
      <c r="H51" s="57"/>
      <c r="I51" s="57" t="s">
        <v>75</v>
      </c>
      <c r="J51" s="100"/>
      <c r="K51" s="100"/>
      <c r="L51" s="100"/>
      <c r="M51" s="57"/>
      <c r="N51" s="59" t="str">
        <f>IF(ISBLANK(J51),"",IF(OR(M51="Completed",M51="Closed"),"",IF(H51="Issue",IF(I51="High",WORKDAY(J51,2,DATA!A51:A79),IF(I51="Medium",WORKDAY(J51,14, DATA!A51:A79),IF(OR(I51="Low"),WORKDAY(J51,30,DATA!A51:A79),""))),
"")
))</f>
        <v/>
      </c>
      <c r="O51" s="60" t="str">
        <f ca="1">IF(OR(ISBLANK(#REF!), M51="Completed", M51="Closed", H51&lt;&gt;"Issue"), "",
   (NETWORKDAYS.INTL(TODAY(), N51, 1, DATA!A51:A79) - 1))</f>
        <v/>
      </c>
      <c r="P51" s="88" t="str">
        <f t="shared" ca="1" si="1"/>
        <v/>
      </c>
      <c r="Q51" s="64" t="str">
        <f t="shared" ca="1" si="2"/>
        <v/>
      </c>
    </row>
    <row r="52" spans="1:17" x14ac:dyDescent="0.3">
      <c r="A52" s="82">
        <v>50</v>
      </c>
      <c r="B52" s="57"/>
      <c r="C52" s="57"/>
      <c r="D52" s="57"/>
      <c r="E52" s="57"/>
      <c r="F52" s="57"/>
      <c r="G52" s="57"/>
      <c r="H52" s="57"/>
      <c r="I52" s="57" t="s">
        <v>75</v>
      </c>
      <c r="J52" s="100"/>
      <c r="K52" s="101"/>
      <c r="L52" s="101"/>
      <c r="M52" s="57"/>
      <c r="N52" s="59" t="str">
        <f>IF(ISBLANK(J52),"",IF(OR(M52="Completed",M52="Closed"),"",IF(H52="Issue",IF(I52="High",WORKDAY(J52,2,DATA!A52:A80),IF(I52="Medium",WORKDAY(J52,14, DATA!A52:A80),IF(OR(I52="Low"),WORKDAY(J52,30,DATA!A52:A80),""))),
"")
))</f>
        <v/>
      </c>
      <c r="O52" s="60" t="str">
        <f ca="1">IF(OR(ISBLANK(#REF!), M52="Completed", M52="Closed", H52&lt;&gt;"Issue"), "",
   (NETWORKDAYS.INTL(TODAY(), N52, 1, DATA!A52:A80) - 1))</f>
        <v/>
      </c>
      <c r="P52" s="88" t="str">
        <f t="shared" ca="1" si="1"/>
        <v/>
      </c>
      <c r="Q52" s="64" t="str">
        <f t="shared" ca="1" si="2"/>
        <v/>
      </c>
    </row>
    <row r="53" spans="1:17" x14ac:dyDescent="0.3">
      <c r="A53" s="82">
        <v>51</v>
      </c>
      <c r="B53" s="57"/>
      <c r="C53" s="57"/>
      <c r="D53" s="57"/>
      <c r="E53" s="57"/>
      <c r="F53" s="57"/>
      <c r="G53" s="57"/>
      <c r="H53" s="57"/>
      <c r="I53" s="57" t="s">
        <v>75</v>
      </c>
      <c r="J53" s="100"/>
      <c r="K53" s="100"/>
      <c r="L53" s="100"/>
      <c r="M53" s="57"/>
      <c r="N53" s="59" t="str">
        <f>IF(ISBLANK(J53),"",IF(OR(M53="Completed",M53="Closed"),"",IF(H53="Issue",IF(I53="High",WORKDAY(J53,2,DATA!A53:A81),IF(I53="Medium",WORKDAY(J53,14, DATA!A53:A81),IF(OR(I53="Low"),WORKDAY(J53,30,DATA!A53:A81),""))),
"")
))</f>
        <v/>
      </c>
      <c r="O53" s="60" t="str">
        <f ca="1">IF(OR(ISBLANK(#REF!), M53="Completed", M53="Closed", H53&lt;&gt;"Issue"), "",
   (NETWORKDAYS.INTL(TODAY(), N53, 1, DATA!A53:A81) - 1))</f>
        <v/>
      </c>
      <c r="P53" s="88" t="str">
        <f t="shared" ca="1" si="1"/>
        <v/>
      </c>
      <c r="Q53" s="64" t="str">
        <f t="shared" ca="1" si="2"/>
        <v/>
      </c>
    </row>
    <row r="54" spans="1:17" x14ac:dyDescent="0.3">
      <c r="A54" s="82">
        <v>52</v>
      </c>
      <c r="B54" s="57"/>
      <c r="C54" s="57"/>
      <c r="D54" s="57"/>
      <c r="E54" s="57"/>
      <c r="F54" s="57"/>
      <c r="G54" s="57"/>
      <c r="H54" s="57"/>
      <c r="I54" s="57" t="s">
        <v>75</v>
      </c>
      <c r="J54" s="100"/>
      <c r="K54" s="101"/>
      <c r="L54" s="101"/>
      <c r="M54" s="57"/>
      <c r="N54" s="59" t="str">
        <f>IF(ISBLANK(J54),"",IF(OR(M54="Completed",M54="Closed"),"",IF(H54="Issue",IF(I54="High",WORKDAY(J54,2,DATA!A54:A82),IF(I54="Medium",WORKDAY(J54,14, DATA!A54:A82),IF(OR(I54="Low"),WORKDAY(J54,30,DATA!A54:A82),""))),
"")
))</f>
        <v/>
      </c>
      <c r="O54" s="60" t="str">
        <f ca="1">IF(OR(ISBLANK(#REF!), M54="Completed", M54="Closed", H54&lt;&gt;"Issue"), "",
   (NETWORKDAYS.INTL(TODAY(), N54, 1, DATA!A54:A82) - 1))</f>
        <v/>
      </c>
      <c r="P54" s="88" t="str">
        <f t="shared" ca="1" si="1"/>
        <v/>
      </c>
      <c r="Q54" s="64" t="str">
        <f t="shared" ca="1" si="2"/>
        <v/>
      </c>
    </row>
    <row r="55" spans="1:17" x14ac:dyDescent="0.3">
      <c r="A55" s="82">
        <v>53</v>
      </c>
      <c r="B55" s="57"/>
      <c r="C55" s="57"/>
      <c r="D55" s="57"/>
      <c r="E55" s="57"/>
      <c r="F55" s="57"/>
      <c r="G55" s="57"/>
      <c r="H55" s="57"/>
      <c r="I55" s="57" t="s">
        <v>75</v>
      </c>
      <c r="J55" s="100"/>
      <c r="K55" s="101"/>
      <c r="L55" s="101"/>
      <c r="M55" s="57"/>
      <c r="N55" s="59" t="str">
        <f>IF(ISBLANK(J55),"",IF(OR(M55="Completed",M55="Closed"),"",IF(H55="Issue",IF(I55="High",WORKDAY(J55,2,DATA!A55:A83),IF(I55="Medium",WORKDAY(J55,14, DATA!A55:A83),IF(OR(I55="Low"),WORKDAY(J55,30,DATA!A55:A83),""))),
"")
))</f>
        <v/>
      </c>
      <c r="O55" s="60" t="str">
        <f ca="1">IF(OR(ISBLANK(#REF!), M55="Completed", M55="Closed", H55&lt;&gt;"Issue"), "",
   (NETWORKDAYS.INTL(TODAY(), N55, 1, DATA!A55:A83) - 1))</f>
        <v/>
      </c>
      <c r="P55" s="88" t="str">
        <f t="shared" ca="1" si="1"/>
        <v/>
      </c>
      <c r="Q55" s="64" t="str">
        <f t="shared" ca="1" si="2"/>
        <v/>
      </c>
    </row>
    <row r="56" spans="1:17" x14ac:dyDescent="0.3">
      <c r="A56" s="82">
        <v>54</v>
      </c>
      <c r="B56" s="57"/>
      <c r="C56" s="57"/>
      <c r="D56" s="57"/>
      <c r="E56" s="57"/>
      <c r="F56" s="57"/>
      <c r="G56" s="57"/>
      <c r="H56" s="57"/>
      <c r="I56" s="57" t="s">
        <v>75</v>
      </c>
      <c r="J56" s="100"/>
      <c r="K56" s="101"/>
      <c r="L56" s="101"/>
      <c r="M56" s="57"/>
      <c r="N56" s="59" t="str">
        <f>IF(ISBLANK(J56),"",IF(OR(M56="Completed",M56="Closed"),"",IF(H56="Issue",IF(I56="High",WORKDAY(J56,2,DATA!A56:A84),IF(I56="Medium",WORKDAY(J56,14, DATA!A56:A84),IF(OR(I56="Low"),WORKDAY(J56,30,DATA!A56:A84),""))),
"")
))</f>
        <v/>
      </c>
      <c r="O56" s="60" t="str">
        <f ca="1">IF(OR(ISBLANK(#REF!), M56="Completed", M56="Closed", H56&lt;&gt;"Issue"), "",
   (NETWORKDAYS.INTL(TODAY(), N56, 1, DATA!A56:A84) - 1))</f>
        <v/>
      </c>
      <c r="P56" s="88" t="str">
        <f t="shared" ca="1" si="1"/>
        <v/>
      </c>
      <c r="Q56" s="64" t="str">
        <f t="shared" ca="1" si="2"/>
        <v/>
      </c>
    </row>
    <row r="57" spans="1:17" x14ac:dyDescent="0.3">
      <c r="A57" s="82">
        <v>55</v>
      </c>
      <c r="B57" s="57"/>
      <c r="C57" s="57"/>
      <c r="D57" s="57"/>
      <c r="E57" s="57"/>
      <c r="F57" s="57"/>
      <c r="G57" s="57"/>
      <c r="H57" s="57"/>
      <c r="I57" s="57" t="s">
        <v>75</v>
      </c>
      <c r="J57" s="100"/>
      <c r="K57" s="100"/>
      <c r="L57" s="100"/>
      <c r="M57" s="57"/>
      <c r="N57" s="59" t="str">
        <f>IF(ISBLANK(J57),"",IF(OR(M57="Completed",M57="Closed"),"",IF(H57="Issue",IF(I57="High",WORKDAY(J57,2,DATA!A57:A85),IF(I57="Medium",WORKDAY(J57,14, DATA!A57:A85),IF(OR(I57="Low"),WORKDAY(J57,30,DATA!A57:A85),""))),
"")
))</f>
        <v/>
      </c>
      <c r="O57" s="60" t="str">
        <f ca="1">IF(OR(ISBLANK(#REF!), M57="Completed", M57="Closed", H57&lt;&gt;"Issue"), "",
   (NETWORKDAYS.INTL(TODAY(), N57, 1, DATA!A57:A85) - 1))</f>
        <v/>
      </c>
      <c r="P57" s="88" t="str">
        <f t="shared" ca="1" si="1"/>
        <v/>
      </c>
      <c r="Q57" s="64" t="str">
        <f t="shared" ca="1" si="2"/>
        <v/>
      </c>
    </row>
    <row r="58" spans="1:17" x14ac:dyDescent="0.3">
      <c r="A58" s="82">
        <v>56</v>
      </c>
      <c r="B58" s="57"/>
      <c r="C58" s="57"/>
      <c r="D58" s="57"/>
      <c r="E58" s="57"/>
      <c r="F58" s="57"/>
      <c r="G58" s="57"/>
      <c r="H58" s="57"/>
      <c r="I58" s="57" t="s">
        <v>75</v>
      </c>
      <c r="J58" s="100"/>
      <c r="K58" s="100"/>
      <c r="L58" s="101"/>
      <c r="M58" s="57"/>
      <c r="N58" s="59" t="str">
        <f>IF(ISBLANK(J58),"",IF(OR(M58="Completed",M58="Closed"),"",IF(H58="Issue",IF(I58="High",WORKDAY(J58,2,DATA!A58:A86),IF(I58="Medium",WORKDAY(J58,14, DATA!A58:A86),IF(OR(I58="Low"),WORKDAY(J58,30,DATA!A58:A86),""))),
"")
))</f>
        <v/>
      </c>
      <c r="O58" s="60" t="str">
        <f ca="1">IF(OR(ISBLANK(#REF!), M58="Completed", M58="Closed", H58&lt;&gt;"Issue"), "",
   (NETWORKDAYS.INTL(TODAY(), N58, 1, DATA!A58:A86) - 1))</f>
        <v/>
      </c>
      <c r="P58" s="88" t="str">
        <f t="shared" ca="1" si="1"/>
        <v/>
      </c>
      <c r="Q58" s="64" t="str">
        <f t="shared" ca="1" si="2"/>
        <v/>
      </c>
    </row>
    <row r="59" spans="1:17" x14ac:dyDescent="0.3">
      <c r="A59" s="82">
        <v>57</v>
      </c>
      <c r="B59" s="57"/>
      <c r="C59" s="57"/>
      <c r="D59" s="57"/>
      <c r="E59" s="57"/>
      <c r="F59" s="57"/>
      <c r="G59" s="57"/>
      <c r="H59" s="57"/>
      <c r="I59" s="57" t="s">
        <v>75</v>
      </c>
      <c r="J59" s="100"/>
      <c r="K59" s="101"/>
      <c r="L59" s="101"/>
      <c r="M59" s="57"/>
      <c r="N59" s="59" t="str">
        <f>IF(ISBLANK(J59),"",IF(OR(M59="Completed",M59="Closed"),"",IF(H59="Issue",IF(I59="High",WORKDAY(J59,2,DATA!A59:A87),IF(I59="Medium",WORKDAY(J59,14, DATA!A59:A87),IF(OR(I59="Low"),WORKDAY(J59,30,DATA!A59:A87),""))),
"")
))</f>
        <v/>
      </c>
      <c r="O59" s="60" t="str">
        <f ca="1">IF(OR(ISBLANK(#REF!), M59="Completed", M59="Closed", H59&lt;&gt;"Issue"), "",
   (NETWORKDAYS.INTL(TODAY(), N59, 1, DATA!A59:A87) - 1))</f>
        <v/>
      </c>
      <c r="P59" s="88" t="str">
        <f t="shared" ca="1" si="1"/>
        <v/>
      </c>
      <c r="Q59" s="64" t="str">
        <f t="shared" ca="1" si="2"/>
        <v/>
      </c>
    </row>
    <row r="60" spans="1:17" x14ac:dyDescent="0.3">
      <c r="A60" s="82">
        <v>58</v>
      </c>
      <c r="B60" s="57"/>
      <c r="C60" s="57"/>
      <c r="D60" s="57"/>
      <c r="E60" s="57"/>
      <c r="F60" s="57"/>
      <c r="G60" s="57"/>
      <c r="H60" s="57"/>
      <c r="I60" s="57" t="s">
        <v>75</v>
      </c>
      <c r="J60" s="100"/>
      <c r="K60" s="101"/>
      <c r="L60" s="101"/>
      <c r="M60" s="57"/>
      <c r="N60" s="59" t="str">
        <f>IF(ISBLANK(J60),"",IF(OR(M60="Completed",M60="Closed"),"",IF(H60="Issue",IF(I60="High",WORKDAY(J60,2,DATA!A60:A88),IF(I60="Medium",WORKDAY(J60,14, DATA!A60:A88),IF(OR(I60="Low"),WORKDAY(J60,30,DATA!A60:A88),""))),
"")
))</f>
        <v/>
      </c>
      <c r="O60" s="60" t="str">
        <f ca="1">IF(OR(ISBLANK(#REF!), M60="Completed", M60="Closed", H60&lt;&gt;"Issue"), "",
   (NETWORKDAYS.INTL(TODAY(), N60, 1, DATA!A60:A88) - 1))</f>
        <v/>
      </c>
      <c r="P60" s="88" t="str">
        <f t="shared" ca="1" si="1"/>
        <v/>
      </c>
      <c r="Q60" s="64" t="str">
        <f t="shared" ca="1" si="2"/>
        <v/>
      </c>
    </row>
    <row r="61" spans="1:17" x14ac:dyDescent="0.3">
      <c r="A61" s="82">
        <v>59</v>
      </c>
      <c r="B61" s="57"/>
      <c r="C61" s="57"/>
      <c r="D61" s="57"/>
      <c r="E61" s="57"/>
      <c r="F61" s="57"/>
      <c r="G61" s="57"/>
      <c r="H61" s="57"/>
      <c r="I61" s="57" t="s">
        <v>75</v>
      </c>
      <c r="J61" s="100"/>
      <c r="K61" s="100"/>
      <c r="L61" s="100"/>
      <c r="M61" s="57"/>
      <c r="N61" s="59" t="str">
        <f>IF(ISBLANK(J61),"",IF(OR(M61="Completed",M61="Closed"),"",IF(H61="Issue",IF(I61="High",WORKDAY(J61,2,DATA!A61:A89),IF(I61="Medium",WORKDAY(J61,14, DATA!A61:A89),IF(OR(I61="Low"),WORKDAY(J61,30,DATA!A61:A89),""))),
"")
))</f>
        <v/>
      </c>
      <c r="O61" s="60" t="str">
        <f ca="1">IF(OR(ISBLANK(#REF!), M61="Completed", M61="Closed", H61&lt;&gt;"Issue"), "",
   (NETWORKDAYS.INTL(TODAY(), N61, 1, DATA!A61:A89) - 1))</f>
        <v/>
      </c>
      <c r="P61" s="88" t="str">
        <f t="shared" ca="1" si="1"/>
        <v/>
      </c>
      <c r="Q61" s="64" t="str">
        <f t="shared" ca="1" si="2"/>
        <v/>
      </c>
    </row>
    <row r="62" spans="1:17" x14ac:dyDescent="0.3">
      <c r="A62" s="82">
        <v>60</v>
      </c>
      <c r="B62" s="57"/>
      <c r="C62" s="57"/>
      <c r="D62" s="57"/>
      <c r="E62" s="57"/>
      <c r="F62" s="57"/>
      <c r="G62" s="57"/>
      <c r="H62" s="57"/>
      <c r="I62" s="57" t="s">
        <v>75</v>
      </c>
      <c r="J62" s="100"/>
      <c r="K62" s="101"/>
      <c r="L62" s="101"/>
      <c r="M62" s="57"/>
      <c r="N62" s="59" t="str">
        <f>IF(ISBLANK(J62),"",IF(OR(M62="Completed",M62="Closed"),"",IF(H62="Issue",IF(I62="High",WORKDAY(J62,2,DATA!A62:A90),IF(I62="Medium",WORKDAY(J62,14, DATA!A62:A90),IF(OR(I62="Low"),WORKDAY(J62,30,DATA!A62:A90),""))),
"")
))</f>
        <v/>
      </c>
      <c r="O62" s="60" t="str">
        <f ca="1">IF(OR(ISBLANK(#REF!), M62="Completed", M62="Closed", H62&lt;&gt;"Issue"), "",
   (NETWORKDAYS.INTL(TODAY(), N62, 1, DATA!A62:A90) - 1))</f>
        <v/>
      </c>
      <c r="P62" s="88" t="str">
        <f t="shared" ca="1" si="1"/>
        <v/>
      </c>
      <c r="Q62" s="64" t="str">
        <f t="shared" ca="1" si="2"/>
        <v/>
      </c>
    </row>
    <row r="63" spans="1:17" x14ac:dyDescent="0.3">
      <c r="A63" s="82">
        <v>61</v>
      </c>
      <c r="B63" s="57"/>
      <c r="C63" s="57"/>
      <c r="D63" s="57"/>
      <c r="E63" s="57"/>
      <c r="F63" s="57"/>
      <c r="G63" s="57"/>
      <c r="H63" s="57"/>
      <c r="I63" s="57" t="s">
        <v>75</v>
      </c>
      <c r="J63" s="100"/>
      <c r="K63" s="101"/>
      <c r="L63" s="101"/>
      <c r="M63" s="57"/>
      <c r="N63" s="59" t="str">
        <f>IF(ISBLANK(J63),"",IF(OR(M63="Completed",M63="Closed"),"",IF(H63="Issue",IF(I63="High",WORKDAY(J63,2,DATA!A63:A91),IF(I63="Medium",WORKDAY(J63,14, DATA!A63:A91),IF(OR(I63="Low"),WORKDAY(J63,30,DATA!A63:A91),""))),
"")
))</f>
        <v/>
      </c>
      <c r="O63" s="60" t="str">
        <f ca="1">IF(OR(ISBLANK(#REF!), M63="Completed", M63="Closed", H63&lt;&gt;"Issue"), "",
   (NETWORKDAYS.INTL(TODAY(), N63, 1, DATA!A63:A91) - 1))</f>
        <v/>
      </c>
      <c r="P63" s="88" t="str">
        <f t="shared" ca="1" si="1"/>
        <v/>
      </c>
      <c r="Q63" s="64" t="str">
        <f t="shared" ca="1" si="2"/>
        <v/>
      </c>
    </row>
    <row r="64" spans="1:17" x14ac:dyDescent="0.3">
      <c r="A64" s="82">
        <v>62</v>
      </c>
      <c r="B64" s="57"/>
      <c r="C64" s="57"/>
      <c r="D64" s="57"/>
      <c r="E64" s="57"/>
      <c r="F64" s="57"/>
      <c r="G64" s="57"/>
      <c r="H64" s="57"/>
      <c r="I64" s="57" t="s">
        <v>75</v>
      </c>
      <c r="J64" s="100"/>
      <c r="K64" s="100"/>
      <c r="L64" s="100"/>
      <c r="M64" s="57"/>
      <c r="N64" s="59" t="str">
        <f>IF(ISBLANK(J64),"",IF(OR(M64="Completed",M64="Closed"),"",IF(H64="Issue",IF(I64="High",WORKDAY(J64,2,DATA!A64:A92),IF(I64="Medium",WORKDAY(J64,14, DATA!A64:A92),IF(OR(I64="Low"),WORKDAY(J64,30,DATA!A64:A92),""))),
"")
))</f>
        <v/>
      </c>
      <c r="O64" s="60" t="str">
        <f ca="1">IF(OR(ISBLANK(#REF!), M64="Completed", M64="Closed", H64&lt;&gt;"Issue"), "",
   (NETWORKDAYS.INTL(TODAY(), N64, 1, DATA!A64:A92) - 1))</f>
        <v/>
      </c>
      <c r="P64" s="88" t="str">
        <f t="shared" ca="1" si="1"/>
        <v/>
      </c>
      <c r="Q64" s="64" t="str">
        <f t="shared" ca="1" si="2"/>
        <v/>
      </c>
    </row>
    <row r="65" spans="1:17" x14ac:dyDescent="0.3">
      <c r="A65" s="82">
        <v>63</v>
      </c>
      <c r="B65" s="57"/>
      <c r="C65" s="57"/>
      <c r="D65" s="57"/>
      <c r="E65" s="57"/>
      <c r="F65" s="57"/>
      <c r="G65" s="57"/>
      <c r="H65" s="57"/>
      <c r="I65" s="57" t="s">
        <v>75</v>
      </c>
      <c r="J65" s="100"/>
      <c r="K65" s="101"/>
      <c r="L65" s="101"/>
      <c r="M65" s="57"/>
      <c r="N65" s="59" t="str">
        <f>IF(ISBLANK(J65),"",IF(OR(M65="Completed",M65="Closed"),"",IF(H65="Issue",IF(I65="High",WORKDAY(J65,2,DATA!A65:A93),IF(I65="Medium",WORKDAY(J65,14, DATA!A65:A93),IF(OR(I65="Low"),WORKDAY(J65,30,DATA!A65:A93),""))),
"")
))</f>
        <v/>
      </c>
      <c r="O65" s="60" t="str">
        <f ca="1">IF(OR(ISBLANK(#REF!), M65="Completed", M65="Closed", H65&lt;&gt;"Issue"), "",
   (NETWORKDAYS.INTL(TODAY(), N65, 1, DATA!A65:A93) - 1))</f>
        <v/>
      </c>
      <c r="P65" s="88" t="str">
        <f t="shared" ca="1" si="1"/>
        <v/>
      </c>
      <c r="Q65" s="64" t="str">
        <f t="shared" ca="1" si="2"/>
        <v/>
      </c>
    </row>
    <row r="66" spans="1:17" x14ac:dyDescent="0.3">
      <c r="A66" s="82">
        <v>64</v>
      </c>
      <c r="B66" s="57"/>
      <c r="C66" s="57"/>
      <c r="D66" s="57"/>
      <c r="E66" s="57"/>
      <c r="F66" s="57"/>
      <c r="G66" s="57"/>
      <c r="H66" s="57"/>
      <c r="I66" s="57" t="s">
        <v>75</v>
      </c>
      <c r="J66" s="100"/>
      <c r="K66" s="100"/>
      <c r="L66" s="100"/>
      <c r="M66" s="57"/>
      <c r="N66" s="59" t="str">
        <f>IF(ISBLANK(J66),"",IF(OR(M66="Completed",M66="Closed"),"",IF(H66="Issue",IF(I66="High",WORKDAY(J66,2,DATA!A66:A94),IF(I66="Medium",WORKDAY(J66,14, DATA!A66:A94),IF(OR(I66="Low"),WORKDAY(J66,30,DATA!A66:A94),""))),
"")
))</f>
        <v/>
      </c>
      <c r="O66" s="60" t="str">
        <f ca="1">IF(OR(ISBLANK(#REF!), M66="Completed", M66="Closed", H66&lt;&gt;"Issue"), "",
   (NETWORKDAYS.INTL(TODAY(), N66, 1, DATA!A66:A94) - 1))</f>
        <v/>
      </c>
      <c r="P66" s="88" t="str">
        <f t="shared" ca="1" si="1"/>
        <v/>
      </c>
      <c r="Q66" s="64" t="str">
        <f t="shared" ca="1" si="2"/>
        <v/>
      </c>
    </row>
    <row r="67" spans="1:17" x14ac:dyDescent="0.3">
      <c r="A67" s="82">
        <v>65</v>
      </c>
      <c r="B67" s="57"/>
      <c r="C67" s="57"/>
      <c r="D67" s="57"/>
      <c r="E67" s="57"/>
      <c r="F67" s="57"/>
      <c r="G67" s="57"/>
      <c r="H67" s="57"/>
      <c r="I67" s="57" t="s">
        <v>75</v>
      </c>
      <c r="J67" s="100"/>
      <c r="K67" s="101"/>
      <c r="L67" s="101"/>
      <c r="M67" s="57"/>
      <c r="N67" s="59" t="str">
        <f>IF(ISBLANK(J67),"",IF(OR(M67="Completed",M67="Closed"),"",IF(H67="Issue",IF(I67="High",WORKDAY(J67,2,DATA!A67:A95),IF(I67="Medium",WORKDAY(J67,14, DATA!A67:A95),IF(OR(I67="Low"),WORKDAY(J67,30,DATA!A67:A95),""))),
"")
))</f>
        <v/>
      </c>
      <c r="O67" s="60" t="str">
        <f ca="1">IF(OR(ISBLANK(#REF!), M67="Completed", M67="Closed", H67&lt;&gt;"Issue"), "",
   (NETWORKDAYS.INTL(TODAY(), N67, 1, DATA!A67:A95) - 1))</f>
        <v/>
      </c>
      <c r="P67" s="88" t="str">
        <f t="shared" ref="P67:P130" ca="1" si="3">IF(O67="","",LEFT(O67,10)*(-1))</f>
        <v/>
      </c>
      <c r="Q67" s="64" t="str">
        <f t="shared" ca="1" si="2"/>
        <v/>
      </c>
    </row>
    <row r="68" spans="1:17" x14ac:dyDescent="0.3">
      <c r="A68" s="82">
        <v>66</v>
      </c>
      <c r="B68" s="57"/>
      <c r="C68" s="57"/>
      <c r="D68" s="57"/>
      <c r="E68" s="57"/>
      <c r="F68" s="57"/>
      <c r="G68" s="57"/>
      <c r="H68" s="57"/>
      <c r="I68" s="57" t="s">
        <v>75</v>
      </c>
      <c r="J68" s="100"/>
      <c r="K68" s="100"/>
      <c r="L68" s="100"/>
      <c r="M68" s="57"/>
      <c r="N68" s="59" t="str">
        <f>IF(ISBLANK(J68),"",IF(OR(M68="Completed",M68="Closed"),"",IF(H68="Issue",IF(I68="High",WORKDAY(J68,2,DATA!A68:A96),IF(I68="Medium",WORKDAY(J68,14, DATA!A68:A96),IF(OR(I68="Low"),WORKDAY(J68,30,DATA!A68:A96),""))),
"")
))</f>
        <v/>
      </c>
      <c r="O68" s="60" t="str">
        <f ca="1">IF(OR(ISBLANK(#REF!), M68="Completed", M68="Closed", H68&lt;&gt;"Issue"), "",
   (NETWORKDAYS.INTL(TODAY(), N68, 1, DATA!A68:A96) - 1))</f>
        <v/>
      </c>
      <c r="P68" s="88" t="str">
        <f t="shared" ca="1" si="3"/>
        <v/>
      </c>
      <c r="Q68" s="64" t="str">
        <f t="shared" ca="1" si="2"/>
        <v/>
      </c>
    </row>
    <row r="69" spans="1:17" x14ac:dyDescent="0.3">
      <c r="A69" s="82">
        <v>67</v>
      </c>
      <c r="B69" s="57"/>
      <c r="C69" s="57"/>
      <c r="D69" s="57"/>
      <c r="E69" s="57"/>
      <c r="F69" s="57"/>
      <c r="G69" s="57"/>
      <c r="H69" s="57"/>
      <c r="I69" s="57" t="s">
        <v>75</v>
      </c>
      <c r="J69" s="100"/>
      <c r="K69" s="100"/>
      <c r="L69" s="100"/>
      <c r="M69" s="57"/>
      <c r="N69" s="59" t="str">
        <f>IF(ISBLANK(J69),"",IF(OR(M69="Completed",M69="Closed"),"",IF(H69="Issue",IF(I69="High",WORKDAY(J69,2,DATA!A69:A97),IF(I69="Medium",WORKDAY(J69,14, DATA!A69:A97),IF(OR(I69="Low"),WORKDAY(J69,30,DATA!A69:A97),""))),
"")
))</f>
        <v/>
      </c>
      <c r="O69" s="60" t="str">
        <f ca="1">IF(OR(ISBLANK(#REF!), M69="Completed", M69="Closed", H69&lt;&gt;"Issue"), "",
   (NETWORKDAYS.INTL(TODAY(), N69, 1, DATA!A69:A97) - 1))</f>
        <v/>
      </c>
      <c r="P69" s="88" t="str">
        <f t="shared" ca="1" si="3"/>
        <v/>
      </c>
      <c r="Q69" s="64" t="str">
        <f t="shared" ca="1" si="2"/>
        <v/>
      </c>
    </row>
    <row r="70" spans="1:17" x14ac:dyDescent="0.3">
      <c r="A70" s="82">
        <v>68</v>
      </c>
      <c r="B70" s="57"/>
      <c r="C70" s="57"/>
      <c r="D70" s="57"/>
      <c r="E70" s="57"/>
      <c r="F70" s="57"/>
      <c r="G70" s="57"/>
      <c r="H70" s="57"/>
      <c r="I70" s="57" t="s">
        <v>75</v>
      </c>
      <c r="J70" s="100"/>
      <c r="K70" s="100"/>
      <c r="L70" s="100"/>
      <c r="M70" s="57"/>
      <c r="N70" s="59" t="str">
        <f>IF(ISBLANK(J70),"",IF(OR(M70="Completed",M70="Closed"),"",IF(H70="Issue",IF(I70="High",WORKDAY(J70,2,DATA!A70:A98),IF(I70="Medium",WORKDAY(J70,14, DATA!A70:A98),IF(OR(I70="Low"),WORKDAY(J70,30,DATA!A70:A98),""))),
"")
))</f>
        <v/>
      </c>
      <c r="O70" s="60" t="str">
        <f ca="1">IF(OR(ISBLANK(#REF!), M70="Completed", M70="Closed", H70&lt;&gt;"Issue"), "",
   (NETWORKDAYS.INTL(TODAY(), N70, 1, DATA!A70:A98) - 1))</f>
        <v/>
      </c>
      <c r="P70" s="88" t="str">
        <f t="shared" ca="1" si="3"/>
        <v/>
      </c>
      <c r="Q70" s="64" t="str">
        <f t="shared" ca="1" si="2"/>
        <v/>
      </c>
    </row>
    <row r="71" spans="1:17" x14ac:dyDescent="0.3">
      <c r="A71" s="82">
        <v>69</v>
      </c>
      <c r="B71" s="57"/>
      <c r="C71" s="57"/>
      <c r="D71" s="57"/>
      <c r="E71" s="57"/>
      <c r="F71" s="57"/>
      <c r="G71" s="57"/>
      <c r="H71" s="57"/>
      <c r="I71" s="57" t="s">
        <v>75</v>
      </c>
      <c r="J71" s="100"/>
      <c r="K71" s="101"/>
      <c r="L71" s="101"/>
      <c r="M71" s="57"/>
      <c r="N71" s="59" t="str">
        <f>IF(ISBLANK(J71),"",IF(OR(M71="Completed",M71="Closed"),"",IF(H71="Issue",IF(I71="High",WORKDAY(J71,2,DATA!A71:A99),IF(I71="Medium",WORKDAY(J71,14, DATA!A71:A99),IF(OR(I71="Low"),WORKDAY(J71,30,DATA!A71:A99),""))),
"")
))</f>
        <v/>
      </c>
      <c r="O71" s="60" t="str">
        <f ca="1">IF(OR(ISBLANK(#REF!), M71="Completed", M71="Closed", H71&lt;&gt;"Issue"), "",
   (NETWORKDAYS.INTL(TODAY(), N71, 1, DATA!A71:A99) - 1))</f>
        <v/>
      </c>
      <c r="P71" s="88" t="str">
        <f t="shared" ca="1" si="3"/>
        <v/>
      </c>
      <c r="Q71" s="64" t="str">
        <f t="shared" ca="1" si="2"/>
        <v/>
      </c>
    </row>
    <row r="72" spans="1:17" x14ac:dyDescent="0.3">
      <c r="A72" s="82">
        <v>70</v>
      </c>
      <c r="B72" s="57"/>
      <c r="C72" s="57"/>
      <c r="D72" s="57"/>
      <c r="E72" s="57"/>
      <c r="F72" s="57"/>
      <c r="G72" s="57"/>
      <c r="H72" s="57"/>
      <c r="I72" s="57" t="s">
        <v>75</v>
      </c>
      <c r="J72" s="100"/>
      <c r="K72" s="101"/>
      <c r="L72" s="101"/>
      <c r="M72" s="57"/>
      <c r="N72" s="59" t="str">
        <f>IF(ISBLANK(J72),"",IF(OR(M72="Completed",M72="Closed"),"",IF(H72="Issue",IF(I72="High",WORKDAY(J72,2,DATA!A72:A100),IF(I72="Medium",WORKDAY(J72,14, DATA!A72:A100),IF(OR(I72="Low"),WORKDAY(J72,30,DATA!A72:A100),""))),
"")
))</f>
        <v/>
      </c>
      <c r="O72" s="60" t="str">
        <f ca="1">IF(OR(ISBLANK(#REF!), M72="Completed", M72="Closed", H72&lt;&gt;"Issue"), "",
   (NETWORKDAYS.INTL(TODAY(), N72, 1, DATA!A72:A100) - 1))</f>
        <v/>
      </c>
      <c r="P72" s="88" t="str">
        <f t="shared" ca="1" si="3"/>
        <v/>
      </c>
      <c r="Q72" s="64" t="str">
        <f t="shared" ca="1" si="2"/>
        <v/>
      </c>
    </row>
    <row r="73" spans="1:17" x14ac:dyDescent="0.3">
      <c r="A73" s="82">
        <v>71</v>
      </c>
      <c r="B73" s="57"/>
      <c r="C73" s="57"/>
      <c r="D73" s="57"/>
      <c r="E73" s="57"/>
      <c r="F73" s="57"/>
      <c r="G73" s="57"/>
      <c r="H73" s="57"/>
      <c r="I73" s="57" t="s">
        <v>75</v>
      </c>
      <c r="J73" s="100"/>
      <c r="K73" s="100"/>
      <c r="L73" s="100"/>
      <c r="M73" s="57"/>
      <c r="N73" s="59" t="str">
        <f>IF(ISBLANK(J73),"",IF(OR(M73="Completed",M73="Closed"),"",IF(H73="Issue",IF(I73="High",WORKDAY(J73,2,DATA!A73:A101),IF(I73="Medium",WORKDAY(J73,14, DATA!A73:A101),IF(OR(I73="Low"),WORKDAY(J73,30,DATA!A73:A101),""))),
"")
))</f>
        <v/>
      </c>
      <c r="O73" s="60" t="str">
        <f ca="1">IF(OR(ISBLANK(#REF!), M73="Completed", M73="Closed", H73&lt;&gt;"Issue"), "",
   (NETWORKDAYS.INTL(TODAY(), N73, 1, DATA!A73:A101) - 1))</f>
        <v/>
      </c>
      <c r="P73" s="88" t="str">
        <f t="shared" ca="1" si="3"/>
        <v/>
      </c>
      <c r="Q73" s="64" t="str">
        <f t="shared" ca="1" si="2"/>
        <v/>
      </c>
    </row>
    <row r="74" spans="1:17" x14ac:dyDescent="0.3">
      <c r="A74" s="82">
        <v>72</v>
      </c>
      <c r="B74" s="57"/>
      <c r="C74" s="57"/>
      <c r="D74" s="57"/>
      <c r="E74" s="57"/>
      <c r="F74" s="57"/>
      <c r="G74" s="57"/>
      <c r="H74" s="57"/>
      <c r="I74" s="57" t="s">
        <v>75</v>
      </c>
      <c r="J74" s="100"/>
      <c r="K74" s="101"/>
      <c r="L74" s="101"/>
      <c r="M74" s="57"/>
      <c r="N74" s="59" t="str">
        <f>IF(ISBLANK(J74),"",IF(OR(M74="Completed",M74="Closed"),"",IF(H74="Issue",IF(I74="High",WORKDAY(J74,2,DATA!A74:A102),IF(I74="Medium",WORKDAY(J74,14, DATA!A74:A102),IF(OR(I74="Low"),WORKDAY(J74,30,DATA!A74:A102),""))),
"")
))</f>
        <v/>
      </c>
      <c r="O74" s="60" t="str">
        <f ca="1">IF(OR(ISBLANK(#REF!), M74="Completed", M74="Closed", H74&lt;&gt;"Issue"), "",
   (NETWORKDAYS.INTL(TODAY(), N74, 1, DATA!A74:A102) - 1))</f>
        <v/>
      </c>
      <c r="P74" s="88" t="str">
        <f t="shared" ca="1" si="3"/>
        <v/>
      </c>
      <c r="Q74" s="64" t="str">
        <f t="shared" ca="1" si="2"/>
        <v/>
      </c>
    </row>
    <row r="75" spans="1:17" x14ac:dyDescent="0.3">
      <c r="A75" s="82">
        <v>73</v>
      </c>
      <c r="B75" s="57"/>
      <c r="C75" s="57"/>
      <c r="D75" s="57"/>
      <c r="E75" s="57"/>
      <c r="F75" s="57"/>
      <c r="G75" s="57"/>
      <c r="H75" s="57"/>
      <c r="I75" s="57" t="s">
        <v>75</v>
      </c>
      <c r="J75" s="100"/>
      <c r="K75" s="101"/>
      <c r="L75" s="101"/>
      <c r="M75" s="57"/>
      <c r="N75" s="59" t="str">
        <f>IF(ISBLANK(J75),"",IF(OR(M75="Completed",M75="Closed"),"",IF(H75="Issue",IF(I75="High",WORKDAY(J75,2,DATA!A75:A103),IF(I75="Medium",WORKDAY(J75,14, DATA!A75:A103),IF(OR(I75="Low"),WORKDAY(J75,30,DATA!A75:A103),""))),
"")
))</f>
        <v/>
      </c>
      <c r="O75" s="60" t="str">
        <f ca="1">IF(OR(ISBLANK(#REF!), M75="Completed", M75="Closed", H75&lt;&gt;"Issue"), "",
   (NETWORKDAYS.INTL(TODAY(), N75, 1, DATA!A75:A103) - 1))</f>
        <v/>
      </c>
      <c r="P75" s="88" t="str">
        <f t="shared" ca="1" si="3"/>
        <v/>
      </c>
      <c r="Q75" s="64" t="str">
        <f t="shared" ca="1" si="2"/>
        <v/>
      </c>
    </row>
    <row r="76" spans="1:17" x14ac:dyDescent="0.3">
      <c r="A76" s="82">
        <v>74</v>
      </c>
      <c r="B76" s="57"/>
      <c r="C76" s="57"/>
      <c r="D76" s="57"/>
      <c r="E76" s="57"/>
      <c r="F76" s="57"/>
      <c r="G76" s="57"/>
      <c r="H76" s="57"/>
      <c r="I76" s="57" t="s">
        <v>75</v>
      </c>
      <c r="J76" s="100"/>
      <c r="K76" s="100"/>
      <c r="L76" s="101"/>
      <c r="M76" s="57"/>
      <c r="N76" s="59" t="str">
        <f>IF(ISBLANK(J76),"",IF(OR(M76="Completed",M76="Closed"),"",IF(H76="Issue",IF(I76="High",WORKDAY(J76,2,DATA!A76:A104),IF(I76="Medium",WORKDAY(J76,14, DATA!A76:A104),IF(OR(I76="Low"),WORKDAY(J76,30,DATA!A76:A104),""))),
"")
))</f>
        <v/>
      </c>
      <c r="O76" s="60" t="str">
        <f ca="1">IF(OR(ISBLANK(#REF!), M76="Completed", M76="Closed", H76&lt;&gt;"Issue"), "",
   (NETWORKDAYS.INTL(TODAY(), N76, 1, DATA!A76:A104) - 1))</f>
        <v/>
      </c>
      <c r="P76" s="88" t="str">
        <f t="shared" ca="1" si="3"/>
        <v/>
      </c>
      <c r="Q76" s="64" t="str">
        <f t="shared" ca="1" si="2"/>
        <v/>
      </c>
    </row>
    <row r="77" spans="1:17" x14ac:dyDescent="0.3">
      <c r="A77" s="82">
        <v>75</v>
      </c>
      <c r="B77" s="57"/>
      <c r="C77" s="57"/>
      <c r="D77" s="57"/>
      <c r="E77" s="57"/>
      <c r="F77" s="57"/>
      <c r="G77" s="57"/>
      <c r="H77" s="57"/>
      <c r="I77" s="57" t="s">
        <v>75</v>
      </c>
      <c r="J77" s="100"/>
      <c r="K77" s="100"/>
      <c r="L77" s="100"/>
      <c r="M77" s="57"/>
      <c r="N77" s="59" t="str">
        <f>IF(ISBLANK(J77),"",IF(OR(M77="Completed",M77="Closed"),"",IF(H77="Issue",IF(I77="High",WORKDAY(J77,2,DATA!A77:A105),IF(I77="Medium",WORKDAY(J77,14, DATA!A77:A105),IF(OR(I77="Low"),WORKDAY(J77,30,DATA!A77:A105),""))),
"")
))</f>
        <v/>
      </c>
      <c r="O77" s="60" t="str">
        <f ca="1">IF(OR(ISBLANK(#REF!), M77="Completed", M77="Closed", H77&lt;&gt;"Issue"), "",
   (NETWORKDAYS.INTL(TODAY(), N77, 1, DATA!A77:A105) - 1))</f>
        <v/>
      </c>
      <c r="P77" s="88" t="str">
        <f t="shared" ca="1" si="3"/>
        <v/>
      </c>
      <c r="Q77" s="64" t="str">
        <f t="shared" ca="1" si="2"/>
        <v/>
      </c>
    </row>
    <row r="78" spans="1:17" x14ac:dyDescent="0.3">
      <c r="A78" s="82">
        <v>76</v>
      </c>
      <c r="B78" s="57"/>
      <c r="C78" s="57"/>
      <c r="D78" s="57"/>
      <c r="E78" s="57"/>
      <c r="F78" s="57"/>
      <c r="G78" s="57"/>
      <c r="H78" s="57"/>
      <c r="I78" s="57" t="s">
        <v>75</v>
      </c>
      <c r="J78" s="100"/>
      <c r="K78" s="100"/>
      <c r="L78" s="100"/>
      <c r="M78" s="57"/>
      <c r="N78" s="59" t="str">
        <f>IF(ISBLANK(J78),"",IF(OR(M78="Completed",M78="Closed"),"",IF(H78="Issue",IF(I78="High",WORKDAY(J78,2,DATA!A78:A106),IF(I78="Medium",WORKDAY(J78,14, DATA!A78:A106),IF(OR(I78="Low"),WORKDAY(J78,30,DATA!A78:A106),""))),
"")
))</f>
        <v/>
      </c>
      <c r="O78" s="60" t="str">
        <f ca="1">IF(OR(ISBLANK(#REF!), M78="Completed", M78="Closed", H78&lt;&gt;"Issue"), "",
   (NETWORKDAYS.INTL(TODAY(), N78, 1, DATA!A78:A106) - 1))</f>
        <v/>
      </c>
      <c r="P78" s="88" t="str">
        <f t="shared" ca="1" si="3"/>
        <v/>
      </c>
      <c r="Q78" s="64" t="str">
        <f t="shared" ca="1" si="2"/>
        <v/>
      </c>
    </row>
    <row r="79" spans="1:17" x14ac:dyDescent="0.3">
      <c r="A79" s="82">
        <v>77</v>
      </c>
      <c r="B79" s="57"/>
      <c r="C79" s="57"/>
      <c r="D79" s="57"/>
      <c r="E79" s="57"/>
      <c r="F79" s="57"/>
      <c r="G79" s="57"/>
      <c r="H79" s="57"/>
      <c r="I79" s="57" t="s">
        <v>75</v>
      </c>
      <c r="J79" s="100"/>
      <c r="K79" s="100"/>
      <c r="L79" s="100"/>
      <c r="M79" s="57"/>
      <c r="N79" s="59" t="str">
        <f>IF(ISBLANK(J79),"",IF(OR(M79="Completed",M79="Closed"),"",IF(H79="Issue",IF(I79="High",WORKDAY(J79,2,DATA!A79:A107),IF(I79="Medium",WORKDAY(J79,14, DATA!A79:A107),IF(OR(I79="Low"),WORKDAY(J79,30,DATA!A79:A107),""))),
"")
))</f>
        <v/>
      </c>
      <c r="O79" s="60" t="str">
        <f ca="1">IF(OR(ISBLANK(#REF!), M79="Completed", M79="Closed", H79&lt;&gt;"Issue"), "",
   (NETWORKDAYS.INTL(TODAY(), N79, 1, DATA!A79:A107) - 1))</f>
        <v/>
      </c>
      <c r="P79" s="88" t="str">
        <f t="shared" ca="1" si="3"/>
        <v/>
      </c>
      <c r="Q79" s="64" t="str">
        <f t="shared" ca="1" si="2"/>
        <v/>
      </c>
    </row>
    <row r="80" spans="1:17" x14ac:dyDescent="0.3">
      <c r="A80" s="82">
        <v>78</v>
      </c>
      <c r="B80" s="57"/>
      <c r="C80" s="57"/>
      <c r="D80" s="57"/>
      <c r="E80" s="57"/>
      <c r="F80" s="57"/>
      <c r="G80" s="57"/>
      <c r="H80" s="57"/>
      <c r="I80" s="57" t="s">
        <v>75</v>
      </c>
      <c r="J80" s="100"/>
      <c r="K80" s="100"/>
      <c r="L80" s="101"/>
      <c r="M80" s="57"/>
      <c r="N80" s="59" t="str">
        <f>IF(ISBLANK(J80),"",IF(OR(M80="Completed",M80="Closed"),"",IF(H80="Issue",IF(I80="High",WORKDAY(J80,2,DATA!A80:A108),IF(I80="Medium",WORKDAY(J80,14, DATA!A80:A108),IF(OR(I80="Low"),WORKDAY(J80,30,DATA!A80:A108),""))),
"")
))</f>
        <v/>
      </c>
      <c r="O80" s="60" t="str">
        <f ca="1">IF(OR(ISBLANK(#REF!), M80="Completed", M80="Closed", H80&lt;&gt;"Issue"), "",
   (NETWORKDAYS.INTL(TODAY(), N80, 1, DATA!A80:A108) - 1))</f>
        <v/>
      </c>
      <c r="P80" s="88" t="str">
        <f t="shared" ca="1" si="3"/>
        <v/>
      </c>
      <c r="Q80" s="64" t="str">
        <f t="shared" ca="1" si="2"/>
        <v/>
      </c>
    </row>
    <row r="81" spans="1:17" x14ac:dyDescent="0.3">
      <c r="A81" s="82">
        <v>79</v>
      </c>
      <c r="B81" s="57"/>
      <c r="C81" s="57"/>
      <c r="D81" s="57"/>
      <c r="E81" s="57"/>
      <c r="F81" s="57"/>
      <c r="G81" s="57"/>
      <c r="H81" s="57"/>
      <c r="I81" s="57" t="s">
        <v>75</v>
      </c>
      <c r="J81" s="100"/>
      <c r="K81" s="100"/>
      <c r="L81" s="100"/>
      <c r="M81" s="57"/>
      <c r="N81" s="59" t="str">
        <f>IF(ISBLANK(J81),"",IF(OR(M81="Completed",M81="Closed"),"",IF(H81="Issue",IF(I81="High",WORKDAY(J81,2,DATA!A81:A109),IF(I81="Medium",WORKDAY(J81,14, DATA!A81:A109),IF(OR(I81="Low"),WORKDAY(J81,30,DATA!A81:A109),""))),
"")
))</f>
        <v/>
      </c>
      <c r="O81" s="60" t="str">
        <f ca="1">IF(OR(ISBLANK(#REF!), M81="Completed", M81="Closed", H81&lt;&gt;"Issue"), "",
   (NETWORKDAYS.INTL(TODAY(), N81, 1, DATA!A81:A109) - 1))</f>
        <v/>
      </c>
      <c r="P81" s="88" t="str">
        <f t="shared" ca="1" si="3"/>
        <v/>
      </c>
      <c r="Q81" s="64" t="str">
        <f t="shared" ca="1" si="2"/>
        <v/>
      </c>
    </row>
    <row r="82" spans="1:17" x14ac:dyDescent="0.3">
      <c r="A82" s="82">
        <v>80</v>
      </c>
      <c r="B82" s="57"/>
      <c r="C82" s="57"/>
      <c r="D82" s="57"/>
      <c r="E82" s="57"/>
      <c r="F82" s="57"/>
      <c r="G82" s="57"/>
      <c r="H82" s="57"/>
      <c r="I82" s="57" t="s">
        <v>75</v>
      </c>
      <c r="J82" s="100"/>
      <c r="K82" s="101"/>
      <c r="L82" s="101"/>
      <c r="M82" s="57"/>
      <c r="N82" s="59" t="str">
        <f>IF(ISBLANK(J82),"",IF(OR(M82="Completed",M82="Closed"),"",IF(H82="Issue",IF(I82="High",WORKDAY(J82,2,DATA!A82:A110),IF(I82="Medium",WORKDAY(J82,14, DATA!A82:A110),IF(OR(I82="Low"),WORKDAY(J82,30,DATA!A82:A110),""))),
"")
))</f>
        <v/>
      </c>
      <c r="O82" s="60" t="str">
        <f ca="1">IF(OR(ISBLANK(#REF!), M82="Completed", M82="Closed", H82&lt;&gt;"Issue"), "",
   (NETWORKDAYS.INTL(TODAY(), N82, 1, DATA!A82:A110) - 1))</f>
        <v/>
      </c>
      <c r="P82" s="88" t="str">
        <f t="shared" ca="1" si="3"/>
        <v/>
      </c>
      <c r="Q82" s="64" t="str">
        <f t="shared" ca="1" si="2"/>
        <v/>
      </c>
    </row>
    <row r="83" spans="1:17" x14ac:dyDescent="0.3">
      <c r="A83" s="82">
        <v>81</v>
      </c>
      <c r="B83" s="57"/>
      <c r="C83" s="57"/>
      <c r="D83" s="57"/>
      <c r="E83" s="57"/>
      <c r="F83" s="57"/>
      <c r="G83" s="57"/>
      <c r="H83" s="57"/>
      <c r="I83" s="57" t="s">
        <v>75</v>
      </c>
      <c r="J83" s="100"/>
      <c r="K83" s="101"/>
      <c r="L83" s="101"/>
      <c r="M83" s="57"/>
      <c r="N83" s="59" t="str">
        <f>IF(ISBLANK(J83),"",IF(OR(M83="Completed",M83="Closed"),"",IF(H83="Issue",IF(I83="High",WORKDAY(J83,2,DATA!A83:A111),IF(I83="Medium",WORKDAY(J83,14, DATA!A83:A111),IF(OR(I83="Low"),WORKDAY(J83,30,DATA!A83:A111),""))),
"")
))</f>
        <v/>
      </c>
      <c r="O83" s="60" t="str">
        <f ca="1">IF(OR(ISBLANK(#REF!), M83="Completed", M83="Closed", H83&lt;&gt;"Issue"), "",
   (NETWORKDAYS.INTL(TODAY(), N83, 1, DATA!A83:A111) - 1))</f>
        <v/>
      </c>
      <c r="P83" s="88" t="str">
        <f t="shared" ca="1" si="3"/>
        <v/>
      </c>
      <c r="Q83" s="64" t="str">
        <f t="shared" ca="1" si="2"/>
        <v/>
      </c>
    </row>
    <row r="84" spans="1:17" x14ac:dyDescent="0.3">
      <c r="A84" s="82">
        <v>82</v>
      </c>
      <c r="B84" s="57"/>
      <c r="C84" s="57"/>
      <c r="D84" s="57"/>
      <c r="E84" s="57"/>
      <c r="F84" s="57"/>
      <c r="G84" s="57"/>
      <c r="H84" s="57"/>
      <c r="I84" s="57" t="s">
        <v>75</v>
      </c>
      <c r="J84" s="100"/>
      <c r="K84" s="101"/>
      <c r="L84" s="101"/>
      <c r="M84" s="57"/>
      <c r="N84" s="59" t="str">
        <f>IF(ISBLANK(J84),"",IF(OR(M84="Completed",M84="Closed"),"",IF(H84="Issue",IF(I84="High",WORKDAY(J84,2,DATA!A84:A112),IF(I84="Medium",WORKDAY(J84,14, DATA!A84:A112),IF(OR(I84="Low"),WORKDAY(J84,30,DATA!A84:A112),""))),
"")
))</f>
        <v/>
      </c>
      <c r="O84" s="60" t="str">
        <f ca="1">IF(OR(ISBLANK(#REF!), M84="Completed", M84="Closed", H84&lt;&gt;"Issue"), "",
   (NETWORKDAYS.INTL(TODAY(), N84, 1, DATA!A84:A112) - 1))</f>
        <v/>
      </c>
      <c r="P84" s="88" t="str">
        <f t="shared" ca="1" si="3"/>
        <v/>
      </c>
      <c r="Q84" s="64" t="str">
        <f t="shared" ca="1" si="2"/>
        <v/>
      </c>
    </row>
    <row r="85" spans="1:17" x14ac:dyDescent="0.3">
      <c r="A85" s="82">
        <v>83</v>
      </c>
      <c r="B85" s="57"/>
      <c r="C85" s="57"/>
      <c r="D85" s="57"/>
      <c r="E85" s="57"/>
      <c r="F85" s="57"/>
      <c r="G85" s="57"/>
      <c r="H85" s="57"/>
      <c r="I85" s="57" t="s">
        <v>75</v>
      </c>
      <c r="J85" s="100"/>
      <c r="K85" s="101"/>
      <c r="L85" s="101"/>
      <c r="M85" s="57"/>
      <c r="N85" s="59" t="str">
        <f>IF(ISBLANK(J85),"",IF(OR(M85="Completed",M85="Closed"),"",IF(H85="Issue",IF(I85="High",WORKDAY(J85,2,DATA!A85:A113),IF(I85="Medium",WORKDAY(J85,14, DATA!A85:A113),IF(OR(I85="Low"),WORKDAY(J85,30,DATA!A85:A113),""))),
"")
))</f>
        <v/>
      </c>
      <c r="O85" s="60" t="str">
        <f ca="1">IF(OR(ISBLANK(#REF!), M85="Completed", M85="Closed", H85&lt;&gt;"Issue"), "",
   (NETWORKDAYS.INTL(TODAY(), N85, 1, DATA!A85:A113) - 1))</f>
        <v/>
      </c>
      <c r="P85" s="88" t="str">
        <f t="shared" ca="1" si="3"/>
        <v/>
      </c>
      <c r="Q85" s="64" t="str">
        <f t="shared" ref="Q85:Q148" ca="1" si="4">IF(P85="","",
IF(P85&lt;=0,"Not Due",
IF(P85&lt;=30,"1-30 Days",
IF(P85&lt;=60,"31-60 Days",
"&gt;60 Days"))))</f>
        <v/>
      </c>
    </row>
    <row r="86" spans="1:17" x14ac:dyDescent="0.3">
      <c r="A86" s="82">
        <v>84</v>
      </c>
      <c r="B86" s="57"/>
      <c r="C86" s="57"/>
      <c r="D86" s="57"/>
      <c r="E86" s="57"/>
      <c r="F86" s="57"/>
      <c r="G86" s="57"/>
      <c r="H86" s="57"/>
      <c r="I86" s="57" t="s">
        <v>75</v>
      </c>
      <c r="J86" s="100"/>
      <c r="K86" s="101"/>
      <c r="L86" s="101"/>
      <c r="M86" s="57"/>
      <c r="N86" s="59" t="str">
        <f>IF(ISBLANK(J86),"",IF(OR(M86="Completed",M86="Closed"),"",IF(H86="Issue",IF(I86="High",WORKDAY(J86,2,DATA!A86:A114),IF(I86="Medium",WORKDAY(J86,14, DATA!A86:A114),IF(OR(I86="Low"),WORKDAY(J86,30,DATA!A86:A114),""))),
"")
))</f>
        <v/>
      </c>
      <c r="O86" s="60" t="str">
        <f ca="1">IF(OR(ISBLANK(#REF!), M86="Completed", M86="Closed", H86&lt;&gt;"Issue"), "",
   (NETWORKDAYS.INTL(TODAY(), N86, 1, DATA!A86:A114) - 1))</f>
        <v/>
      </c>
      <c r="P86" s="88" t="str">
        <f t="shared" ca="1" si="3"/>
        <v/>
      </c>
      <c r="Q86" s="64" t="str">
        <f t="shared" ca="1" si="4"/>
        <v/>
      </c>
    </row>
    <row r="87" spans="1:17" x14ac:dyDescent="0.3">
      <c r="A87" s="82">
        <v>85</v>
      </c>
      <c r="B87" s="57"/>
      <c r="C87" s="57"/>
      <c r="D87" s="57"/>
      <c r="E87" s="57"/>
      <c r="F87" s="57"/>
      <c r="G87" s="57"/>
      <c r="H87" s="57"/>
      <c r="I87" s="57" t="s">
        <v>75</v>
      </c>
      <c r="J87" s="100"/>
      <c r="K87" s="101"/>
      <c r="L87" s="101"/>
      <c r="M87" s="57"/>
      <c r="N87" s="59" t="str">
        <f>IF(ISBLANK(J87),"",IF(OR(M87="Completed",M87="Closed"),"",IF(H87="Issue",IF(I87="High",WORKDAY(J87,2,DATA!A87:A115),IF(I87="Medium",WORKDAY(J87,14, DATA!A87:A115),IF(OR(I87="Low"),WORKDAY(J87,30,DATA!A87:A115),""))),
"")
))</f>
        <v/>
      </c>
      <c r="O87" s="60" t="str">
        <f ca="1">IF(OR(ISBLANK(#REF!), M87="Completed", M87="Closed", H87&lt;&gt;"Issue"), "",
   (NETWORKDAYS.INTL(TODAY(), N87, 1, DATA!A87:A115) - 1))</f>
        <v/>
      </c>
      <c r="P87" s="88" t="str">
        <f t="shared" ca="1" si="3"/>
        <v/>
      </c>
      <c r="Q87" s="64" t="str">
        <f t="shared" ca="1" si="4"/>
        <v/>
      </c>
    </row>
    <row r="88" spans="1:17" x14ac:dyDescent="0.3">
      <c r="A88" s="82">
        <v>86</v>
      </c>
      <c r="B88" s="57"/>
      <c r="C88" s="57"/>
      <c r="D88" s="57"/>
      <c r="E88" s="57"/>
      <c r="F88" s="57"/>
      <c r="G88" s="57"/>
      <c r="H88" s="57"/>
      <c r="I88" s="57" t="s">
        <v>75</v>
      </c>
      <c r="J88" s="100"/>
      <c r="K88" s="101"/>
      <c r="L88" s="101"/>
      <c r="M88" s="57"/>
      <c r="N88" s="59" t="str">
        <f>IF(ISBLANK(J88),"",IF(OR(M88="Completed",M88="Closed"),"",IF(H88="Issue",IF(I88="High",WORKDAY(J88,2,DATA!A88:A116),IF(I88="Medium",WORKDAY(J88,14, DATA!A88:A116),IF(OR(I88="Low"),WORKDAY(J88,30,DATA!A88:A116),""))),
"")
))</f>
        <v/>
      </c>
      <c r="O88" s="60" t="str">
        <f ca="1">IF(OR(ISBLANK(#REF!), M88="Completed", M88="Closed", H88&lt;&gt;"Issue"), "",
   (NETWORKDAYS.INTL(TODAY(), N88, 1, DATA!A88:A116) - 1))</f>
        <v/>
      </c>
      <c r="P88" s="88" t="str">
        <f t="shared" ca="1" si="3"/>
        <v/>
      </c>
      <c r="Q88" s="64" t="str">
        <f t="shared" ca="1" si="4"/>
        <v/>
      </c>
    </row>
    <row r="89" spans="1:17" x14ac:dyDescent="0.3">
      <c r="A89" s="82">
        <v>87</v>
      </c>
      <c r="B89" s="57"/>
      <c r="C89" s="57"/>
      <c r="D89" s="57"/>
      <c r="E89" s="57"/>
      <c r="F89" s="57"/>
      <c r="G89" s="57"/>
      <c r="H89" s="57"/>
      <c r="I89" s="57" t="s">
        <v>75</v>
      </c>
      <c r="J89" s="100"/>
      <c r="K89" s="101"/>
      <c r="L89" s="101"/>
      <c r="M89" s="57"/>
      <c r="N89" s="59" t="str">
        <f>IF(ISBLANK(J89),"",IF(OR(M89="Completed",M89="Closed"),"",IF(H89="Issue",IF(I89="High",WORKDAY(J89,2,DATA!A89:A117),IF(I89="Medium",WORKDAY(J89,14, DATA!A89:A117),IF(OR(I89="Low"),WORKDAY(J89,30,DATA!A89:A117),""))),
"")
))</f>
        <v/>
      </c>
      <c r="O89" s="60" t="str">
        <f ca="1">IF(OR(ISBLANK(#REF!), M89="Completed", M89="Closed", H89&lt;&gt;"Issue"), "",
   (NETWORKDAYS.INTL(TODAY(), N89, 1, DATA!A89:A117) - 1))</f>
        <v/>
      </c>
      <c r="P89" s="88" t="str">
        <f t="shared" ca="1" si="3"/>
        <v/>
      </c>
      <c r="Q89" s="64" t="str">
        <f t="shared" ca="1" si="4"/>
        <v/>
      </c>
    </row>
    <row r="90" spans="1:17" x14ac:dyDescent="0.3">
      <c r="A90" s="82">
        <v>88</v>
      </c>
      <c r="B90" s="57"/>
      <c r="C90" s="57"/>
      <c r="D90" s="57"/>
      <c r="E90" s="57"/>
      <c r="F90" s="57"/>
      <c r="G90" s="57"/>
      <c r="H90" s="57"/>
      <c r="I90" s="57" t="s">
        <v>75</v>
      </c>
      <c r="J90" s="100"/>
      <c r="K90" s="101"/>
      <c r="L90" s="101"/>
      <c r="M90" s="57"/>
      <c r="N90" s="59" t="str">
        <f>IF(ISBLANK(J90),"",IF(OR(M90="Completed",M90="Closed"),"",IF(H90="Issue",IF(I90="High",WORKDAY(J90,2,DATA!A90:A118),IF(I90="Medium",WORKDAY(J90,14, DATA!A90:A118),IF(OR(I90="Low"),WORKDAY(J90,30,DATA!A90:A118),""))),
"")
))</f>
        <v/>
      </c>
      <c r="O90" s="60" t="str">
        <f ca="1">IF(OR(ISBLANK(#REF!), M90="Completed", M90="Closed", H90&lt;&gt;"Issue"), "",
   (NETWORKDAYS.INTL(TODAY(), N90, 1, DATA!A90:A118) - 1))</f>
        <v/>
      </c>
      <c r="P90" s="88" t="str">
        <f t="shared" ca="1" si="3"/>
        <v/>
      </c>
      <c r="Q90" s="64" t="str">
        <f t="shared" ca="1" si="4"/>
        <v/>
      </c>
    </row>
    <row r="91" spans="1:17" x14ac:dyDescent="0.3">
      <c r="A91" s="82">
        <v>89</v>
      </c>
      <c r="B91" s="57"/>
      <c r="C91" s="57"/>
      <c r="D91" s="57"/>
      <c r="E91" s="57"/>
      <c r="F91" s="57"/>
      <c r="G91" s="57"/>
      <c r="H91" s="57"/>
      <c r="I91" s="57" t="s">
        <v>75</v>
      </c>
      <c r="J91" s="100"/>
      <c r="K91" s="101"/>
      <c r="L91" s="101"/>
      <c r="M91" s="57"/>
      <c r="N91" s="59" t="str">
        <f>IF(ISBLANK(J91),"",IF(OR(M91="Completed",M91="Closed"),"",IF(H91="Issue",IF(I91="High",WORKDAY(J91,2,DATA!A91:A119),IF(I91="Medium",WORKDAY(J91,14, DATA!A91:A119),IF(OR(I91="Low"),WORKDAY(J91,30,DATA!A91:A119),""))),
"")
))</f>
        <v/>
      </c>
      <c r="O91" s="60" t="str">
        <f ca="1">IF(OR(ISBLANK(#REF!), M91="Completed", M91="Closed", H91&lt;&gt;"Issue"), "",
   (NETWORKDAYS.INTL(TODAY(), N91, 1, DATA!A91:A119) - 1))</f>
        <v/>
      </c>
      <c r="P91" s="88" t="str">
        <f t="shared" ca="1" si="3"/>
        <v/>
      </c>
      <c r="Q91" s="64" t="str">
        <f t="shared" ca="1" si="4"/>
        <v/>
      </c>
    </row>
    <row r="92" spans="1:17" x14ac:dyDescent="0.3">
      <c r="A92" s="82">
        <v>90</v>
      </c>
      <c r="B92" s="57"/>
      <c r="C92" s="57"/>
      <c r="D92" s="57"/>
      <c r="E92" s="57"/>
      <c r="F92" s="57"/>
      <c r="G92" s="57"/>
      <c r="H92" s="57"/>
      <c r="I92" s="57" t="s">
        <v>75</v>
      </c>
      <c r="J92" s="100"/>
      <c r="K92" s="101"/>
      <c r="L92" s="101"/>
      <c r="M92" s="57"/>
      <c r="N92" s="59" t="str">
        <f>IF(ISBLANK(J92),"",IF(OR(M92="Completed",M92="Closed"),"",IF(H92="Issue",IF(I92="High",WORKDAY(J92,2,DATA!A92:A120),IF(I92="Medium",WORKDAY(J92,14, DATA!A92:A120),IF(OR(I92="Low"),WORKDAY(J92,30,DATA!A92:A120),""))),
"")
))</f>
        <v/>
      </c>
      <c r="O92" s="60" t="str">
        <f ca="1">IF(OR(ISBLANK(#REF!), M92="Completed", M92="Closed", H92&lt;&gt;"Issue"), "",
   (NETWORKDAYS.INTL(TODAY(), N92, 1, DATA!A92:A120) - 1))</f>
        <v/>
      </c>
      <c r="P92" s="88" t="str">
        <f t="shared" ca="1" si="3"/>
        <v/>
      </c>
      <c r="Q92" s="64" t="str">
        <f t="shared" ca="1" si="4"/>
        <v/>
      </c>
    </row>
    <row r="93" spans="1:17" x14ac:dyDescent="0.3">
      <c r="A93" s="82">
        <v>91</v>
      </c>
      <c r="B93" s="57"/>
      <c r="C93" s="57"/>
      <c r="D93" s="57"/>
      <c r="E93" s="57"/>
      <c r="F93" s="57"/>
      <c r="G93" s="57"/>
      <c r="H93" s="57"/>
      <c r="I93" s="57" t="s">
        <v>75</v>
      </c>
      <c r="J93" s="100"/>
      <c r="K93" s="101"/>
      <c r="L93" s="101"/>
      <c r="M93" s="57"/>
      <c r="N93" s="59" t="str">
        <f>IF(ISBLANK(J93),"",IF(OR(M93="Completed",M93="Closed"),"",IF(H93="Issue",IF(I93="High",WORKDAY(J93,2,DATA!A93:A121),IF(I93="Medium",WORKDAY(J93,14, DATA!A93:A121),IF(OR(I93="Low"),WORKDAY(J93,30,DATA!A93:A121),""))),
"")
))</f>
        <v/>
      </c>
      <c r="O93" s="60" t="str">
        <f ca="1">IF(OR(ISBLANK(#REF!), M93="Completed", M93="Closed", H93&lt;&gt;"Issue"), "",
   (NETWORKDAYS.INTL(TODAY(), N93, 1, DATA!A93:A121) - 1))</f>
        <v/>
      </c>
      <c r="P93" s="88" t="str">
        <f t="shared" ca="1" si="3"/>
        <v/>
      </c>
      <c r="Q93" s="64" t="str">
        <f t="shared" ca="1" si="4"/>
        <v/>
      </c>
    </row>
    <row r="94" spans="1:17" x14ac:dyDescent="0.3">
      <c r="A94" s="82">
        <v>92</v>
      </c>
      <c r="B94" s="57"/>
      <c r="C94" s="57"/>
      <c r="D94" s="57"/>
      <c r="E94" s="57"/>
      <c r="F94" s="57"/>
      <c r="G94" s="57"/>
      <c r="H94" s="57"/>
      <c r="I94" s="57" t="s">
        <v>75</v>
      </c>
      <c r="J94" s="100"/>
      <c r="K94" s="101"/>
      <c r="L94" s="101"/>
      <c r="M94" s="57"/>
      <c r="N94" s="59" t="str">
        <f>IF(ISBLANK(J94),"",IF(OR(M94="Completed",M94="Closed"),"",IF(H94="Issue",IF(I94="High",WORKDAY(J94,2,DATA!A94:A122),IF(I94="Medium",WORKDAY(J94,14, DATA!A94:A122),IF(OR(I94="Low"),WORKDAY(J94,30,DATA!A94:A122),""))),
"")
))</f>
        <v/>
      </c>
      <c r="O94" s="60" t="str">
        <f ca="1">IF(OR(ISBLANK(#REF!), M94="Completed", M94="Closed", H94&lt;&gt;"Issue"), "",
   (NETWORKDAYS.INTL(TODAY(), N94, 1, DATA!A94:A122) - 1))</f>
        <v/>
      </c>
      <c r="P94" s="88" t="str">
        <f t="shared" ca="1" si="3"/>
        <v/>
      </c>
      <c r="Q94" s="64" t="str">
        <f t="shared" ca="1" si="4"/>
        <v/>
      </c>
    </row>
    <row r="95" spans="1:17" x14ac:dyDescent="0.3">
      <c r="A95" s="82">
        <v>93</v>
      </c>
      <c r="I95" s="57" t="s">
        <v>75</v>
      </c>
      <c r="J95" s="113"/>
      <c r="K95" s="113"/>
      <c r="L95" s="113"/>
      <c r="P95" s="88" t="str">
        <f t="shared" si="3"/>
        <v/>
      </c>
      <c r="Q95" s="64" t="str">
        <f t="shared" si="4"/>
        <v/>
      </c>
    </row>
    <row r="96" spans="1:17" x14ac:dyDescent="0.3">
      <c r="A96" s="82">
        <v>94</v>
      </c>
      <c r="I96" s="57" t="s">
        <v>75</v>
      </c>
      <c r="J96" s="113"/>
      <c r="K96" s="113"/>
      <c r="L96" s="113"/>
      <c r="P96" s="88" t="str">
        <f t="shared" si="3"/>
        <v/>
      </c>
      <c r="Q96" s="64" t="str">
        <f t="shared" si="4"/>
        <v/>
      </c>
    </row>
    <row r="97" spans="1:17" x14ac:dyDescent="0.3">
      <c r="A97" s="82">
        <v>95</v>
      </c>
      <c r="I97" s="57" t="s">
        <v>75</v>
      </c>
      <c r="J97" s="113"/>
      <c r="K97" s="113"/>
      <c r="L97" s="113"/>
      <c r="P97" s="88" t="str">
        <f t="shared" si="3"/>
        <v/>
      </c>
      <c r="Q97" s="64" t="str">
        <f t="shared" si="4"/>
        <v/>
      </c>
    </row>
    <row r="98" spans="1:17" x14ac:dyDescent="0.3">
      <c r="A98" s="82">
        <v>96</v>
      </c>
      <c r="I98" s="57" t="s">
        <v>75</v>
      </c>
      <c r="J98" s="113"/>
      <c r="K98" s="113"/>
      <c r="L98" s="113"/>
      <c r="P98" s="88" t="str">
        <f t="shared" si="3"/>
        <v/>
      </c>
      <c r="Q98" s="64" t="str">
        <f t="shared" si="4"/>
        <v/>
      </c>
    </row>
    <row r="99" spans="1:17" x14ac:dyDescent="0.3">
      <c r="A99" s="82">
        <v>97</v>
      </c>
      <c r="I99" s="57" t="s">
        <v>75</v>
      </c>
      <c r="J99" s="113"/>
      <c r="K99" s="113"/>
      <c r="L99" s="113"/>
      <c r="P99" s="88" t="str">
        <f t="shared" si="3"/>
        <v/>
      </c>
      <c r="Q99" s="64" t="str">
        <f t="shared" si="4"/>
        <v/>
      </c>
    </row>
    <row r="100" spans="1:17" x14ac:dyDescent="0.3">
      <c r="A100" s="82">
        <v>98</v>
      </c>
      <c r="I100" s="57" t="s">
        <v>75</v>
      </c>
      <c r="J100" s="113"/>
      <c r="K100" s="113"/>
      <c r="L100" s="113"/>
      <c r="P100" s="88" t="str">
        <f t="shared" si="3"/>
        <v/>
      </c>
      <c r="Q100" s="64" t="str">
        <f t="shared" si="4"/>
        <v/>
      </c>
    </row>
    <row r="101" spans="1:17" x14ac:dyDescent="0.3">
      <c r="A101" s="82">
        <v>99</v>
      </c>
      <c r="I101" s="57" t="s">
        <v>75</v>
      </c>
      <c r="J101" s="113"/>
      <c r="K101" s="113"/>
      <c r="L101" s="113"/>
      <c r="P101" s="88" t="str">
        <f t="shared" si="3"/>
        <v/>
      </c>
      <c r="Q101" s="64" t="str">
        <f t="shared" si="4"/>
        <v/>
      </c>
    </row>
    <row r="102" spans="1:17" x14ac:dyDescent="0.3">
      <c r="A102" s="82">
        <v>100</v>
      </c>
      <c r="I102" s="57" t="s">
        <v>75</v>
      </c>
      <c r="J102" s="113"/>
      <c r="K102" s="113"/>
      <c r="L102" s="113"/>
      <c r="P102" s="88" t="str">
        <f t="shared" si="3"/>
        <v/>
      </c>
      <c r="Q102" s="64" t="str">
        <f t="shared" si="4"/>
        <v/>
      </c>
    </row>
    <row r="103" spans="1:17" x14ac:dyDescent="0.3">
      <c r="A103" s="82">
        <v>101</v>
      </c>
      <c r="I103" s="57" t="s">
        <v>75</v>
      </c>
      <c r="J103" s="113"/>
      <c r="K103" s="113"/>
      <c r="L103" s="113"/>
      <c r="P103" s="88" t="str">
        <f t="shared" si="3"/>
        <v/>
      </c>
      <c r="Q103" s="64" t="str">
        <f t="shared" si="4"/>
        <v/>
      </c>
    </row>
    <row r="104" spans="1:17" x14ac:dyDescent="0.3">
      <c r="A104" s="82">
        <v>102</v>
      </c>
      <c r="I104" s="57" t="s">
        <v>75</v>
      </c>
      <c r="J104" s="113"/>
      <c r="K104" s="113"/>
      <c r="L104" s="113"/>
      <c r="P104" s="88" t="str">
        <f t="shared" si="3"/>
        <v/>
      </c>
      <c r="Q104" s="64" t="str">
        <f t="shared" si="4"/>
        <v/>
      </c>
    </row>
    <row r="105" spans="1:17" x14ac:dyDescent="0.3">
      <c r="A105" s="82">
        <v>103</v>
      </c>
      <c r="I105" s="57" t="s">
        <v>75</v>
      </c>
      <c r="J105" s="113"/>
      <c r="K105" s="113"/>
      <c r="L105" s="113"/>
      <c r="P105" s="88" t="str">
        <f t="shared" si="3"/>
        <v/>
      </c>
      <c r="Q105" s="64" t="str">
        <f t="shared" si="4"/>
        <v/>
      </c>
    </row>
    <row r="106" spans="1:17" x14ac:dyDescent="0.3">
      <c r="A106" s="82">
        <v>104</v>
      </c>
      <c r="I106" s="57" t="s">
        <v>75</v>
      </c>
      <c r="J106" s="113"/>
      <c r="K106" s="113"/>
      <c r="L106" s="113"/>
      <c r="P106" s="88" t="str">
        <f t="shared" si="3"/>
        <v/>
      </c>
      <c r="Q106" s="64" t="str">
        <f t="shared" si="4"/>
        <v/>
      </c>
    </row>
    <row r="107" spans="1:17" x14ac:dyDescent="0.3">
      <c r="A107" s="82">
        <v>105</v>
      </c>
      <c r="I107" s="57" t="s">
        <v>75</v>
      </c>
      <c r="J107" s="113"/>
      <c r="K107" s="113"/>
      <c r="L107" s="113"/>
      <c r="P107" s="88" t="str">
        <f t="shared" si="3"/>
        <v/>
      </c>
      <c r="Q107" s="64" t="str">
        <f t="shared" si="4"/>
        <v/>
      </c>
    </row>
    <row r="108" spans="1:17" x14ac:dyDescent="0.3">
      <c r="A108" s="82">
        <v>106</v>
      </c>
      <c r="I108" s="57" t="s">
        <v>75</v>
      </c>
      <c r="J108" s="113"/>
      <c r="K108" s="113"/>
      <c r="L108" s="113"/>
      <c r="P108" s="88" t="str">
        <f t="shared" si="3"/>
        <v/>
      </c>
      <c r="Q108" s="64" t="str">
        <f t="shared" si="4"/>
        <v/>
      </c>
    </row>
    <row r="109" spans="1:17" x14ac:dyDescent="0.3">
      <c r="A109" s="82">
        <v>107</v>
      </c>
      <c r="I109" s="57" t="s">
        <v>75</v>
      </c>
      <c r="J109" s="113"/>
      <c r="K109" s="113"/>
      <c r="L109" s="113"/>
      <c r="P109" s="88" t="str">
        <f t="shared" si="3"/>
        <v/>
      </c>
      <c r="Q109" s="64" t="str">
        <f t="shared" si="4"/>
        <v/>
      </c>
    </row>
    <row r="110" spans="1:17" x14ac:dyDescent="0.3">
      <c r="A110" s="82">
        <v>108</v>
      </c>
      <c r="I110" s="57" t="s">
        <v>75</v>
      </c>
      <c r="J110" s="113"/>
      <c r="K110" s="113"/>
      <c r="L110" s="113"/>
      <c r="P110" s="88" t="str">
        <f t="shared" si="3"/>
        <v/>
      </c>
      <c r="Q110" s="64" t="str">
        <f t="shared" si="4"/>
        <v/>
      </c>
    </row>
    <row r="111" spans="1:17" x14ac:dyDescent="0.3">
      <c r="A111" s="82">
        <v>109</v>
      </c>
      <c r="I111" s="57" t="s">
        <v>75</v>
      </c>
      <c r="J111" s="113"/>
      <c r="K111" s="113"/>
      <c r="L111" s="113"/>
      <c r="P111" s="88" t="str">
        <f t="shared" si="3"/>
        <v/>
      </c>
      <c r="Q111" s="64" t="str">
        <f t="shared" si="4"/>
        <v/>
      </c>
    </row>
    <row r="112" spans="1:17" x14ac:dyDescent="0.3">
      <c r="A112" s="82">
        <v>110</v>
      </c>
      <c r="I112" s="57" t="s">
        <v>75</v>
      </c>
      <c r="J112" s="113"/>
      <c r="K112" s="113"/>
      <c r="L112" s="113"/>
      <c r="P112" s="88" t="str">
        <f t="shared" si="3"/>
        <v/>
      </c>
      <c r="Q112" s="64" t="str">
        <f t="shared" si="4"/>
        <v/>
      </c>
    </row>
    <row r="113" spans="1:17" x14ac:dyDescent="0.3">
      <c r="A113" s="82">
        <v>111</v>
      </c>
      <c r="I113" s="57" t="s">
        <v>75</v>
      </c>
      <c r="J113" s="113"/>
      <c r="K113" s="113"/>
      <c r="L113" s="113"/>
      <c r="P113" s="88" t="str">
        <f t="shared" si="3"/>
        <v/>
      </c>
      <c r="Q113" s="64" t="str">
        <f t="shared" si="4"/>
        <v/>
      </c>
    </row>
    <row r="114" spans="1:17" x14ac:dyDescent="0.3">
      <c r="A114" s="82">
        <v>112</v>
      </c>
      <c r="I114" s="57" t="s">
        <v>75</v>
      </c>
      <c r="J114" s="113"/>
      <c r="K114" s="113"/>
      <c r="L114" s="113"/>
      <c r="P114" s="88" t="str">
        <f t="shared" si="3"/>
        <v/>
      </c>
      <c r="Q114" s="64" t="str">
        <f t="shared" si="4"/>
        <v/>
      </c>
    </row>
    <row r="115" spans="1:17" x14ac:dyDescent="0.3">
      <c r="A115" s="82">
        <v>113</v>
      </c>
      <c r="I115" s="57" t="s">
        <v>75</v>
      </c>
      <c r="J115" s="113"/>
      <c r="K115" s="113"/>
      <c r="L115" s="113"/>
      <c r="P115" s="88" t="str">
        <f t="shared" si="3"/>
        <v/>
      </c>
      <c r="Q115" s="64" t="str">
        <f t="shared" si="4"/>
        <v/>
      </c>
    </row>
    <row r="116" spans="1:17" x14ac:dyDescent="0.3">
      <c r="A116" s="82">
        <v>114</v>
      </c>
      <c r="I116" s="57" t="s">
        <v>75</v>
      </c>
      <c r="J116" s="113"/>
      <c r="K116" s="113"/>
      <c r="L116" s="113"/>
      <c r="P116" s="88" t="str">
        <f t="shared" si="3"/>
        <v/>
      </c>
      <c r="Q116" s="64" t="str">
        <f t="shared" si="4"/>
        <v/>
      </c>
    </row>
    <row r="117" spans="1:17" x14ac:dyDescent="0.3">
      <c r="A117" s="82">
        <v>115</v>
      </c>
      <c r="I117" s="57" t="s">
        <v>75</v>
      </c>
      <c r="J117" s="113"/>
      <c r="K117" s="113"/>
      <c r="L117" s="113"/>
      <c r="P117" s="88" t="str">
        <f t="shared" si="3"/>
        <v/>
      </c>
      <c r="Q117" s="64" t="str">
        <f t="shared" si="4"/>
        <v/>
      </c>
    </row>
    <row r="118" spans="1:17" x14ac:dyDescent="0.3">
      <c r="A118" s="82">
        <v>116</v>
      </c>
      <c r="I118" s="57" t="s">
        <v>75</v>
      </c>
      <c r="J118" s="113"/>
      <c r="K118" s="113"/>
      <c r="L118" s="113"/>
      <c r="P118" s="88" t="str">
        <f t="shared" si="3"/>
        <v/>
      </c>
      <c r="Q118" s="64" t="str">
        <f t="shared" si="4"/>
        <v/>
      </c>
    </row>
    <row r="119" spans="1:17" x14ac:dyDescent="0.3">
      <c r="A119" s="82">
        <v>117</v>
      </c>
      <c r="I119" s="57" t="s">
        <v>75</v>
      </c>
      <c r="J119" s="113"/>
      <c r="K119" s="113"/>
      <c r="L119" s="113"/>
      <c r="P119" s="88" t="str">
        <f t="shared" si="3"/>
        <v/>
      </c>
      <c r="Q119" s="64" t="str">
        <f t="shared" si="4"/>
        <v/>
      </c>
    </row>
    <row r="120" spans="1:17" x14ac:dyDescent="0.3">
      <c r="A120" s="82">
        <v>118</v>
      </c>
      <c r="I120" s="57" t="s">
        <v>75</v>
      </c>
      <c r="J120" s="113"/>
      <c r="K120" s="113"/>
      <c r="L120" s="113"/>
      <c r="P120" s="88" t="str">
        <f t="shared" si="3"/>
        <v/>
      </c>
      <c r="Q120" s="64" t="str">
        <f t="shared" si="4"/>
        <v/>
      </c>
    </row>
    <row r="121" spans="1:17" x14ac:dyDescent="0.3">
      <c r="A121" s="82">
        <v>119</v>
      </c>
      <c r="I121" s="57" t="s">
        <v>75</v>
      </c>
      <c r="J121" s="113"/>
      <c r="K121" s="113"/>
      <c r="L121" s="113"/>
      <c r="P121" s="88" t="str">
        <f t="shared" si="3"/>
        <v/>
      </c>
      <c r="Q121" s="64" t="str">
        <f t="shared" si="4"/>
        <v/>
      </c>
    </row>
    <row r="122" spans="1:17" x14ac:dyDescent="0.3">
      <c r="A122" s="82">
        <v>120</v>
      </c>
      <c r="I122" s="57" t="s">
        <v>75</v>
      </c>
      <c r="J122" s="113"/>
      <c r="K122" s="113"/>
      <c r="L122" s="113"/>
      <c r="P122" s="88" t="str">
        <f t="shared" si="3"/>
        <v/>
      </c>
      <c r="Q122" s="64" t="str">
        <f t="shared" si="4"/>
        <v/>
      </c>
    </row>
    <row r="123" spans="1:17" x14ac:dyDescent="0.3">
      <c r="A123" s="82">
        <v>121</v>
      </c>
      <c r="I123" s="57" t="s">
        <v>75</v>
      </c>
      <c r="J123" s="113"/>
      <c r="K123" s="113"/>
      <c r="L123" s="113"/>
      <c r="P123" s="88" t="str">
        <f t="shared" si="3"/>
        <v/>
      </c>
      <c r="Q123" s="64" t="str">
        <f t="shared" si="4"/>
        <v/>
      </c>
    </row>
    <row r="124" spans="1:17" x14ac:dyDescent="0.3">
      <c r="A124" s="82">
        <v>122</v>
      </c>
      <c r="I124" s="57" t="s">
        <v>75</v>
      </c>
      <c r="J124" s="113"/>
      <c r="K124" s="113"/>
      <c r="L124" s="113"/>
      <c r="P124" s="88" t="str">
        <f t="shared" si="3"/>
        <v/>
      </c>
      <c r="Q124" s="64" t="str">
        <f t="shared" si="4"/>
        <v/>
      </c>
    </row>
    <row r="125" spans="1:17" x14ac:dyDescent="0.3">
      <c r="A125" s="82">
        <v>123</v>
      </c>
      <c r="I125" s="57" t="s">
        <v>75</v>
      </c>
      <c r="J125" s="113"/>
      <c r="K125" s="113"/>
      <c r="L125" s="113"/>
      <c r="P125" s="88" t="str">
        <f t="shared" si="3"/>
        <v/>
      </c>
      <c r="Q125" s="64" t="str">
        <f t="shared" si="4"/>
        <v/>
      </c>
    </row>
    <row r="126" spans="1:17" x14ac:dyDescent="0.3">
      <c r="A126" s="82">
        <v>124</v>
      </c>
      <c r="I126" s="57" t="s">
        <v>75</v>
      </c>
      <c r="J126" s="113"/>
      <c r="K126" s="113"/>
      <c r="L126" s="113"/>
      <c r="P126" s="88" t="str">
        <f t="shared" si="3"/>
        <v/>
      </c>
      <c r="Q126" s="64" t="str">
        <f t="shared" si="4"/>
        <v/>
      </c>
    </row>
    <row r="127" spans="1:17" x14ac:dyDescent="0.3">
      <c r="A127" s="82">
        <v>125</v>
      </c>
      <c r="I127" s="57" t="s">
        <v>75</v>
      </c>
      <c r="J127" s="113"/>
      <c r="K127" s="113"/>
      <c r="L127" s="113"/>
      <c r="P127" s="88" t="str">
        <f t="shared" si="3"/>
        <v/>
      </c>
      <c r="Q127" s="64" t="str">
        <f t="shared" si="4"/>
        <v/>
      </c>
    </row>
    <row r="128" spans="1:17" x14ac:dyDescent="0.3">
      <c r="A128" s="82">
        <v>126</v>
      </c>
      <c r="I128" s="57" t="s">
        <v>75</v>
      </c>
      <c r="J128" s="113"/>
      <c r="K128" s="113"/>
      <c r="L128" s="113"/>
      <c r="P128" s="88" t="str">
        <f t="shared" si="3"/>
        <v/>
      </c>
      <c r="Q128" s="64" t="str">
        <f t="shared" si="4"/>
        <v/>
      </c>
    </row>
    <row r="129" spans="1:17" x14ac:dyDescent="0.3">
      <c r="A129" s="82">
        <v>127</v>
      </c>
      <c r="I129" s="57" t="s">
        <v>75</v>
      </c>
      <c r="J129" s="113"/>
      <c r="K129" s="113"/>
      <c r="L129" s="113"/>
      <c r="P129" s="88" t="str">
        <f t="shared" si="3"/>
        <v/>
      </c>
      <c r="Q129" s="64" t="str">
        <f t="shared" si="4"/>
        <v/>
      </c>
    </row>
    <row r="130" spans="1:17" x14ac:dyDescent="0.3">
      <c r="A130" s="82">
        <v>128</v>
      </c>
      <c r="I130" s="57" t="s">
        <v>75</v>
      </c>
      <c r="J130" s="113"/>
      <c r="K130" s="113"/>
      <c r="L130" s="113"/>
      <c r="P130" s="88" t="str">
        <f t="shared" si="3"/>
        <v/>
      </c>
      <c r="Q130" s="64" t="str">
        <f t="shared" si="4"/>
        <v/>
      </c>
    </row>
    <row r="131" spans="1:17" x14ac:dyDescent="0.3">
      <c r="A131" s="82">
        <v>129</v>
      </c>
      <c r="I131" s="57" t="s">
        <v>75</v>
      </c>
      <c r="J131" s="113"/>
      <c r="K131" s="113"/>
      <c r="L131" s="113"/>
      <c r="P131" s="88" t="str">
        <f t="shared" ref="P131:P189" si="5">IF(O131="","",LEFT(O131,10)*(-1))</f>
        <v/>
      </c>
      <c r="Q131" s="64" t="str">
        <f t="shared" si="4"/>
        <v/>
      </c>
    </row>
    <row r="132" spans="1:17" x14ac:dyDescent="0.3">
      <c r="A132" s="82">
        <v>130</v>
      </c>
      <c r="I132" s="57" t="s">
        <v>75</v>
      </c>
      <c r="J132" s="113"/>
      <c r="K132" s="113"/>
      <c r="L132" s="113"/>
      <c r="P132" s="88" t="str">
        <f t="shared" si="5"/>
        <v/>
      </c>
      <c r="Q132" s="64" t="str">
        <f t="shared" si="4"/>
        <v/>
      </c>
    </row>
    <row r="133" spans="1:17" x14ac:dyDescent="0.3">
      <c r="A133" s="82">
        <v>131</v>
      </c>
      <c r="I133" s="57" t="s">
        <v>75</v>
      </c>
      <c r="J133" s="113"/>
      <c r="K133" s="113"/>
      <c r="L133" s="113"/>
      <c r="P133" s="88" t="str">
        <f t="shared" si="5"/>
        <v/>
      </c>
      <c r="Q133" s="64" t="str">
        <f t="shared" si="4"/>
        <v/>
      </c>
    </row>
    <row r="134" spans="1:17" x14ac:dyDescent="0.3">
      <c r="A134" s="82">
        <v>132</v>
      </c>
      <c r="I134" s="57" t="s">
        <v>75</v>
      </c>
      <c r="J134" s="113"/>
      <c r="K134" s="113"/>
      <c r="L134" s="113"/>
      <c r="P134" s="88" t="str">
        <f t="shared" si="5"/>
        <v/>
      </c>
      <c r="Q134" s="64" t="str">
        <f t="shared" si="4"/>
        <v/>
      </c>
    </row>
    <row r="135" spans="1:17" x14ac:dyDescent="0.3">
      <c r="A135" s="82">
        <v>133</v>
      </c>
      <c r="I135" s="57" t="s">
        <v>75</v>
      </c>
      <c r="J135" s="113"/>
      <c r="K135" s="113"/>
      <c r="L135" s="113"/>
      <c r="P135" s="88" t="str">
        <f t="shared" si="5"/>
        <v/>
      </c>
      <c r="Q135" s="64" t="str">
        <f t="shared" si="4"/>
        <v/>
      </c>
    </row>
    <row r="136" spans="1:17" x14ac:dyDescent="0.3">
      <c r="A136" s="82">
        <v>134</v>
      </c>
      <c r="I136" s="57" t="s">
        <v>75</v>
      </c>
      <c r="J136" s="113"/>
      <c r="K136" s="113"/>
      <c r="L136" s="113"/>
      <c r="P136" s="88" t="str">
        <f t="shared" si="5"/>
        <v/>
      </c>
      <c r="Q136" s="64" t="str">
        <f t="shared" si="4"/>
        <v/>
      </c>
    </row>
    <row r="137" spans="1:17" x14ac:dyDescent="0.3">
      <c r="A137" s="82">
        <v>135</v>
      </c>
      <c r="I137" s="57" t="s">
        <v>75</v>
      </c>
      <c r="J137" s="113"/>
      <c r="K137" s="113"/>
      <c r="L137" s="113"/>
      <c r="P137" s="88" t="str">
        <f t="shared" si="5"/>
        <v/>
      </c>
      <c r="Q137" s="64" t="str">
        <f t="shared" si="4"/>
        <v/>
      </c>
    </row>
    <row r="138" spans="1:17" x14ac:dyDescent="0.3">
      <c r="A138" s="82">
        <v>136</v>
      </c>
      <c r="I138" s="57" t="s">
        <v>75</v>
      </c>
      <c r="J138" s="113"/>
      <c r="K138" s="113"/>
      <c r="L138" s="113"/>
      <c r="P138" s="88" t="str">
        <f t="shared" si="5"/>
        <v/>
      </c>
      <c r="Q138" s="64" t="str">
        <f t="shared" si="4"/>
        <v/>
      </c>
    </row>
    <row r="139" spans="1:17" x14ac:dyDescent="0.3">
      <c r="A139" s="82">
        <v>137</v>
      </c>
      <c r="I139" s="57" t="s">
        <v>75</v>
      </c>
      <c r="J139" s="113"/>
      <c r="K139" s="113"/>
      <c r="L139" s="113"/>
      <c r="P139" s="88" t="str">
        <f t="shared" si="5"/>
        <v/>
      </c>
      <c r="Q139" s="64" t="str">
        <f t="shared" si="4"/>
        <v/>
      </c>
    </row>
    <row r="140" spans="1:17" x14ac:dyDescent="0.3">
      <c r="A140" s="82">
        <v>138</v>
      </c>
      <c r="I140" s="57" t="s">
        <v>75</v>
      </c>
      <c r="J140" s="113"/>
      <c r="K140" s="113"/>
      <c r="L140" s="113"/>
      <c r="P140" s="88" t="str">
        <f t="shared" si="5"/>
        <v/>
      </c>
      <c r="Q140" s="64" t="str">
        <f t="shared" si="4"/>
        <v/>
      </c>
    </row>
    <row r="141" spans="1:17" x14ac:dyDescent="0.3">
      <c r="A141" s="82">
        <v>139</v>
      </c>
      <c r="I141" s="57" t="s">
        <v>75</v>
      </c>
      <c r="J141" s="113"/>
      <c r="K141" s="113"/>
      <c r="L141" s="113"/>
      <c r="P141" s="88" t="str">
        <f t="shared" si="5"/>
        <v/>
      </c>
      <c r="Q141" s="64" t="str">
        <f t="shared" si="4"/>
        <v/>
      </c>
    </row>
    <row r="142" spans="1:17" x14ac:dyDescent="0.3">
      <c r="A142" s="82">
        <v>140</v>
      </c>
      <c r="I142" s="57" t="s">
        <v>75</v>
      </c>
      <c r="J142" s="113"/>
      <c r="K142" s="113"/>
      <c r="L142" s="113"/>
      <c r="P142" s="88" t="str">
        <f t="shared" si="5"/>
        <v/>
      </c>
      <c r="Q142" s="64" t="str">
        <f t="shared" si="4"/>
        <v/>
      </c>
    </row>
    <row r="143" spans="1:17" x14ac:dyDescent="0.3">
      <c r="A143" s="82">
        <v>141</v>
      </c>
      <c r="I143" s="57" t="s">
        <v>75</v>
      </c>
      <c r="J143" s="113"/>
      <c r="K143" s="113"/>
      <c r="L143" s="113"/>
      <c r="P143" s="88" t="str">
        <f t="shared" si="5"/>
        <v/>
      </c>
      <c r="Q143" s="64" t="str">
        <f t="shared" si="4"/>
        <v/>
      </c>
    </row>
    <row r="144" spans="1:17" x14ac:dyDescent="0.3">
      <c r="A144" s="82">
        <v>142</v>
      </c>
      <c r="I144" s="57" t="s">
        <v>75</v>
      </c>
      <c r="J144" s="113"/>
      <c r="K144" s="113"/>
      <c r="L144" s="113"/>
      <c r="P144" s="88" t="str">
        <f t="shared" si="5"/>
        <v/>
      </c>
      <c r="Q144" s="64" t="str">
        <f t="shared" si="4"/>
        <v/>
      </c>
    </row>
    <row r="145" spans="1:17" x14ac:dyDescent="0.3">
      <c r="A145" s="82">
        <v>143</v>
      </c>
      <c r="I145" s="57" t="s">
        <v>75</v>
      </c>
      <c r="J145" s="113"/>
      <c r="K145" s="113"/>
      <c r="L145" s="113"/>
      <c r="P145" s="88" t="str">
        <f t="shared" si="5"/>
        <v/>
      </c>
      <c r="Q145" s="64" t="str">
        <f t="shared" si="4"/>
        <v/>
      </c>
    </row>
    <row r="146" spans="1:17" x14ac:dyDescent="0.3">
      <c r="A146" s="82">
        <v>144</v>
      </c>
      <c r="I146" s="57" t="s">
        <v>75</v>
      </c>
      <c r="J146" s="113"/>
      <c r="K146" s="113"/>
      <c r="L146" s="113"/>
      <c r="P146" s="88" t="str">
        <f t="shared" si="5"/>
        <v/>
      </c>
      <c r="Q146" s="64" t="str">
        <f t="shared" si="4"/>
        <v/>
      </c>
    </row>
    <row r="147" spans="1:17" x14ac:dyDescent="0.3">
      <c r="A147" s="82">
        <v>145</v>
      </c>
      <c r="I147" s="57" t="s">
        <v>75</v>
      </c>
      <c r="J147" s="113"/>
      <c r="K147" s="113"/>
      <c r="L147" s="113"/>
      <c r="P147" s="88" t="str">
        <f t="shared" si="5"/>
        <v/>
      </c>
      <c r="Q147" s="64" t="str">
        <f t="shared" si="4"/>
        <v/>
      </c>
    </row>
    <row r="148" spans="1:17" x14ac:dyDescent="0.3">
      <c r="A148" s="82">
        <v>146</v>
      </c>
      <c r="I148" s="57" t="s">
        <v>75</v>
      </c>
      <c r="J148" s="113"/>
      <c r="K148" s="113"/>
      <c r="L148" s="113"/>
      <c r="P148" s="88" t="str">
        <f t="shared" si="5"/>
        <v/>
      </c>
      <c r="Q148" s="64" t="str">
        <f t="shared" si="4"/>
        <v/>
      </c>
    </row>
    <row r="149" spans="1:17" x14ac:dyDescent="0.3">
      <c r="A149" s="82">
        <v>147</v>
      </c>
      <c r="I149" s="57" t="s">
        <v>75</v>
      </c>
      <c r="J149" s="113"/>
      <c r="K149" s="113"/>
      <c r="L149" s="113"/>
      <c r="P149" s="88" t="str">
        <f t="shared" si="5"/>
        <v/>
      </c>
      <c r="Q149" s="64" t="str">
        <f t="shared" ref="Q149:Q189" si="6">IF(P149="","",
IF(P149&lt;=0,"Not Due",
IF(P149&lt;=30,"1-30 Days",
IF(P149&lt;=60,"31-60 Days",
"&gt;60 Days"))))</f>
        <v/>
      </c>
    </row>
    <row r="150" spans="1:17" x14ac:dyDescent="0.3">
      <c r="A150" s="82">
        <v>148</v>
      </c>
      <c r="I150" s="57" t="s">
        <v>75</v>
      </c>
      <c r="J150" s="113"/>
      <c r="K150" s="113"/>
      <c r="L150" s="113"/>
      <c r="P150" s="88" t="str">
        <f t="shared" si="5"/>
        <v/>
      </c>
      <c r="Q150" s="64" t="str">
        <f t="shared" si="6"/>
        <v/>
      </c>
    </row>
    <row r="151" spans="1:17" x14ac:dyDescent="0.3">
      <c r="A151" s="82">
        <v>149</v>
      </c>
      <c r="I151" s="57" t="s">
        <v>75</v>
      </c>
      <c r="J151" s="113"/>
      <c r="K151" s="113"/>
      <c r="L151" s="113"/>
      <c r="P151" s="88" t="str">
        <f t="shared" si="5"/>
        <v/>
      </c>
      <c r="Q151" s="64" t="str">
        <f t="shared" si="6"/>
        <v/>
      </c>
    </row>
    <row r="152" spans="1:17" x14ac:dyDescent="0.3">
      <c r="A152" s="82">
        <v>150</v>
      </c>
      <c r="I152" s="57" t="s">
        <v>75</v>
      </c>
      <c r="J152" s="113"/>
      <c r="K152" s="113"/>
      <c r="L152" s="113"/>
      <c r="P152" s="88" t="str">
        <f t="shared" si="5"/>
        <v/>
      </c>
      <c r="Q152" s="64" t="str">
        <f t="shared" si="6"/>
        <v/>
      </c>
    </row>
    <row r="153" spans="1:17" x14ac:dyDescent="0.3">
      <c r="A153" s="82">
        <v>151</v>
      </c>
      <c r="I153" s="57" t="s">
        <v>75</v>
      </c>
      <c r="J153" s="113"/>
      <c r="K153" s="113"/>
      <c r="L153" s="113"/>
      <c r="P153" s="88" t="str">
        <f t="shared" si="5"/>
        <v/>
      </c>
      <c r="Q153" s="64" t="str">
        <f t="shared" si="6"/>
        <v/>
      </c>
    </row>
    <row r="154" spans="1:17" x14ac:dyDescent="0.3">
      <c r="A154" s="82">
        <v>152</v>
      </c>
      <c r="I154" s="57" t="s">
        <v>75</v>
      </c>
      <c r="J154" s="113"/>
      <c r="K154" s="113"/>
      <c r="L154" s="113"/>
      <c r="P154" s="88" t="str">
        <f t="shared" si="5"/>
        <v/>
      </c>
      <c r="Q154" s="64" t="str">
        <f t="shared" si="6"/>
        <v/>
      </c>
    </row>
    <row r="155" spans="1:17" x14ac:dyDescent="0.3">
      <c r="A155" s="82">
        <v>153</v>
      </c>
      <c r="I155" s="57" t="s">
        <v>75</v>
      </c>
      <c r="J155" s="113"/>
      <c r="K155" s="113"/>
      <c r="L155" s="113"/>
      <c r="P155" s="88" t="str">
        <f t="shared" si="5"/>
        <v/>
      </c>
      <c r="Q155" s="64" t="str">
        <f t="shared" si="6"/>
        <v/>
      </c>
    </row>
    <row r="156" spans="1:17" x14ac:dyDescent="0.3">
      <c r="A156" s="82">
        <v>154</v>
      </c>
      <c r="I156" s="57" t="s">
        <v>75</v>
      </c>
      <c r="J156" s="113"/>
      <c r="K156" s="113"/>
      <c r="L156" s="113"/>
      <c r="P156" s="88" t="str">
        <f t="shared" si="5"/>
        <v/>
      </c>
      <c r="Q156" s="64" t="str">
        <f t="shared" si="6"/>
        <v/>
      </c>
    </row>
    <row r="157" spans="1:17" x14ac:dyDescent="0.3">
      <c r="A157" s="82">
        <v>155</v>
      </c>
      <c r="I157" s="57" t="s">
        <v>75</v>
      </c>
      <c r="J157" s="113"/>
      <c r="K157" s="113"/>
      <c r="L157" s="113"/>
      <c r="P157" s="88" t="str">
        <f t="shared" si="5"/>
        <v/>
      </c>
      <c r="Q157" s="64" t="str">
        <f t="shared" si="6"/>
        <v/>
      </c>
    </row>
    <row r="158" spans="1:17" x14ac:dyDescent="0.3">
      <c r="A158" s="82">
        <v>156</v>
      </c>
      <c r="I158" s="57" t="s">
        <v>75</v>
      </c>
      <c r="J158" s="113"/>
      <c r="K158" s="113"/>
      <c r="L158" s="113"/>
      <c r="P158" s="88" t="str">
        <f t="shared" si="5"/>
        <v/>
      </c>
      <c r="Q158" s="64" t="str">
        <f t="shared" si="6"/>
        <v/>
      </c>
    </row>
    <row r="159" spans="1:17" x14ac:dyDescent="0.3">
      <c r="A159" s="82">
        <v>157</v>
      </c>
      <c r="I159" s="57" t="s">
        <v>75</v>
      </c>
      <c r="J159" s="113"/>
      <c r="K159" s="113"/>
      <c r="L159" s="113"/>
      <c r="P159" s="88" t="str">
        <f t="shared" si="5"/>
        <v/>
      </c>
      <c r="Q159" s="64" t="str">
        <f t="shared" si="6"/>
        <v/>
      </c>
    </row>
    <row r="160" spans="1:17" x14ac:dyDescent="0.3">
      <c r="A160" s="82">
        <v>158</v>
      </c>
      <c r="I160" s="57" t="s">
        <v>75</v>
      </c>
      <c r="J160" s="113"/>
      <c r="K160" s="113"/>
      <c r="L160" s="113"/>
      <c r="P160" s="88" t="str">
        <f t="shared" si="5"/>
        <v/>
      </c>
      <c r="Q160" s="64" t="str">
        <f t="shared" si="6"/>
        <v/>
      </c>
    </row>
    <row r="161" spans="1:17" x14ac:dyDescent="0.3">
      <c r="A161" s="82">
        <v>159</v>
      </c>
      <c r="I161" s="57" t="s">
        <v>75</v>
      </c>
      <c r="J161" s="113"/>
      <c r="K161" s="113"/>
      <c r="L161" s="113"/>
      <c r="P161" s="88" t="str">
        <f t="shared" si="5"/>
        <v/>
      </c>
      <c r="Q161" s="64" t="str">
        <f t="shared" si="6"/>
        <v/>
      </c>
    </row>
    <row r="162" spans="1:17" x14ac:dyDescent="0.3">
      <c r="A162" s="82">
        <v>160</v>
      </c>
      <c r="I162" s="57" t="s">
        <v>75</v>
      </c>
      <c r="J162" s="113"/>
      <c r="K162" s="113"/>
      <c r="L162" s="113"/>
      <c r="P162" s="88" t="str">
        <f t="shared" si="5"/>
        <v/>
      </c>
      <c r="Q162" s="64" t="str">
        <f t="shared" si="6"/>
        <v/>
      </c>
    </row>
    <row r="163" spans="1:17" x14ac:dyDescent="0.3">
      <c r="A163" s="82">
        <v>161</v>
      </c>
      <c r="I163" s="57" t="s">
        <v>75</v>
      </c>
      <c r="J163" s="113"/>
      <c r="K163" s="113"/>
      <c r="L163" s="113"/>
      <c r="P163" s="88" t="str">
        <f t="shared" si="5"/>
        <v/>
      </c>
      <c r="Q163" s="64" t="str">
        <f t="shared" si="6"/>
        <v/>
      </c>
    </row>
    <row r="164" spans="1:17" x14ac:dyDescent="0.3">
      <c r="A164" s="82">
        <v>162</v>
      </c>
      <c r="I164" s="57" t="s">
        <v>75</v>
      </c>
      <c r="J164" s="113"/>
      <c r="K164" s="113"/>
      <c r="L164" s="113"/>
      <c r="P164" s="88" t="str">
        <f t="shared" si="5"/>
        <v/>
      </c>
      <c r="Q164" s="64" t="str">
        <f t="shared" si="6"/>
        <v/>
      </c>
    </row>
    <row r="165" spans="1:17" x14ac:dyDescent="0.3">
      <c r="A165" s="82">
        <v>163</v>
      </c>
      <c r="I165" s="57" t="s">
        <v>75</v>
      </c>
      <c r="J165" s="113"/>
      <c r="K165" s="113"/>
      <c r="L165" s="113"/>
      <c r="P165" s="88" t="str">
        <f t="shared" si="5"/>
        <v/>
      </c>
      <c r="Q165" s="64" t="str">
        <f t="shared" si="6"/>
        <v/>
      </c>
    </row>
    <row r="166" spans="1:17" x14ac:dyDescent="0.3">
      <c r="A166" s="82">
        <v>164</v>
      </c>
      <c r="I166" s="57" t="s">
        <v>75</v>
      </c>
      <c r="J166" s="113"/>
      <c r="K166" s="113"/>
      <c r="L166" s="113"/>
      <c r="P166" s="88" t="str">
        <f t="shared" si="5"/>
        <v/>
      </c>
      <c r="Q166" s="64" t="str">
        <f t="shared" si="6"/>
        <v/>
      </c>
    </row>
    <row r="167" spans="1:17" x14ac:dyDescent="0.3">
      <c r="A167" s="82">
        <v>165</v>
      </c>
      <c r="I167" s="57" t="s">
        <v>75</v>
      </c>
      <c r="J167" s="113"/>
      <c r="K167" s="113"/>
      <c r="L167" s="113"/>
      <c r="P167" s="88" t="str">
        <f t="shared" si="5"/>
        <v/>
      </c>
      <c r="Q167" s="64" t="str">
        <f t="shared" si="6"/>
        <v/>
      </c>
    </row>
    <row r="168" spans="1:17" x14ac:dyDescent="0.3">
      <c r="A168" s="82">
        <v>166</v>
      </c>
      <c r="I168" s="57" t="s">
        <v>75</v>
      </c>
      <c r="J168" s="113"/>
      <c r="K168" s="113"/>
      <c r="L168" s="113"/>
      <c r="P168" s="88" t="str">
        <f t="shared" si="5"/>
        <v/>
      </c>
      <c r="Q168" s="64" t="str">
        <f t="shared" si="6"/>
        <v/>
      </c>
    </row>
    <row r="169" spans="1:17" x14ac:dyDescent="0.3">
      <c r="A169" s="82">
        <v>167</v>
      </c>
      <c r="I169" s="57" t="s">
        <v>75</v>
      </c>
      <c r="J169" s="113"/>
      <c r="K169" s="113"/>
      <c r="L169" s="113"/>
      <c r="P169" s="88" t="str">
        <f t="shared" si="5"/>
        <v/>
      </c>
      <c r="Q169" s="64" t="str">
        <f t="shared" si="6"/>
        <v/>
      </c>
    </row>
    <row r="170" spans="1:17" x14ac:dyDescent="0.3">
      <c r="A170" s="82">
        <v>168</v>
      </c>
      <c r="I170" s="57" t="s">
        <v>75</v>
      </c>
      <c r="J170" s="113"/>
      <c r="K170" s="113"/>
      <c r="L170" s="113"/>
      <c r="P170" s="88" t="str">
        <f t="shared" si="5"/>
        <v/>
      </c>
      <c r="Q170" s="64" t="str">
        <f t="shared" si="6"/>
        <v/>
      </c>
    </row>
    <row r="171" spans="1:17" x14ac:dyDescent="0.3">
      <c r="A171" s="82">
        <v>169</v>
      </c>
      <c r="I171" s="57" t="s">
        <v>75</v>
      </c>
      <c r="J171" s="113"/>
      <c r="K171" s="113"/>
      <c r="L171" s="113"/>
      <c r="P171" s="88" t="str">
        <f t="shared" si="5"/>
        <v/>
      </c>
      <c r="Q171" s="64" t="str">
        <f t="shared" si="6"/>
        <v/>
      </c>
    </row>
    <row r="172" spans="1:17" x14ac:dyDescent="0.3">
      <c r="A172" s="82">
        <v>170</v>
      </c>
      <c r="I172" s="57" t="s">
        <v>75</v>
      </c>
      <c r="J172" s="113"/>
      <c r="K172" s="113"/>
      <c r="L172" s="113"/>
      <c r="P172" s="88" t="str">
        <f t="shared" si="5"/>
        <v/>
      </c>
      <c r="Q172" s="64" t="str">
        <f t="shared" si="6"/>
        <v/>
      </c>
    </row>
    <row r="173" spans="1:17" x14ac:dyDescent="0.3">
      <c r="A173" s="82">
        <v>171</v>
      </c>
      <c r="I173" s="57" t="s">
        <v>75</v>
      </c>
      <c r="J173" s="113"/>
      <c r="K173" s="113"/>
      <c r="L173" s="113"/>
      <c r="P173" s="88" t="str">
        <f t="shared" si="5"/>
        <v/>
      </c>
      <c r="Q173" s="64" t="str">
        <f t="shared" si="6"/>
        <v/>
      </c>
    </row>
    <row r="174" spans="1:17" x14ac:dyDescent="0.3">
      <c r="A174" s="82">
        <v>172</v>
      </c>
      <c r="I174" s="57" t="s">
        <v>75</v>
      </c>
      <c r="J174" s="113"/>
      <c r="K174" s="113"/>
      <c r="L174" s="113"/>
      <c r="P174" s="88" t="str">
        <f t="shared" si="5"/>
        <v/>
      </c>
      <c r="Q174" s="64" t="str">
        <f t="shared" si="6"/>
        <v/>
      </c>
    </row>
    <row r="175" spans="1:17" x14ac:dyDescent="0.3">
      <c r="A175" s="82">
        <v>173</v>
      </c>
      <c r="I175" s="57" t="s">
        <v>75</v>
      </c>
      <c r="J175" s="113"/>
      <c r="K175" s="113"/>
      <c r="L175" s="113"/>
      <c r="P175" s="88" t="str">
        <f t="shared" si="5"/>
        <v/>
      </c>
      <c r="Q175" s="64" t="str">
        <f t="shared" si="6"/>
        <v/>
      </c>
    </row>
    <row r="176" spans="1:17" x14ac:dyDescent="0.3">
      <c r="A176" s="82">
        <v>174</v>
      </c>
      <c r="I176" s="57" t="s">
        <v>75</v>
      </c>
      <c r="J176" s="113"/>
      <c r="K176" s="113"/>
      <c r="L176" s="113"/>
      <c r="P176" s="88" t="str">
        <f t="shared" si="5"/>
        <v/>
      </c>
      <c r="Q176" s="64" t="str">
        <f t="shared" si="6"/>
        <v/>
      </c>
    </row>
    <row r="177" spans="1:17" x14ac:dyDescent="0.3">
      <c r="A177" s="82">
        <v>175</v>
      </c>
      <c r="I177" s="57" t="s">
        <v>75</v>
      </c>
      <c r="J177" s="113"/>
      <c r="K177" s="113"/>
      <c r="L177" s="113"/>
      <c r="P177" s="88" t="str">
        <f t="shared" si="5"/>
        <v/>
      </c>
      <c r="Q177" s="64" t="str">
        <f t="shared" si="6"/>
        <v/>
      </c>
    </row>
    <row r="178" spans="1:17" x14ac:dyDescent="0.3">
      <c r="A178" s="82">
        <v>176</v>
      </c>
      <c r="I178" s="57" t="s">
        <v>75</v>
      </c>
      <c r="J178" s="113"/>
      <c r="K178" s="113"/>
      <c r="L178" s="113"/>
      <c r="P178" s="88" t="str">
        <f t="shared" si="5"/>
        <v/>
      </c>
      <c r="Q178" s="64" t="str">
        <f t="shared" si="6"/>
        <v/>
      </c>
    </row>
    <row r="179" spans="1:17" x14ac:dyDescent="0.3">
      <c r="A179" s="82">
        <v>177</v>
      </c>
      <c r="I179" s="57" t="s">
        <v>75</v>
      </c>
      <c r="J179" s="113"/>
      <c r="K179" s="113"/>
      <c r="L179" s="113"/>
      <c r="P179" s="88" t="str">
        <f t="shared" si="5"/>
        <v/>
      </c>
      <c r="Q179" s="64" t="str">
        <f t="shared" si="6"/>
        <v/>
      </c>
    </row>
    <row r="180" spans="1:17" x14ac:dyDescent="0.3">
      <c r="A180" s="82">
        <v>178</v>
      </c>
      <c r="I180" s="57" t="s">
        <v>75</v>
      </c>
      <c r="J180" s="113"/>
      <c r="K180" s="113"/>
      <c r="L180" s="113"/>
      <c r="P180" s="88" t="str">
        <f t="shared" si="5"/>
        <v/>
      </c>
      <c r="Q180" s="64" t="str">
        <f t="shared" si="6"/>
        <v/>
      </c>
    </row>
    <row r="181" spans="1:17" x14ac:dyDescent="0.3">
      <c r="A181" s="82">
        <v>179</v>
      </c>
      <c r="I181" s="57" t="s">
        <v>75</v>
      </c>
      <c r="J181" s="113"/>
      <c r="K181" s="113"/>
      <c r="L181" s="113"/>
      <c r="P181" s="88" t="str">
        <f t="shared" si="5"/>
        <v/>
      </c>
      <c r="Q181" s="64" t="str">
        <f t="shared" si="6"/>
        <v/>
      </c>
    </row>
    <row r="182" spans="1:17" x14ac:dyDescent="0.3">
      <c r="A182" s="82">
        <v>180</v>
      </c>
      <c r="I182" s="57" t="s">
        <v>75</v>
      </c>
      <c r="J182" s="113"/>
      <c r="K182" s="113"/>
      <c r="L182" s="113"/>
      <c r="P182" s="88" t="str">
        <f t="shared" si="5"/>
        <v/>
      </c>
      <c r="Q182" s="64" t="str">
        <f t="shared" si="6"/>
        <v/>
      </c>
    </row>
    <row r="183" spans="1:17" x14ac:dyDescent="0.3">
      <c r="A183" s="82">
        <v>181</v>
      </c>
      <c r="I183" s="57" t="s">
        <v>75</v>
      </c>
      <c r="J183" s="113"/>
      <c r="K183" s="113"/>
      <c r="L183" s="113"/>
      <c r="P183" s="88" t="str">
        <f t="shared" si="5"/>
        <v/>
      </c>
      <c r="Q183" s="64" t="str">
        <f t="shared" si="6"/>
        <v/>
      </c>
    </row>
    <row r="184" spans="1:17" x14ac:dyDescent="0.3">
      <c r="A184" s="82">
        <v>182</v>
      </c>
      <c r="I184" s="57" t="s">
        <v>75</v>
      </c>
      <c r="P184" s="88" t="str">
        <f t="shared" si="5"/>
        <v/>
      </c>
      <c r="Q184" s="64" t="str">
        <f t="shared" si="6"/>
        <v/>
      </c>
    </row>
    <row r="185" spans="1:17" x14ac:dyDescent="0.3">
      <c r="A185" s="82">
        <v>183</v>
      </c>
      <c r="I185" s="57" t="s">
        <v>75</v>
      </c>
      <c r="P185" s="88" t="str">
        <f t="shared" si="5"/>
        <v/>
      </c>
      <c r="Q185" s="64" t="str">
        <f t="shared" si="6"/>
        <v/>
      </c>
    </row>
    <row r="186" spans="1:17" x14ac:dyDescent="0.3">
      <c r="A186" s="82">
        <v>184</v>
      </c>
      <c r="I186" s="57" t="s">
        <v>75</v>
      </c>
      <c r="P186" s="88" t="str">
        <f t="shared" si="5"/>
        <v/>
      </c>
      <c r="Q186" s="64" t="str">
        <f t="shared" si="6"/>
        <v/>
      </c>
    </row>
    <row r="187" spans="1:17" x14ac:dyDescent="0.3">
      <c r="A187" s="82">
        <v>185</v>
      </c>
      <c r="I187" s="57" t="s">
        <v>75</v>
      </c>
      <c r="P187" s="88" t="str">
        <f t="shared" si="5"/>
        <v/>
      </c>
      <c r="Q187" s="64" t="str">
        <f t="shared" si="6"/>
        <v/>
      </c>
    </row>
    <row r="188" spans="1:17" x14ac:dyDescent="0.3">
      <c r="A188" s="82">
        <v>186</v>
      </c>
      <c r="I188" s="57" t="s">
        <v>75</v>
      </c>
      <c r="P188" s="88" t="str">
        <f t="shared" si="5"/>
        <v/>
      </c>
      <c r="Q188" s="64" t="str">
        <f t="shared" si="6"/>
        <v/>
      </c>
    </row>
    <row r="189" spans="1:17" x14ac:dyDescent="0.3">
      <c r="A189" s="82">
        <v>187</v>
      </c>
      <c r="I189" s="57" t="s">
        <v>75</v>
      </c>
      <c r="P189" s="88" t="str">
        <f t="shared" si="5"/>
        <v/>
      </c>
      <c r="Q189" s="64" t="str">
        <f t="shared" si="6"/>
        <v/>
      </c>
    </row>
  </sheetData>
  <mergeCells count="1">
    <mergeCell ref="S8:S9"/>
  </mergeCells>
  <dataValidations count="3">
    <dataValidation type="list" allowBlank="1" showInputMessage="1" showErrorMessage="1" sqref="H3" xr:uid="{94BF5C61-44E4-4163-9236-226A9AF065B7}">
      <formula1>"Issue, Modification, Information, Change Request, Quotation"</formula1>
    </dataValidation>
    <dataValidation type="list" allowBlank="1" showInputMessage="1" showErrorMessage="1" sqref="I3:I189" xr:uid="{57F798AA-714F-415E-97D2-13BE13612CD3}">
      <formula1>"High, Medium, Low"</formula1>
    </dataValidation>
    <dataValidation type="list" allowBlank="1" showInputMessage="1" showErrorMessage="1" sqref="M3:M94" xr:uid="{043FF841-137C-45F1-8CC5-99EBDDE55E86}">
      <formula1>"Pending, InProgress, Completed, Closed"</formula1>
    </dataValidation>
  </dataValidations>
  <hyperlinks>
    <hyperlink ref="A1" location="'All clients'!A1" display="&lt;---" xr:uid="{B3A1E56D-D9F8-49B1-9ECA-7F043FE1D557}"/>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ECAC5-84A9-4221-9FD3-5BECF1E10E18}">
  <dimension ref="A1:V190"/>
  <sheetViews>
    <sheetView topLeftCell="H12" zoomScale="80" zoomScaleNormal="80" workbookViewId="0">
      <selection activeCell="V4" sqref="V4"/>
    </sheetView>
  </sheetViews>
  <sheetFormatPr defaultColWidth="15.5" defaultRowHeight="15.6" x14ac:dyDescent="0.3"/>
  <cols>
    <col min="1" max="2" width="15.5" style="87"/>
    <col min="3" max="3" width="11.59765625" style="87" customWidth="1"/>
    <col min="4" max="4" width="15.5" style="87"/>
    <col min="5" max="5" width="9.09765625" style="87" customWidth="1"/>
    <col min="6" max="6" width="15.5" style="87"/>
    <col min="7" max="7" width="30.796875" style="87" customWidth="1"/>
    <col min="8" max="15" width="15.5" style="87"/>
    <col min="16" max="17" width="15.5" style="64"/>
    <col min="19" max="22" width="15.3984375" customWidth="1"/>
  </cols>
  <sheetData>
    <row r="1" spans="1:22" x14ac:dyDescent="0.3">
      <c r="A1" s="45" t="s">
        <v>48</v>
      </c>
      <c r="B1" s="46" t="s">
        <v>49</v>
      </c>
      <c r="C1" s="46">
        <f>T7</f>
        <v>25</v>
      </c>
      <c r="D1" s="47" t="s">
        <v>50</v>
      </c>
      <c r="E1" s="48">
        <f>SUM(T3:T4)</f>
        <v>9</v>
      </c>
      <c r="F1" s="49" t="s">
        <v>51</v>
      </c>
      <c r="G1" s="99">
        <f>SUM(T5:T6)</f>
        <v>16</v>
      </c>
      <c r="H1" s="51"/>
      <c r="I1" s="51"/>
      <c r="J1" s="51"/>
      <c r="K1" s="51"/>
      <c r="L1" s="51"/>
      <c r="M1" s="51"/>
      <c r="N1" s="51"/>
      <c r="O1" s="51"/>
    </row>
    <row r="2" spans="1:22" ht="27.6" x14ac:dyDescent="0.3">
      <c r="A2" s="54" t="s">
        <v>52</v>
      </c>
      <c r="B2" s="54" t="s">
        <v>53</v>
      </c>
      <c r="C2" s="54" t="s">
        <v>54</v>
      </c>
      <c r="D2" s="54" t="s">
        <v>55</v>
      </c>
      <c r="E2" s="54" t="s">
        <v>56</v>
      </c>
      <c r="F2" s="54" t="s">
        <v>57</v>
      </c>
      <c r="G2" s="54" t="s">
        <v>58</v>
      </c>
      <c r="H2" s="54" t="s">
        <v>59</v>
      </c>
      <c r="I2" s="54" t="s">
        <v>60</v>
      </c>
      <c r="J2" s="54" t="s">
        <v>61</v>
      </c>
      <c r="K2" s="54" t="s">
        <v>62</v>
      </c>
      <c r="L2" s="54" t="s">
        <v>63</v>
      </c>
      <c r="M2" s="54" t="s">
        <v>64</v>
      </c>
      <c r="N2" s="54" t="s">
        <v>65</v>
      </c>
      <c r="O2" s="54" t="s">
        <v>66</v>
      </c>
      <c r="P2" s="54" t="s">
        <v>67</v>
      </c>
      <c r="Q2" s="54" t="s">
        <v>68</v>
      </c>
    </row>
    <row r="3" spans="1:22" ht="69" x14ac:dyDescent="0.3">
      <c r="A3" s="82">
        <v>1</v>
      </c>
      <c r="B3" s="82" t="s">
        <v>1136</v>
      </c>
      <c r="C3" s="82" t="s">
        <v>70</v>
      </c>
      <c r="D3" s="82" t="s">
        <v>104</v>
      </c>
      <c r="E3" s="82" t="s">
        <v>360</v>
      </c>
      <c r="F3" s="82" t="s">
        <v>1137</v>
      </c>
      <c r="G3" s="82" t="s">
        <v>1138</v>
      </c>
      <c r="H3" s="82" t="s">
        <v>74</v>
      </c>
      <c r="I3" s="57" t="s">
        <v>75</v>
      </c>
      <c r="J3" s="110">
        <v>46043.669444444444</v>
      </c>
      <c r="K3" s="110">
        <v>46077.659722222219</v>
      </c>
      <c r="L3" s="110">
        <v>46077.660416666666</v>
      </c>
      <c r="M3" s="82" t="s">
        <v>76</v>
      </c>
      <c r="N3" s="59" t="str">
        <f>IF(ISBLANK(J3),"",IF(OR(M3="Completed",M3="Closed"),"",IF(H3="Issue",IF(I3="High",WORKDAY(J3,2,DATA!A2:A30),IF(I3="Medium",WORKDAY(J3,14,DATA!A2:A30),IF(OR(I3="Low"),WORKDAY(J3,30,DATA!A2:A30),""))),
"")
))</f>
        <v/>
      </c>
      <c r="O3" s="60" t="str">
        <f ca="1">IF(OR(ISBLANK(#REF!), M3="Completed", M3="Closed", H3&lt;&gt;"Issue"), "",
   (NETWORKDAYS.INTL(TODAY(), N3, 1, DATA!A2:A30) - 1))</f>
        <v/>
      </c>
      <c r="P3" s="88" t="str">
        <f ca="1">IF(O3="","",LEFT(O3,10)*(-1))</f>
        <v/>
      </c>
      <c r="Q3" s="64" t="str">
        <f t="shared" ref="Q3:Q20" ca="1" si="0">IF(P3="","",
IF(P3&lt;=0,"Not Due",
IF(P3&lt;=30,"1-30 Days",
IF(P3&lt;=60,"31-60 Days",
"&gt;60 Days"))))</f>
        <v/>
      </c>
      <c r="S3" s="63" t="s">
        <v>77</v>
      </c>
      <c r="T3" s="64">
        <f>COUNTIF(M3:M299, "Pending")</f>
        <v>7</v>
      </c>
    </row>
    <row r="4" spans="1:22" ht="55.2" x14ac:dyDescent="0.3">
      <c r="A4" s="82">
        <v>2</v>
      </c>
      <c r="B4" s="82" t="s">
        <v>1139</v>
      </c>
      <c r="C4" s="82" t="s">
        <v>70</v>
      </c>
      <c r="D4" s="82" t="s">
        <v>104</v>
      </c>
      <c r="E4" s="82" t="s">
        <v>360</v>
      </c>
      <c r="F4" s="82" t="s">
        <v>1140</v>
      </c>
      <c r="G4" s="82" t="s">
        <v>1141</v>
      </c>
      <c r="H4" s="82" t="s">
        <v>74</v>
      </c>
      <c r="I4" s="57" t="s">
        <v>75</v>
      </c>
      <c r="J4" s="110">
        <v>46044.459027777775</v>
      </c>
      <c r="K4" s="110">
        <v>46076.642361111109</v>
      </c>
      <c r="L4" s="110">
        <v>46076.642361111109</v>
      </c>
      <c r="M4" s="82" t="s">
        <v>76</v>
      </c>
      <c r="N4" s="59" t="str">
        <f>IF(ISBLANK(J4),"",IF(OR(M4="Completed",M4="Closed"),"",IF(H4="Issue",IF(I4="High",WORKDAY(J4,2,DATA!A3:A31),IF(I4="Medium",WORKDAY(J4,14,DATA!A3:A31),IF(OR(I4="Low"),WORKDAY(J4,30,DATA!A3:A31),""))),
"")
))</f>
        <v/>
      </c>
      <c r="O4" s="60" t="str">
        <f ca="1">IF(OR(ISBLANK(#REF!), M4="Completed", M4="Closed", H4&lt;&gt;"Issue"), "",
   (NETWORKDAYS.INTL(TODAY(), N4, 1, DATA!A3:A31) - 1))</f>
        <v/>
      </c>
      <c r="P4" s="88" t="str">
        <f t="shared" ref="P4:P67" ca="1" si="1">IF(O4="","",LEFT(O4,10)*(-1))</f>
        <v/>
      </c>
      <c r="Q4" s="64" t="str">
        <f t="shared" ca="1" si="0"/>
        <v/>
      </c>
      <c r="S4" s="63" t="s">
        <v>80</v>
      </c>
      <c r="T4" s="64">
        <f>COUNTIF(M3:M299, "InProgress")</f>
        <v>2</v>
      </c>
    </row>
    <row r="5" spans="1:22" ht="27.6" x14ac:dyDescent="0.3">
      <c r="A5" s="82">
        <v>3</v>
      </c>
      <c r="B5" s="82" t="s">
        <v>1142</v>
      </c>
      <c r="C5" s="82" t="s">
        <v>70</v>
      </c>
      <c r="D5" s="82" t="s">
        <v>104</v>
      </c>
      <c r="E5" s="82" t="s">
        <v>360</v>
      </c>
      <c r="F5" s="82" t="s">
        <v>1143</v>
      </c>
      <c r="G5" s="82" t="s">
        <v>1144</v>
      </c>
      <c r="H5" s="82" t="s">
        <v>74</v>
      </c>
      <c r="I5" s="57" t="s">
        <v>75</v>
      </c>
      <c r="J5" s="110">
        <v>46051.418055555558</v>
      </c>
      <c r="K5" s="110">
        <v>46077.669444444444</v>
      </c>
      <c r="L5" s="110">
        <v>46085.416666666664</v>
      </c>
      <c r="M5" s="82" t="s">
        <v>76</v>
      </c>
      <c r="N5" s="59" t="str">
        <f>IF(ISBLANK(J5),"",IF(OR(M5="Completed",M5="Closed"),"",IF(H5="Issue",IF(I5="High",WORKDAY(J5,2,DATA!A4:A32),IF(I5="Medium",WORKDAY(J5,14,DATA!A4:A32),IF(OR(I5="Low"),WORKDAY(J5,30,DATA!A4:A32),""))),
"")
))</f>
        <v/>
      </c>
      <c r="O5" s="60" t="str">
        <f ca="1">IF(OR(ISBLANK(#REF!), M5="Completed", M5="Closed", H5&lt;&gt;"Issue"), "",
   (NETWORKDAYS.INTL(TODAY(), N5, 1, DATA!A4:A32) - 1))</f>
        <v/>
      </c>
      <c r="P5" s="88" t="str">
        <f t="shared" ca="1" si="1"/>
        <v/>
      </c>
      <c r="Q5" s="64" t="str">
        <f t="shared" ca="1" si="0"/>
        <v/>
      </c>
      <c r="S5" s="65" t="s">
        <v>85</v>
      </c>
      <c r="T5" s="64">
        <f>COUNTIF(M3:M299, "Completed")</f>
        <v>6</v>
      </c>
    </row>
    <row r="6" spans="1:22" ht="96.6" x14ac:dyDescent="0.3">
      <c r="A6" s="82">
        <v>4</v>
      </c>
      <c r="B6" s="82" t="s">
        <v>1145</v>
      </c>
      <c r="C6" s="82" t="s">
        <v>70</v>
      </c>
      <c r="D6" s="82" t="s">
        <v>104</v>
      </c>
      <c r="E6" s="82" t="s">
        <v>360</v>
      </c>
      <c r="F6" s="82" t="s">
        <v>1146</v>
      </c>
      <c r="G6" s="82" t="s">
        <v>1147</v>
      </c>
      <c r="H6" s="82" t="s">
        <v>74</v>
      </c>
      <c r="I6" s="57" t="s">
        <v>75</v>
      </c>
      <c r="J6" s="110">
        <v>46052.451388888891</v>
      </c>
      <c r="K6" s="110">
        <v>46077.586111111108</v>
      </c>
      <c r="L6" s="110">
        <v>46085.415972222225</v>
      </c>
      <c r="M6" s="82" t="s">
        <v>76</v>
      </c>
      <c r="N6" s="59" t="str">
        <f>IF(ISBLANK(J6),"",IF(OR(M6="Completed",M6="Closed"),"",IF(H6="Issue",IF(I6="High",WORKDAY(J6,2,DATA!A5:A33),IF(I6="Medium",WORKDAY(J6,14,DATA!A5:A33),IF(OR(I6="Low"),WORKDAY(J6,30,DATA!A5:A33),""))),
"")
))</f>
        <v/>
      </c>
      <c r="O6" s="60" t="str">
        <f ca="1">IF(OR(ISBLANK(#REF!), M6="Completed", M6="Closed", H6&lt;&gt;"Issue"), "",
   (NETWORKDAYS.INTL(TODAY(), N6, 1, DATA!A5:A33) - 1))</f>
        <v/>
      </c>
      <c r="P6" s="88" t="str">
        <f t="shared" ca="1" si="1"/>
        <v/>
      </c>
      <c r="Q6" s="64" t="str">
        <f t="shared" ca="1" si="0"/>
        <v/>
      </c>
      <c r="S6" s="65" t="s">
        <v>76</v>
      </c>
      <c r="T6" s="64">
        <f>COUNTIF(M3:M299, "Closed")</f>
        <v>10</v>
      </c>
    </row>
    <row r="7" spans="1:22" ht="82.8" x14ac:dyDescent="0.3">
      <c r="A7" s="82">
        <v>5</v>
      </c>
      <c r="B7" s="82" t="s">
        <v>1148</v>
      </c>
      <c r="C7" s="82" t="s">
        <v>70</v>
      </c>
      <c r="D7" s="82" t="s">
        <v>104</v>
      </c>
      <c r="E7" s="82" t="s">
        <v>360</v>
      </c>
      <c r="F7" s="82" t="s">
        <v>1149</v>
      </c>
      <c r="G7" s="82" t="s">
        <v>1150</v>
      </c>
      <c r="H7" s="82" t="s">
        <v>74</v>
      </c>
      <c r="I7" s="57" t="s">
        <v>75</v>
      </c>
      <c r="J7" s="110">
        <v>46058.652777777781</v>
      </c>
      <c r="K7" s="110">
        <v>46077.527777777781</v>
      </c>
      <c r="L7" s="110">
        <v>46085.443055555559</v>
      </c>
      <c r="M7" s="82" t="s">
        <v>76</v>
      </c>
      <c r="N7" s="59" t="str">
        <f>IF(ISBLANK(J7),"",IF(OR(M7="Completed",M7="Closed"),"",IF(H7="Issue",IF(I7="High",WORKDAY(J7,2,DATA!A6:A34),IF(I7="Medium",WORKDAY(J7,14,DATA!A6:A34),IF(OR(I7="Low"),WORKDAY(J7,30,DATA!A6:A34),""))),
"")
))</f>
        <v/>
      </c>
      <c r="O7" s="60" t="str">
        <f ca="1">IF(OR(ISBLANK(#REF!), M7="Completed", M7="Closed", H7&lt;&gt;"Issue"), "",
   (NETWORKDAYS.INTL(TODAY(), N7, 1, DATA!A6:A34) - 1))</f>
        <v/>
      </c>
      <c r="P7" s="88" t="str">
        <f t="shared" ca="1" si="1"/>
        <v/>
      </c>
      <c r="Q7" s="64" t="str">
        <f t="shared" ca="1" si="0"/>
        <v/>
      </c>
      <c r="S7" s="76" t="s">
        <v>49</v>
      </c>
      <c r="T7" s="64">
        <f>SUM(T3:T6)</f>
        <v>25</v>
      </c>
    </row>
    <row r="8" spans="1:22" ht="55.2" x14ac:dyDescent="0.3">
      <c r="A8" s="82">
        <v>6</v>
      </c>
      <c r="B8" s="82" t="s">
        <v>1151</v>
      </c>
      <c r="C8" s="82" t="s">
        <v>70</v>
      </c>
      <c r="D8" s="82" t="s">
        <v>1010</v>
      </c>
      <c r="E8" s="82" t="s">
        <v>360</v>
      </c>
      <c r="F8" s="82" t="s">
        <v>1152</v>
      </c>
      <c r="G8" s="82" t="s">
        <v>1153</v>
      </c>
      <c r="H8" s="82" t="s">
        <v>74</v>
      </c>
      <c r="I8" s="57" t="s">
        <v>75</v>
      </c>
      <c r="J8" s="110">
        <v>46073.710416666669</v>
      </c>
      <c r="K8" s="110">
        <v>46076.415277777778</v>
      </c>
      <c r="L8" s="110">
        <v>46076.436111111114</v>
      </c>
      <c r="M8" s="82" t="s">
        <v>76</v>
      </c>
      <c r="N8" s="59" t="str">
        <f>IF(ISBLANK(J8),"",IF(OR(M8="Completed",M8="Closed"),"",IF(H8="Issue",IF(I8="High",WORKDAY(J8,2,DATA!A7:A35),IF(I8="Medium",WORKDAY(J8,14,DATA!A7:A35),IF(OR(I8="Low"),WORKDAY(J8,30,DATA!A7:A35),""))),
"")
))</f>
        <v/>
      </c>
      <c r="O8" s="60" t="str">
        <f ca="1">IF(OR(ISBLANK(#REF!), M8="Completed", M8="Closed", H8&lt;&gt;"Issue"), "",
   (NETWORKDAYS.INTL(TODAY(), N8, 1, DATA!A7:A35) - 1))</f>
        <v/>
      </c>
      <c r="P8" s="88" t="str">
        <f t="shared" ca="1" si="1"/>
        <v/>
      </c>
      <c r="Q8" s="64" t="str">
        <f t="shared" ca="1" si="0"/>
        <v/>
      </c>
      <c r="S8" s="139" t="s">
        <v>66</v>
      </c>
      <c r="T8" s="90" t="s">
        <v>94</v>
      </c>
      <c r="U8" s="90" t="s">
        <v>95</v>
      </c>
      <c r="V8" s="90" t="s">
        <v>96</v>
      </c>
    </row>
    <row r="9" spans="1:22" ht="55.2" x14ac:dyDescent="0.3">
      <c r="A9" s="82">
        <v>7</v>
      </c>
      <c r="B9" s="82" t="s">
        <v>1154</v>
      </c>
      <c r="C9" s="82" t="s">
        <v>70</v>
      </c>
      <c r="D9" s="82" t="s">
        <v>199</v>
      </c>
      <c r="E9" s="82" t="s">
        <v>360</v>
      </c>
      <c r="F9" s="82" t="s">
        <v>1155</v>
      </c>
      <c r="G9" s="82" t="s">
        <v>1156</v>
      </c>
      <c r="H9" s="82" t="s">
        <v>74</v>
      </c>
      <c r="I9" s="57" t="s">
        <v>75</v>
      </c>
      <c r="J9" s="110">
        <v>46076.501388888886</v>
      </c>
      <c r="K9" s="110">
        <v>46076.538888888892</v>
      </c>
      <c r="L9" s="110">
        <v>46086.410416666666</v>
      </c>
      <c r="M9" s="82" t="s">
        <v>76</v>
      </c>
      <c r="N9" s="59" t="str">
        <f>IF(ISBLANK(J9),"",IF(OR(M9="Completed",M9="Closed"),"",IF(H9="Issue",IF(I9="High",WORKDAY(J9,2,DATA!A8:A36),IF(I9="Medium",WORKDAY(J9,14,DATA!A8:A36),IF(OR(I9="Low"),WORKDAY(J9,30,DATA!A8:A36),""))),
"")
))</f>
        <v/>
      </c>
      <c r="O9" s="60" t="str">
        <f ca="1">IF(OR(ISBLANK(#REF!), M9="Completed", M9="Closed", H9&lt;&gt;"Issue"), "",
   (NETWORKDAYS.INTL(TODAY(), N9, 1, DATA!A8:A36) - 1))</f>
        <v/>
      </c>
      <c r="P9" s="88" t="str">
        <f t="shared" ca="1" si="1"/>
        <v/>
      </c>
      <c r="Q9" s="64" t="str">
        <f t="shared" ca="1" si="0"/>
        <v/>
      </c>
      <c r="S9" s="139"/>
      <c r="T9" s="70">
        <f ca="1">COUNTIFS(P3:P277,"&gt;=1",P3:P277,"&lt;=30")</f>
        <v>6</v>
      </c>
      <c r="U9" s="70">
        <f ca="1">COUNTIFS(P3:P277,"&gt;=31",P3:P277,"&lt;=60")</f>
        <v>1</v>
      </c>
      <c r="V9" s="70">
        <f ca="1">COUNTIFS(P3:P277,"&gt;60")</f>
        <v>2</v>
      </c>
    </row>
    <row r="10" spans="1:22" ht="55.2" x14ac:dyDescent="0.3">
      <c r="A10" s="82">
        <v>8</v>
      </c>
      <c r="B10" s="82" t="s">
        <v>1157</v>
      </c>
      <c r="C10" s="82" t="s">
        <v>70</v>
      </c>
      <c r="D10" s="82" t="s">
        <v>199</v>
      </c>
      <c r="E10" s="82" t="s">
        <v>360</v>
      </c>
      <c r="F10" s="82" t="s">
        <v>1158</v>
      </c>
      <c r="G10" s="82" t="s">
        <v>1159</v>
      </c>
      <c r="H10" s="82" t="s">
        <v>74</v>
      </c>
      <c r="I10" s="57" t="s">
        <v>75</v>
      </c>
      <c r="J10" s="110">
        <v>46077.714583333334</v>
      </c>
      <c r="K10" s="110">
        <v>46096.481249999997</v>
      </c>
      <c r="L10" s="110">
        <v>46159.84652777778</v>
      </c>
      <c r="M10" s="82" t="s">
        <v>76</v>
      </c>
      <c r="N10" s="59" t="str">
        <f>IF(ISBLANK(J10),"",IF(OR(M10="Completed",M10="Closed"),"",IF(H10="Issue",IF(I10="High",WORKDAY(J10,2,DATA!A9:A37),IF(I10="Medium",WORKDAY(J10,14,DATA!A9:A37),IF(OR(I10="Low"),WORKDAY(J10,30,DATA!A9:A37),""))),
"")
))</f>
        <v/>
      </c>
      <c r="O10" s="60" t="str">
        <f ca="1">IF(OR(ISBLANK(#REF!), M10="Completed", M10="Closed", H10&lt;&gt;"Issue"), "",
   (NETWORKDAYS.INTL(TODAY(), N10, 1, DATA!A9:A37) - 1))</f>
        <v/>
      </c>
      <c r="P10" s="88" t="str">
        <f t="shared" ca="1" si="1"/>
        <v/>
      </c>
      <c r="Q10" s="64" t="str">
        <f t="shared" ca="1" si="0"/>
        <v/>
      </c>
    </row>
    <row r="11" spans="1:22" ht="55.2" x14ac:dyDescent="0.3">
      <c r="A11" s="82">
        <v>9</v>
      </c>
      <c r="B11" s="82" t="s">
        <v>1160</v>
      </c>
      <c r="C11" s="82" t="s">
        <v>70</v>
      </c>
      <c r="D11" s="82" t="s">
        <v>104</v>
      </c>
      <c r="E11" s="82" t="s">
        <v>360</v>
      </c>
      <c r="F11" s="82" t="s">
        <v>1161</v>
      </c>
      <c r="G11" s="82" t="s">
        <v>1161</v>
      </c>
      <c r="H11" s="82" t="s">
        <v>74</v>
      </c>
      <c r="I11" s="57" t="s">
        <v>75</v>
      </c>
      <c r="J11" s="110">
        <v>46078.435416666667</v>
      </c>
      <c r="K11" s="111"/>
      <c r="L11" s="111"/>
      <c r="M11" s="82" t="s">
        <v>566</v>
      </c>
      <c r="N11" s="59">
        <f>IF(ISBLANK(J11),"",IF(OR(M11="Completed",M11="Closed"),"",IF(H11="Issue",IF(I11="High",WORKDAY(J11,2,DATA!A10:A38),IF(I11="Medium",WORKDAY(J11,14,DATA!A10:A38),IF(OR(I11="Low"),WORKDAY(J11,30,DATA!A10:A38),""))),
"")
))</f>
        <v>46098</v>
      </c>
      <c r="O11" s="60">
        <f ca="1">IF(OR(ISBLANK(#REF!), M11="Completed", M11="Closed", H11&lt;&gt;"Issue"), "",
   (NETWORKDAYS.INTL(TODAY(), N11, 1, DATA!A10:A38) - 1))</f>
        <v>-91</v>
      </c>
      <c r="P11" s="88">
        <f t="shared" ca="1" si="1"/>
        <v>91</v>
      </c>
      <c r="Q11" s="64" t="str">
        <f t="shared" ca="1" si="0"/>
        <v>&gt;60 Days</v>
      </c>
    </row>
    <row r="12" spans="1:22" ht="41.4" x14ac:dyDescent="0.3">
      <c r="A12" s="82">
        <v>10</v>
      </c>
      <c r="B12" s="82" t="s">
        <v>1162</v>
      </c>
      <c r="C12" s="82" t="s">
        <v>70</v>
      </c>
      <c r="D12" s="82" t="s">
        <v>104</v>
      </c>
      <c r="E12" s="82" t="s">
        <v>360</v>
      </c>
      <c r="F12" s="82" t="s">
        <v>1163</v>
      </c>
      <c r="G12" s="82" t="s">
        <v>1164</v>
      </c>
      <c r="H12" s="82" t="s">
        <v>74</v>
      </c>
      <c r="I12" s="57" t="s">
        <v>75</v>
      </c>
      <c r="J12" s="110">
        <v>46080.619444444441</v>
      </c>
      <c r="K12" s="110">
        <v>46090.48333333333</v>
      </c>
      <c r="L12" s="110">
        <v>46090.48333333333</v>
      </c>
      <c r="M12" s="82" t="s">
        <v>76</v>
      </c>
      <c r="N12" s="59" t="str">
        <f>IF(ISBLANK(J12),"",IF(OR(M12="Completed",M12="Closed"),"",IF(H12="Issue",IF(I12="High",WORKDAY(J12,2,DATA!A11:A39),IF(I12="Medium",WORKDAY(J12,14,DATA!A11:A39),IF(OR(I12="Low"),WORKDAY(J12,30,DATA!A11:A39),""))),
"")
))</f>
        <v/>
      </c>
      <c r="O12" s="60" t="str">
        <f ca="1">IF(OR(ISBLANK(#REF!), M12="Completed", M12="Closed", H12&lt;&gt;"Issue"), "",
   (NETWORKDAYS.INTL(TODAY(), N12, 1, DATA!A11:A39) - 1))</f>
        <v/>
      </c>
      <c r="P12" s="88" t="str">
        <f t="shared" ca="1" si="1"/>
        <v/>
      </c>
      <c r="Q12" s="64" t="str">
        <f t="shared" ca="1" si="0"/>
        <v/>
      </c>
    </row>
    <row r="13" spans="1:22" ht="82.8" x14ac:dyDescent="0.3">
      <c r="A13" s="82">
        <v>11</v>
      </c>
      <c r="B13" s="82" t="s">
        <v>1165</v>
      </c>
      <c r="C13" s="82" t="s">
        <v>70</v>
      </c>
      <c r="D13" s="82" t="s">
        <v>104</v>
      </c>
      <c r="E13" s="82" t="s">
        <v>360</v>
      </c>
      <c r="F13" s="82" t="s">
        <v>1166</v>
      </c>
      <c r="G13" s="82" t="s">
        <v>1167</v>
      </c>
      <c r="H13" s="82" t="s">
        <v>74</v>
      </c>
      <c r="I13" s="57" t="s">
        <v>75</v>
      </c>
      <c r="J13" s="110">
        <v>46098.636805555558</v>
      </c>
      <c r="K13" s="110">
        <v>46147.493750000001</v>
      </c>
      <c r="L13" s="110">
        <v>46159.878472222219</v>
      </c>
      <c r="M13" s="82" t="s">
        <v>76</v>
      </c>
      <c r="N13" s="59" t="str">
        <f>IF(ISBLANK(J13),"",IF(OR(M13="Completed",M13="Closed"),"",IF(H13="Issue",IF(I13="High",WORKDAY(J13,2,DATA!A12:A40),IF(I13="Medium",WORKDAY(J13,14,DATA!A12:A40),IF(OR(I13="Low"),WORKDAY(J13,30,DATA!A12:A40),""))),
"")
))</f>
        <v/>
      </c>
      <c r="O13" s="60" t="str">
        <f ca="1">IF(OR(ISBLANK(#REF!), M13="Completed", M13="Closed", H13&lt;&gt;"Issue"), "",
   (NETWORKDAYS.INTL(TODAY(), N13, 1, DATA!A12:A40) - 1))</f>
        <v/>
      </c>
      <c r="P13" s="88" t="str">
        <f t="shared" ca="1" si="1"/>
        <v/>
      </c>
      <c r="Q13" s="64" t="str">
        <f t="shared" ca="1" si="0"/>
        <v/>
      </c>
    </row>
    <row r="14" spans="1:22" ht="82.8" x14ac:dyDescent="0.3">
      <c r="A14" s="82">
        <v>12</v>
      </c>
      <c r="B14" s="82" t="s">
        <v>1168</v>
      </c>
      <c r="C14" s="84"/>
      <c r="D14" s="82" t="s">
        <v>1010</v>
      </c>
      <c r="E14" s="82" t="s">
        <v>360</v>
      </c>
      <c r="F14" s="82" t="s">
        <v>1169</v>
      </c>
      <c r="G14" s="82" t="s">
        <v>1170</v>
      </c>
      <c r="H14" s="82" t="s">
        <v>74</v>
      </c>
      <c r="I14" s="57" t="s">
        <v>75</v>
      </c>
      <c r="J14" s="110">
        <v>46121.619444444441</v>
      </c>
      <c r="K14" s="111"/>
      <c r="L14" s="111"/>
      <c r="M14" s="82" t="s">
        <v>77</v>
      </c>
      <c r="N14" s="59">
        <f>IF(ISBLANK(J14),"",IF(OR(M14="Completed",M14="Closed"),"",IF(H14="Issue",IF(I14="High",WORKDAY(J14,2,DATA!A13:A41),IF(I14="Medium",WORKDAY(J14,14,DATA!A13:A41),IF(OR(I14="Low"),WORKDAY(J14,30,DATA!A13:A41),""))),
"")
))</f>
        <v>46141</v>
      </c>
      <c r="O14" s="60">
        <f ca="1">IF(OR(ISBLANK(#REF!), M14="Completed", M14="Closed", H14&lt;&gt;"Issue"), "",
   (NETWORKDAYS.INTL(TODAY(), N14, 1, DATA!A13:A41) - 1))</f>
        <v>-62</v>
      </c>
      <c r="P14" s="88">
        <f t="shared" ca="1" si="1"/>
        <v>62</v>
      </c>
      <c r="Q14" s="64" t="str">
        <f t="shared" ca="1" si="0"/>
        <v>&gt;60 Days</v>
      </c>
    </row>
    <row r="15" spans="1:22" ht="41.4" x14ac:dyDescent="0.3">
      <c r="A15" s="82">
        <v>13</v>
      </c>
      <c r="B15" s="82" t="s">
        <v>1171</v>
      </c>
      <c r="C15" s="82" t="s">
        <v>70</v>
      </c>
      <c r="D15" s="82" t="s">
        <v>104</v>
      </c>
      <c r="E15" s="82" t="s">
        <v>360</v>
      </c>
      <c r="F15" s="82" t="s">
        <v>1172</v>
      </c>
      <c r="G15" s="82" t="s">
        <v>1173</v>
      </c>
      <c r="H15" s="82" t="s">
        <v>74</v>
      </c>
      <c r="I15" s="57" t="s">
        <v>75</v>
      </c>
      <c r="J15" s="110">
        <v>46146.601388888892</v>
      </c>
      <c r="K15" s="111"/>
      <c r="L15" s="111"/>
      <c r="M15" s="82" t="s">
        <v>566</v>
      </c>
      <c r="N15" s="59">
        <f>IF(ISBLANK(J15),"",IF(OR(M15="Completed",M15="Closed"),"",IF(H15="Issue",IF(I15="High",WORKDAY(J15,2,DATA!A14:A42),IF(I15="Medium",WORKDAY(J15,14,DATA!A14:A42),IF(OR(I15="Low"),WORKDAY(J15,30,DATA!A14:A42),""))),
"")
))</f>
        <v>46164</v>
      </c>
      <c r="O15" s="60">
        <f ca="1">IF(OR(ISBLANK(#REF!), M15="Completed", M15="Closed", H15&lt;&gt;"Issue"), "",
   (NETWORKDAYS.INTL(TODAY(), N15, 1, DATA!A14:A42) - 1))</f>
        <v>-45</v>
      </c>
      <c r="P15" s="88">
        <f t="shared" ca="1" si="1"/>
        <v>45</v>
      </c>
      <c r="Q15" s="64" t="str">
        <f t="shared" ca="1" si="0"/>
        <v>31-60 Days</v>
      </c>
    </row>
    <row r="16" spans="1:22" ht="69" x14ac:dyDescent="0.3">
      <c r="A16" s="82">
        <v>14</v>
      </c>
      <c r="B16" s="82" t="s">
        <v>1174</v>
      </c>
      <c r="C16" s="82" t="s">
        <v>70</v>
      </c>
      <c r="D16" s="82" t="s">
        <v>1010</v>
      </c>
      <c r="E16" s="82" t="s">
        <v>360</v>
      </c>
      <c r="F16" s="82" t="s">
        <v>1175</v>
      </c>
      <c r="G16" s="82" t="s">
        <v>1176</v>
      </c>
      <c r="H16" s="82" t="s">
        <v>74</v>
      </c>
      <c r="I16" s="57" t="s">
        <v>75</v>
      </c>
      <c r="J16" s="110">
        <v>46156.413194444445</v>
      </c>
      <c r="K16" s="110">
        <v>46156.506249999999</v>
      </c>
      <c r="L16" s="111"/>
      <c r="M16" s="82" t="s">
        <v>85</v>
      </c>
      <c r="N16" s="59" t="str">
        <f>IF(ISBLANK(J16),"",IF(OR(M16="Completed",M16="Closed"),"",IF(H16="Issue",IF(I16="High",WORKDAY(J16,2,DATA!A15:A43),IF(I16="Medium",WORKDAY(J16,14,DATA!A15:A43),IF(OR(I16="Low"),WORKDAY(J16,30,DATA!A15:A43),""))),
"")
))</f>
        <v/>
      </c>
      <c r="O16" s="60" t="str">
        <f ca="1">IF(OR(ISBLANK(#REF!), M16="Completed", M16="Closed", H16&lt;&gt;"Issue"), "",
   (NETWORKDAYS.INTL(TODAY(), N16, 1, DATA!A15:A43) - 1))</f>
        <v/>
      </c>
      <c r="P16" s="88" t="str">
        <f t="shared" ca="1" si="1"/>
        <v/>
      </c>
      <c r="Q16" s="64" t="str">
        <f t="shared" ca="1" si="0"/>
        <v/>
      </c>
    </row>
    <row r="17" spans="1:17" ht="55.2" x14ac:dyDescent="0.3">
      <c r="A17" s="82">
        <v>15</v>
      </c>
      <c r="B17" s="82" t="s">
        <v>1177</v>
      </c>
      <c r="C17" s="82" t="s">
        <v>70</v>
      </c>
      <c r="D17" s="82" t="s">
        <v>1010</v>
      </c>
      <c r="E17" s="82" t="s">
        <v>360</v>
      </c>
      <c r="F17" s="82" t="s">
        <v>1178</v>
      </c>
      <c r="G17" s="82" t="s">
        <v>1179</v>
      </c>
      <c r="H17" s="82" t="s">
        <v>74</v>
      </c>
      <c r="I17" s="57" t="s">
        <v>75</v>
      </c>
      <c r="J17" s="110">
        <v>46157.510416666664</v>
      </c>
      <c r="K17" s="110">
        <v>46184.537499999999</v>
      </c>
      <c r="L17" s="111"/>
      <c r="M17" s="82" t="s">
        <v>85</v>
      </c>
      <c r="N17" s="59" t="str">
        <f>IF(ISBLANK(J17),"",IF(OR(M17="Completed",M17="Closed"),"",IF(H17="Issue",IF(I17="High",WORKDAY(J17,2,DATA!A16:A44),IF(I17="Medium",WORKDAY(J17,14,DATA!A16:A44),IF(OR(I17="Low"),WORKDAY(J17,30,DATA!A16:A44),""))),
"")
))</f>
        <v/>
      </c>
      <c r="O17" s="60" t="str">
        <f ca="1">IF(OR(ISBLANK(#REF!), M17="Completed", M17="Closed", H17&lt;&gt;"Issue"), "",
   (NETWORKDAYS.INTL(TODAY(), N17, 1, DATA!A16:A44) - 1))</f>
        <v/>
      </c>
      <c r="P17" s="88" t="str">
        <f t="shared" ca="1" si="1"/>
        <v/>
      </c>
      <c r="Q17" s="64" t="str">
        <f t="shared" ca="1" si="0"/>
        <v/>
      </c>
    </row>
    <row r="18" spans="1:17" ht="69" x14ac:dyDescent="0.3">
      <c r="A18" s="82">
        <v>16</v>
      </c>
      <c r="B18" s="82" t="s">
        <v>1180</v>
      </c>
      <c r="C18" s="84"/>
      <c r="D18" s="82" t="s">
        <v>1010</v>
      </c>
      <c r="E18" s="82" t="s">
        <v>360</v>
      </c>
      <c r="F18" s="82" t="s">
        <v>1181</v>
      </c>
      <c r="G18" s="82" t="s">
        <v>1182</v>
      </c>
      <c r="H18" s="82" t="s">
        <v>74</v>
      </c>
      <c r="I18" s="57" t="s">
        <v>75</v>
      </c>
      <c r="J18" s="110">
        <v>46167.382638888892</v>
      </c>
      <c r="K18" s="111"/>
      <c r="L18" s="111"/>
      <c r="M18" s="82" t="s">
        <v>77</v>
      </c>
      <c r="N18" s="59">
        <f>IF(ISBLANK(J18),"",IF(OR(M18="Completed",M18="Closed"),"",IF(H18="Issue",IF(I18="High",WORKDAY(J18,2,DATA!A17:A45),IF(I18="Medium",WORKDAY(J18,14,DATA!A17:A45),IF(OR(I18="Low"),WORKDAY(J18,30,DATA!A17:A45),""))),
"")
))</f>
        <v>46185</v>
      </c>
      <c r="O18" s="60">
        <f ca="1">IF(OR(ISBLANK(#REF!), M18="Completed", M18="Closed", H18&lt;&gt;"Issue"), "",
   (NETWORKDAYS.INTL(TODAY(), N18, 1, DATA!A17:A45) - 1))</f>
        <v>-30</v>
      </c>
      <c r="P18" s="88">
        <f t="shared" ca="1" si="1"/>
        <v>30</v>
      </c>
      <c r="Q18" s="64" t="str">
        <f t="shared" ca="1" si="0"/>
        <v>1-30 Days</v>
      </c>
    </row>
    <row r="19" spans="1:17" ht="41.4" x14ac:dyDescent="0.3">
      <c r="A19" s="82">
        <v>17</v>
      </c>
      <c r="B19" s="82" t="s">
        <v>1183</v>
      </c>
      <c r="C19" s="82" t="s">
        <v>70</v>
      </c>
      <c r="D19" s="82" t="s">
        <v>1010</v>
      </c>
      <c r="E19" s="82" t="s">
        <v>360</v>
      </c>
      <c r="F19" s="82" t="s">
        <v>1184</v>
      </c>
      <c r="G19" s="82" t="s">
        <v>1185</v>
      </c>
      <c r="H19" s="82" t="s">
        <v>74</v>
      </c>
      <c r="I19" s="57" t="s">
        <v>75</v>
      </c>
      <c r="J19" s="110">
        <v>46168.426388888889</v>
      </c>
      <c r="K19" s="110">
        <v>46177.44027777778</v>
      </c>
      <c r="L19" s="111"/>
      <c r="M19" s="82" t="s">
        <v>85</v>
      </c>
      <c r="N19" s="59" t="str">
        <f>IF(ISBLANK(J19),"",IF(OR(M19="Completed",M19="Closed"),"",IF(H19="Issue",IF(I19="High",WORKDAY(J19,2,DATA!A18:A46),IF(I19="Medium",WORKDAY(J19,14,DATA!A18:A46),IF(OR(I19="Low"),WORKDAY(J19,30,DATA!A18:A46),""))),
"")
))</f>
        <v/>
      </c>
      <c r="O19" s="60" t="str">
        <f ca="1">IF(OR(ISBLANK(#REF!), M19="Completed", M19="Closed", H19&lt;&gt;"Issue"), "",
   (NETWORKDAYS.INTL(TODAY(), N19, 1, DATA!A18:A46) - 1))</f>
        <v/>
      </c>
      <c r="P19" s="88" t="str">
        <f t="shared" ca="1" si="1"/>
        <v/>
      </c>
      <c r="Q19" s="64" t="str">
        <f t="shared" ca="1" si="0"/>
        <v/>
      </c>
    </row>
    <row r="20" spans="1:17" ht="207" x14ac:dyDescent="0.3">
      <c r="A20" s="82">
        <v>18</v>
      </c>
      <c r="B20" s="82" t="s">
        <v>1186</v>
      </c>
      <c r="C20" s="82" t="s">
        <v>70</v>
      </c>
      <c r="D20" s="82" t="s">
        <v>1010</v>
      </c>
      <c r="E20" s="82" t="s">
        <v>360</v>
      </c>
      <c r="F20" s="82" t="s">
        <v>1187</v>
      </c>
      <c r="G20" s="82" t="s">
        <v>1188</v>
      </c>
      <c r="H20" s="82" t="s">
        <v>74</v>
      </c>
      <c r="I20" s="57" t="s">
        <v>75</v>
      </c>
      <c r="J20" s="110">
        <v>46178.544444444444</v>
      </c>
      <c r="K20" s="110">
        <v>46178.635416666664</v>
      </c>
      <c r="L20" s="111"/>
      <c r="M20" s="82" t="s">
        <v>85</v>
      </c>
      <c r="N20" s="59" t="str">
        <f>IF(ISBLANK(J20),"",IF(OR(M20="Completed",M20="Closed"),"",IF(H20="Issue",IF(I20="High",WORKDAY(J20,2,DATA!A19:A47),IF(I20="Medium",WORKDAY(J20,14,DATA!A19:A47),IF(OR(I20="Low"),WORKDAY(J20,30,DATA!A19:A47),""))),
"")
))</f>
        <v/>
      </c>
      <c r="O20" s="60" t="str">
        <f ca="1">IF(OR(ISBLANK(#REF!), M20="Completed", M20="Closed", H20&lt;&gt;"Issue"), "",
   (NETWORKDAYS.INTL(TODAY(), N20, 1, DATA!A19:A47) - 1))</f>
        <v/>
      </c>
      <c r="P20" s="88" t="str">
        <f t="shared" ca="1" si="1"/>
        <v/>
      </c>
      <c r="Q20" s="64" t="str">
        <f t="shared" ca="1" si="0"/>
        <v/>
      </c>
    </row>
    <row r="21" spans="1:17" ht="193.2" x14ac:dyDescent="0.3">
      <c r="A21" s="82">
        <v>19</v>
      </c>
      <c r="B21" s="82" t="s">
        <v>1189</v>
      </c>
      <c r="C21" s="82" t="s">
        <v>70</v>
      </c>
      <c r="D21" s="82" t="s">
        <v>1010</v>
      </c>
      <c r="E21" s="82" t="s">
        <v>360</v>
      </c>
      <c r="F21" s="82" t="s">
        <v>1190</v>
      </c>
      <c r="G21" s="82" t="s">
        <v>1191</v>
      </c>
      <c r="H21" s="82" t="s">
        <v>74</v>
      </c>
      <c r="I21" s="57" t="s">
        <v>75</v>
      </c>
      <c r="J21" s="110">
        <v>46183.645138888889</v>
      </c>
      <c r="K21" s="110">
        <v>46197.755555555559</v>
      </c>
      <c r="L21" s="111"/>
      <c r="M21" s="82" t="s">
        <v>85</v>
      </c>
      <c r="N21" s="59" t="str">
        <f>IF(ISBLANK(J21),"",IF(OR(M21="Completed",M21="Closed"),"",IF(H21="Issue",IF(I21="High",WORKDAY(J21,2,DATA!A20:A48),IF(I21="Medium",WORKDAY(J21,14,DATA!A20:A48),IF(OR(I21="Low"),WORKDAY(J21,30,DATA!A20:A48),""))),
"")
))</f>
        <v/>
      </c>
      <c r="O21" s="60" t="str">
        <f ca="1">IF(OR(ISBLANK(#REF!), M21="Completed", M21="Closed", H21&lt;&gt;"Issue"), "",
   (NETWORKDAYS.INTL(TODAY(), N21, 1, DATA!A20:A48) - 1))</f>
        <v/>
      </c>
      <c r="P21" s="88" t="str">
        <f t="shared" ca="1" si="1"/>
        <v/>
      </c>
      <c r="Q21" s="64" t="str">
        <f ca="1">IF(P21="","",
IF(P21&lt;=0,"Not Due",
IF(P21&lt;=30,"1-30 Days",
IF(P21&lt;=60,"31-60 Days",
"&gt;60 Days"))))</f>
        <v/>
      </c>
    </row>
    <row r="22" spans="1:17" ht="82.8" x14ac:dyDescent="0.3">
      <c r="A22" s="82">
        <v>20</v>
      </c>
      <c r="B22" s="82" t="s">
        <v>1192</v>
      </c>
      <c r="C22" s="84"/>
      <c r="D22" s="82" t="s">
        <v>199</v>
      </c>
      <c r="E22" s="82" t="s">
        <v>360</v>
      </c>
      <c r="F22" s="82" t="s">
        <v>1193</v>
      </c>
      <c r="G22" s="82" t="s">
        <v>1194</v>
      </c>
      <c r="H22" s="82" t="s">
        <v>74</v>
      </c>
      <c r="I22" s="57" t="s">
        <v>75</v>
      </c>
      <c r="J22" s="110">
        <v>46184.410416666666</v>
      </c>
      <c r="K22" s="111"/>
      <c r="L22" s="111"/>
      <c r="M22" s="82" t="s">
        <v>77</v>
      </c>
      <c r="N22" s="59">
        <f>IF(ISBLANK(J22),"",IF(OR(M22="Completed",M22="Closed"),"",IF(H22="Issue",IF(I22="High",WORKDAY(J22,2,DATA!A21:A49),IF(I22="Medium",WORKDAY(J22,14,DATA!A21:A49),IF(OR(I22="Low"),WORKDAY(J22,30,DATA!A21:A49),""))),
"")
))</f>
        <v>46204</v>
      </c>
      <c r="O22" s="60">
        <f ca="1">IF(OR(ISBLANK(#REF!), M22="Completed", M22="Closed", H22&lt;&gt;"Issue"), "",
   (NETWORKDAYS.INTL(TODAY(), N22, 1, DATA!A21:A49) - 1))</f>
        <v>-17</v>
      </c>
      <c r="P22" s="88">
        <f t="shared" ca="1" si="1"/>
        <v>17</v>
      </c>
      <c r="Q22" s="64" t="str">
        <f t="shared" ref="Q22:Q85" ca="1" si="2">IF(P22="","",
IF(P22&lt;=0,"Not Due",
IF(P22&lt;=30,"1-30 Days",
IF(P22&lt;=60,"31-60 Days",
"&gt;60 Days"))))</f>
        <v>1-30 Days</v>
      </c>
    </row>
    <row r="23" spans="1:17" ht="69" x14ac:dyDescent="0.3">
      <c r="A23" s="82">
        <v>21</v>
      </c>
      <c r="B23" s="82" t="s">
        <v>1195</v>
      </c>
      <c r="C23" s="84"/>
      <c r="D23" s="82" t="s">
        <v>1010</v>
      </c>
      <c r="E23" s="82" t="s">
        <v>360</v>
      </c>
      <c r="F23" s="82" t="s">
        <v>1196</v>
      </c>
      <c r="G23" s="82" t="s">
        <v>1197</v>
      </c>
      <c r="H23" s="82" t="s">
        <v>74</v>
      </c>
      <c r="I23" s="57" t="s">
        <v>75</v>
      </c>
      <c r="J23" s="110">
        <v>46184.625694444447</v>
      </c>
      <c r="K23" s="111"/>
      <c r="L23" s="111"/>
      <c r="M23" s="82" t="s">
        <v>77</v>
      </c>
      <c r="N23" s="59">
        <f>IF(ISBLANK(J23),"",IF(OR(M23="Completed",M23="Closed"),"",IF(H23="Issue",IF(I23="High",WORKDAY(J23,2,DATA!A22:A50),IF(I23="Medium",WORKDAY(J23,14,DATA!A22:A50),IF(OR(I23="Low"),WORKDAY(J23,30,DATA!A22:A50),""))),
"")
))</f>
        <v>46204</v>
      </c>
      <c r="O23" s="60">
        <f ca="1">IF(OR(ISBLANK(#REF!), M23="Completed", M23="Closed", H23&lt;&gt;"Issue"), "",
   (NETWORKDAYS.INTL(TODAY(), N23, 1, DATA!A22:A50) - 1))</f>
        <v>-17</v>
      </c>
      <c r="P23" s="88">
        <f t="shared" ca="1" si="1"/>
        <v>17</v>
      </c>
      <c r="Q23" s="64" t="str">
        <f t="shared" ca="1" si="2"/>
        <v>1-30 Days</v>
      </c>
    </row>
    <row r="24" spans="1:17" ht="69" x14ac:dyDescent="0.3">
      <c r="A24" s="82">
        <v>22</v>
      </c>
      <c r="B24" s="82" t="s">
        <v>1447</v>
      </c>
      <c r="C24" s="82" t="s">
        <v>70</v>
      </c>
      <c r="D24" s="82" t="s">
        <v>1010</v>
      </c>
      <c r="E24" s="82" t="s">
        <v>360</v>
      </c>
      <c r="F24" s="82" t="s">
        <v>1448</v>
      </c>
      <c r="G24" s="82" t="s">
        <v>1449</v>
      </c>
      <c r="H24" s="82" t="s">
        <v>74</v>
      </c>
      <c r="I24" s="57" t="s">
        <v>75</v>
      </c>
      <c r="J24" s="110">
        <v>46197.402777777781</v>
      </c>
      <c r="K24" s="110">
        <v>46197.497916666667</v>
      </c>
      <c r="L24" s="111"/>
      <c r="M24" s="82" t="s">
        <v>85</v>
      </c>
      <c r="N24" s="59" t="str">
        <f>IF(ISBLANK(J24),"",IF(OR(M24="Completed",M24="Closed"),"",IF(H24="Issue",IF(I24="High",WORKDAY(J24,2,DATA!A23:A51),IF(I24="Medium",WORKDAY(J24,14,DATA!A23:A51),IF(OR(I24="Low"),WORKDAY(J24,30,DATA!A23:A51),""))),
"")
))</f>
        <v/>
      </c>
      <c r="O24" s="60" t="str">
        <f ca="1">IF(OR(ISBLANK(#REF!), M24="Completed", M24="Closed", H24&lt;&gt;"Issue"), "",
   (NETWORKDAYS.INTL(TODAY(), N24, 1, DATA!A23:A51) - 1))</f>
        <v/>
      </c>
      <c r="P24" s="88" t="str">
        <f t="shared" ca="1" si="1"/>
        <v/>
      </c>
      <c r="Q24" s="64" t="str">
        <f t="shared" ca="1" si="2"/>
        <v/>
      </c>
    </row>
    <row r="25" spans="1:17" ht="124.2" x14ac:dyDescent="0.3">
      <c r="A25" s="82">
        <v>23</v>
      </c>
      <c r="B25" s="82" t="s">
        <v>1450</v>
      </c>
      <c r="C25" s="84"/>
      <c r="D25" s="82" t="s">
        <v>199</v>
      </c>
      <c r="E25" s="82" t="s">
        <v>360</v>
      </c>
      <c r="F25" s="82" t="s">
        <v>1451</v>
      </c>
      <c r="G25" s="82" t="s">
        <v>1452</v>
      </c>
      <c r="H25" s="82" t="s">
        <v>74</v>
      </c>
      <c r="I25" s="57" t="s">
        <v>75</v>
      </c>
      <c r="J25" s="110">
        <v>46198.486805555556</v>
      </c>
      <c r="K25" s="111"/>
      <c r="L25" s="111"/>
      <c r="M25" s="82" t="s">
        <v>77</v>
      </c>
      <c r="N25" s="59">
        <f>IF(ISBLANK(J25),"",IF(OR(M25="Completed",M25="Closed"),"",IF(H25="Issue",IF(I25="High",WORKDAY(J25,2,DATA!A24:A52),IF(I25="Medium",WORKDAY(J25,14,DATA!A24:A52),IF(OR(I25="Low"),WORKDAY(J25,30,DATA!A24:A52),""))),
"")
))</f>
        <v>46218</v>
      </c>
      <c r="O25" s="60">
        <f ca="1">IF(OR(ISBLANK(#REF!), M25="Completed", M25="Closed", H25&lt;&gt;"Issue"), "",
   (NETWORKDAYS.INTL(TODAY(), N25, 1, DATA!A24:A52) - 1))</f>
        <v>-7</v>
      </c>
      <c r="P25" s="88">
        <f t="shared" ca="1" si="1"/>
        <v>7</v>
      </c>
      <c r="Q25" s="64" t="str">
        <f t="shared" ca="1" si="2"/>
        <v>1-30 Days</v>
      </c>
    </row>
    <row r="26" spans="1:17" ht="82.8" x14ac:dyDescent="0.3">
      <c r="A26" s="82">
        <v>24</v>
      </c>
      <c r="B26" s="82" t="s">
        <v>1453</v>
      </c>
      <c r="C26" s="84"/>
      <c r="D26" s="82" t="s">
        <v>199</v>
      </c>
      <c r="E26" s="82" t="s">
        <v>360</v>
      </c>
      <c r="F26" s="82" t="s">
        <v>1454</v>
      </c>
      <c r="G26" s="82" t="s">
        <v>1455</v>
      </c>
      <c r="H26" s="82" t="s">
        <v>74</v>
      </c>
      <c r="I26" s="57" t="s">
        <v>75</v>
      </c>
      <c r="J26" s="110">
        <v>46198.49722222222</v>
      </c>
      <c r="K26" s="111"/>
      <c r="L26" s="111"/>
      <c r="M26" s="82" t="s">
        <v>77</v>
      </c>
      <c r="N26" s="59">
        <f>IF(ISBLANK(J26),"",IF(OR(M26="Completed",M26="Closed"),"",IF(H26="Issue",IF(I26="High",WORKDAY(J26,2,DATA!A25:A53),IF(I26="Medium",WORKDAY(J26,14,DATA!A25:A53),IF(OR(I26="Low"),WORKDAY(J26,30,DATA!A25:A53),""))),
"")
))</f>
        <v>46218</v>
      </c>
      <c r="O26" s="60">
        <f ca="1">IF(OR(ISBLANK(#REF!), M26="Completed", M26="Closed", H26&lt;&gt;"Issue"), "",
   (NETWORKDAYS.INTL(TODAY(), N26, 1, DATA!A25:A53) - 1))</f>
        <v>-7</v>
      </c>
      <c r="P26" s="88">
        <f t="shared" ca="1" si="1"/>
        <v>7</v>
      </c>
      <c r="Q26" s="64" t="str">
        <f t="shared" ca="1" si="2"/>
        <v>1-30 Days</v>
      </c>
    </row>
    <row r="27" spans="1:17" ht="110.4" x14ac:dyDescent="0.3">
      <c r="A27" s="82">
        <v>25</v>
      </c>
      <c r="B27" s="82" t="s">
        <v>1456</v>
      </c>
      <c r="C27" s="84"/>
      <c r="D27" s="82" t="s">
        <v>1010</v>
      </c>
      <c r="E27" s="82" t="s">
        <v>360</v>
      </c>
      <c r="F27" s="82" t="s">
        <v>1457</v>
      </c>
      <c r="G27" s="82" t="s">
        <v>1458</v>
      </c>
      <c r="H27" s="82" t="s">
        <v>74</v>
      </c>
      <c r="I27" s="57" t="s">
        <v>75</v>
      </c>
      <c r="J27" s="110">
        <v>46203.382638888892</v>
      </c>
      <c r="K27" s="111"/>
      <c r="L27" s="111"/>
      <c r="M27" s="82" t="s">
        <v>77</v>
      </c>
      <c r="N27" s="59">
        <f>IF(ISBLANK(J27),"",IF(OR(M27="Completed",M27="Closed"),"",IF(H27="Issue",IF(I27="High",WORKDAY(J27,2,DATA!A26:A54),IF(I27="Medium",WORKDAY(J27,14,DATA!A26:A54),IF(OR(I27="Low"),WORKDAY(J27,30,DATA!A26:A54),""))),
"")
))</f>
        <v>46223</v>
      </c>
      <c r="O27" s="60">
        <f ca="1">IF(OR(ISBLANK(#REF!), M27="Completed", M27="Closed", H27&lt;&gt;"Issue"), "",
   (NETWORKDAYS.INTL(TODAY(), N27, 1, DATA!A26:A54) - 1))</f>
        <v>-4</v>
      </c>
      <c r="P27" s="88">
        <f t="shared" ca="1" si="1"/>
        <v>4</v>
      </c>
      <c r="Q27" s="64" t="str">
        <f t="shared" ca="1" si="2"/>
        <v>1-30 Days</v>
      </c>
    </row>
    <row r="28" spans="1:17" x14ac:dyDescent="0.3">
      <c r="A28" s="82">
        <v>26</v>
      </c>
      <c r="B28" s="57"/>
      <c r="C28" s="57"/>
      <c r="D28" s="57"/>
      <c r="E28" s="57"/>
      <c r="F28" s="57"/>
      <c r="G28" s="57"/>
      <c r="H28" s="57"/>
      <c r="I28" s="57" t="s">
        <v>75</v>
      </c>
      <c r="J28" s="100"/>
      <c r="K28" s="100"/>
      <c r="L28" s="100"/>
      <c r="M28" s="57"/>
      <c r="N28" s="59" t="str">
        <f>IF(ISBLANK(J28),"",IF(OR(M28="Completed",M28="Closed"),"",IF(H28="Issue",IF(I28="High",WORKDAY(J28,2,DATA!A27:A55),IF(I28="Medium",WORKDAY(J28,14,DATA!A27:A55),IF(OR(I28="Low"),WORKDAY(J28,30,DATA!A27:A55),""))),
"")
))</f>
        <v/>
      </c>
      <c r="O28" s="60" t="str">
        <f ca="1">IF(OR(ISBLANK(#REF!), M28="Completed", M28="Closed", H28&lt;&gt;"Issue"), "",
   (NETWORKDAYS.INTL(TODAY(), N28, 1, DATA!A27:A55) - 1))</f>
        <v/>
      </c>
      <c r="P28" s="88" t="str">
        <f t="shared" ca="1" si="1"/>
        <v/>
      </c>
      <c r="Q28" s="64" t="str">
        <f t="shared" ca="1" si="2"/>
        <v/>
      </c>
    </row>
    <row r="29" spans="1:17" x14ac:dyDescent="0.3">
      <c r="A29" s="82">
        <v>27</v>
      </c>
      <c r="B29" s="57"/>
      <c r="C29" s="57"/>
      <c r="D29" s="57"/>
      <c r="E29" s="57"/>
      <c r="F29" s="57"/>
      <c r="G29" s="57"/>
      <c r="H29" s="57"/>
      <c r="I29" s="57" t="s">
        <v>75</v>
      </c>
      <c r="J29" s="100"/>
      <c r="K29" s="100"/>
      <c r="L29" s="100"/>
      <c r="M29" s="57"/>
      <c r="N29" s="59" t="str">
        <f>IF(ISBLANK(J29),"",IF(OR(M29="Completed",M29="Closed"),"",IF(H29="Issue",IF(I29="High",WORKDAY(J29,2,DATA!A28:A56),IF(I29="Medium",WORKDAY(J29,14,DATA!A28:A56),IF(OR(I29="Low"),WORKDAY(J29,30,DATA!A28:A56),""))),
"")
))</f>
        <v/>
      </c>
      <c r="O29" s="60" t="str">
        <f ca="1">IF(OR(ISBLANK(#REF!), M29="Completed", M29="Closed", H29&lt;&gt;"Issue"), "",
   (NETWORKDAYS.INTL(TODAY(), N29, 1, DATA!A28:A56) - 1))</f>
        <v/>
      </c>
      <c r="P29" s="88" t="str">
        <f t="shared" ca="1" si="1"/>
        <v/>
      </c>
      <c r="Q29" s="64" t="str">
        <f t="shared" ca="1" si="2"/>
        <v/>
      </c>
    </row>
    <row r="30" spans="1:17" x14ac:dyDescent="0.3">
      <c r="A30" s="82">
        <v>28</v>
      </c>
      <c r="B30" s="57"/>
      <c r="C30" s="57"/>
      <c r="D30" s="57"/>
      <c r="E30" s="57"/>
      <c r="F30" s="57"/>
      <c r="G30" s="57"/>
      <c r="H30" s="57"/>
      <c r="I30" s="57" t="s">
        <v>75</v>
      </c>
      <c r="J30" s="100"/>
      <c r="K30" s="100"/>
      <c r="L30" s="100"/>
      <c r="M30" s="57"/>
      <c r="N30" s="59" t="str">
        <f>IF(ISBLANK(J30),"",IF(OR(M30="Completed",M30="Closed"),"",IF(H30="Issue",IF(I30="High",WORKDAY(J30,2,DATA!A29:A57),IF(I30="Medium",WORKDAY(J30,14,DATA!A29:A57),IF(OR(I30="Low"),WORKDAY(J30,30,DATA!A29:A57),""))),
"")
))</f>
        <v/>
      </c>
      <c r="O30" s="60" t="str">
        <f ca="1">IF(OR(ISBLANK(#REF!), M30="Completed", M30="Closed", H30&lt;&gt;"Issue"), "",
   (NETWORKDAYS.INTL(TODAY(), N30, 1, DATA!A29:A57) - 1))</f>
        <v/>
      </c>
      <c r="P30" s="88" t="str">
        <f t="shared" ca="1" si="1"/>
        <v/>
      </c>
      <c r="Q30" s="64" t="str">
        <f t="shared" ca="1" si="2"/>
        <v/>
      </c>
    </row>
    <row r="31" spans="1:17" x14ac:dyDescent="0.3">
      <c r="A31" s="82">
        <v>29</v>
      </c>
      <c r="B31" s="57"/>
      <c r="C31" s="57"/>
      <c r="D31" s="57"/>
      <c r="E31" s="57"/>
      <c r="F31" s="57"/>
      <c r="G31" s="57"/>
      <c r="H31" s="57"/>
      <c r="I31" s="57" t="s">
        <v>75</v>
      </c>
      <c r="J31" s="100"/>
      <c r="K31" s="101"/>
      <c r="L31" s="101"/>
      <c r="M31" s="57"/>
      <c r="N31" s="59" t="str">
        <f>IF(ISBLANK(J31),"",IF(OR(M31="Completed",M31="Closed"),"",IF(H31="Issue",IF(I31="High",WORKDAY(J31,2,DATA!A30:A58),IF(I31="Medium",WORKDAY(J31,14,DATA!A30:A58),IF(OR(I31="Low"),WORKDAY(J31,30,DATA!A30:A58),""))),
"")
))</f>
        <v/>
      </c>
      <c r="O31" s="60" t="str">
        <f ca="1">IF(OR(ISBLANK(#REF!), M31="Completed", M31="Closed", H31&lt;&gt;"Issue"), "",
   (NETWORKDAYS.INTL(TODAY(), N31, 1, DATA!A30:A58) - 1))</f>
        <v/>
      </c>
      <c r="P31" s="88" t="str">
        <f t="shared" ca="1" si="1"/>
        <v/>
      </c>
      <c r="Q31" s="64" t="str">
        <f t="shared" ca="1" si="2"/>
        <v/>
      </c>
    </row>
    <row r="32" spans="1:17" x14ac:dyDescent="0.3">
      <c r="A32" s="82">
        <v>30</v>
      </c>
      <c r="B32" s="57"/>
      <c r="C32" s="57"/>
      <c r="D32" s="57"/>
      <c r="E32" s="57"/>
      <c r="F32" s="57"/>
      <c r="G32" s="57"/>
      <c r="H32" s="57"/>
      <c r="I32" s="57" t="s">
        <v>75</v>
      </c>
      <c r="J32" s="100"/>
      <c r="K32" s="100"/>
      <c r="L32" s="100"/>
      <c r="M32" s="57"/>
      <c r="N32" s="59" t="str">
        <f>IF(ISBLANK(J32),"",IF(OR(M32="Completed",M32="Closed"),"",IF(H32="Issue",IF(I32="High",WORKDAY(J32,2,DATA!A31:A59),IF(I32="Medium",WORKDAY(J32,14,DATA!A31:A59),IF(OR(I32="Low"),WORKDAY(J32,30,DATA!A31:A59),""))),
"")
))</f>
        <v/>
      </c>
      <c r="O32" s="60" t="str">
        <f ca="1">IF(OR(ISBLANK(#REF!), M32="Completed", M32="Closed", H32&lt;&gt;"Issue"), "",
   (NETWORKDAYS.INTL(TODAY(), N32, 1, DATA!A31:A59) - 1))</f>
        <v/>
      </c>
      <c r="P32" s="88" t="str">
        <f t="shared" ca="1" si="1"/>
        <v/>
      </c>
      <c r="Q32" s="64" t="str">
        <f t="shared" ca="1" si="2"/>
        <v/>
      </c>
    </row>
    <row r="33" spans="1:17" x14ac:dyDescent="0.3">
      <c r="A33" s="82">
        <v>31</v>
      </c>
      <c r="B33" s="57"/>
      <c r="C33" s="57"/>
      <c r="D33" s="57"/>
      <c r="E33" s="57"/>
      <c r="F33" s="57"/>
      <c r="G33" s="57"/>
      <c r="H33" s="57"/>
      <c r="I33" s="57" t="s">
        <v>75</v>
      </c>
      <c r="J33" s="100"/>
      <c r="K33" s="101"/>
      <c r="L33" s="101"/>
      <c r="M33" s="57"/>
      <c r="N33" s="59" t="str">
        <f>IF(ISBLANK(J33),"",IF(OR(M33="Completed",M33="Closed"),"",IF(H33="Issue",IF(I33="High",WORKDAY(J33,2,DATA!A32:A60),IF(I33="Medium",WORKDAY(J33,14,DATA!A32:A60),IF(OR(I33="Low"),WORKDAY(J33,30,DATA!A32:A60),""))),
"")
))</f>
        <v/>
      </c>
      <c r="O33" s="60" t="str">
        <f ca="1">IF(OR(ISBLANK(#REF!), M33="Completed", M33="Closed", H33&lt;&gt;"Issue"), "",
   (NETWORKDAYS.INTL(TODAY(), N33, 1, DATA!A32:A60) - 1))</f>
        <v/>
      </c>
      <c r="P33" s="88" t="str">
        <f t="shared" ca="1" si="1"/>
        <v/>
      </c>
      <c r="Q33" s="64" t="str">
        <f t="shared" ca="1" si="2"/>
        <v/>
      </c>
    </row>
    <row r="34" spans="1:17" x14ac:dyDescent="0.3">
      <c r="A34" s="82">
        <v>32</v>
      </c>
      <c r="B34" s="57"/>
      <c r="C34" s="57"/>
      <c r="D34" s="57"/>
      <c r="E34" s="57"/>
      <c r="F34" s="57"/>
      <c r="G34" s="57"/>
      <c r="H34" s="57"/>
      <c r="I34" s="57" t="s">
        <v>75</v>
      </c>
      <c r="J34" s="100"/>
      <c r="K34" s="100"/>
      <c r="L34" s="100"/>
      <c r="M34" s="57"/>
      <c r="N34" s="59" t="str">
        <f>IF(ISBLANK(J34),"",IF(OR(M34="Completed",M34="Closed"),"",IF(H34="Issue",IF(I34="High",WORKDAY(J34,2,DATA!A33:A61),IF(I34="Medium",WORKDAY(J34,14,DATA!A33:A61),IF(OR(I34="Low"),WORKDAY(J34,30,DATA!A33:A61),""))),
"")
))</f>
        <v/>
      </c>
      <c r="O34" s="60" t="str">
        <f ca="1">IF(OR(ISBLANK(#REF!), M34="Completed", M34="Closed", H34&lt;&gt;"Issue"), "",
   (NETWORKDAYS.INTL(TODAY(), N34, 1, DATA!A33:A61) - 1))</f>
        <v/>
      </c>
      <c r="P34" s="88" t="str">
        <f t="shared" ca="1" si="1"/>
        <v/>
      </c>
      <c r="Q34" s="64" t="str">
        <f t="shared" ca="1" si="2"/>
        <v/>
      </c>
    </row>
    <row r="35" spans="1:17" x14ac:dyDescent="0.3">
      <c r="A35" s="82">
        <v>33</v>
      </c>
      <c r="B35" s="57"/>
      <c r="C35" s="57"/>
      <c r="D35" s="57"/>
      <c r="E35" s="57"/>
      <c r="F35" s="57"/>
      <c r="G35" s="57"/>
      <c r="H35" s="57"/>
      <c r="I35" s="57" t="s">
        <v>75</v>
      </c>
      <c r="J35" s="100"/>
      <c r="K35" s="101"/>
      <c r="L35" s="101"/>
      <c r="M35" s="57"/>
      <c r="N35" s="59" t="str">
        <f>IF(ISBLANK(J35),"",IF(OR(M35="Completed",M35="Closed"),"",IF(H35="Issue",IF(I35="High",WORKDAY(J35,2,DATA!A34:A62),IF(I35="Medium",WORKDAY(J35,14,DATA!A34:A62),IF(OR(I35="Low"),WORKDAY(J35,30,DATA!A34:A62),""))),
"")
))</f>
        <v/>
      </c>
      <c r="O35" s="60" t="str">
        <f ca="1">IF(OR(ISBLANK(#REF!), M35="Completed", M35="Closed", H35&lt;&gt;"Issue"), "",
   (NETWORKDAYS.INTL(TODAY(), N35, 1, DATA!A34:A62) - 1))</f>
        <v/>
      </c>
      <c r="P35" s="88" t="str">
        <f t="shared" ca="1" si="1"/>
        <v/>
      </c>
      <c r="Q35" s="64" t="str">
        <f t="shared" ca="1" si="2"/>
        <v/>
      </c>
    </row>
    <row r="36" spans="1:17" x14ac:dyDescent="0.3">
      <c r="A36" s="82">
        <v>34</v>
      </c>
      <c r="B36" s="57"/>
      <c r="C36" s="57"/>
      <c r="D36" s="57"/>
      <c r="E36" s="57"/>
      <c r="F36" s="57"/>
      <c r="G36" s="57"/>
      <c r="H36" s="57"/>
      <c r="I36" s="57" t="s">
        <v>75</v>
      </c>
      <c r="J36" s="100"/>
      <c r="K36" s="101"/>
      <c r="L36" s="101"/>
      <c r="M36" s="57"/>
      <c r="N36" s="59" t="str">
        <f>IF(ISBLANK(J36),"",IF(OR(M36="Completed",M36="Closed"),"",IF(H36="Issue",IF(I36="High",WORKDAY(J36,2,DATA!A35:A63),IF(I36="Medium",WORKDAY(J36,14,DATA!A35:A63),IF(OR(I36="Low"),WORKDAY(J36,30,DATA!A35:A63),""))),
"")
))</f>
        <v/>
      </c>
      <c r="O36" s="60" t="str">
        <f ca="1">IF(OR(ISBLANK(#REF!), M36="Completed", M36="Closed", H36&lt;&gt;"Issue"), "",
   (NETWORKDAYS.INTL(TODAY(), N36, 1, DATA!A35:A63) - 1))</f>
        <v/>
      </c>
      <c r="P36" s="88" t="str">
        <f t="shared" ca="1" si="1"/>
        <v/>
      </c>
      <c r="Q36" s="64" t="str">
        <f t="shared" ca="1" si="2"/>
        <v/>
      </c>
    </row>
    <row r="37" spans="1:17" x14ac:dyDescent="0.3">
      <c r="A37" s="82">
        <v>35</v>
      </c>
      <c r="B37" s="57"/>
      <c r="C37" s="57"/>
      <c r="D37" s="57"/>
      <c r="E37" s="57"/>
      <c r="F37" s="57"/>
      <c r="G37" s="57"/>
      <c r="H37" s="57"/>
      <c r="I37" s="57" t="s">
        <v>75</v>
      </c>
      <c r="J37" s="100"/>
      <c r="K37" s="100"/>
      <c r="L37" s="100"/>
      <c r="M37" s="57"/>
      <c r="N37" s="59" t="str">
        <f>IF(ISBLANK(J37),"",IF(OR(M37="Completed",M37="Closed"),"",IF(H37="Issue",IF(I37="High",WORKDAY(J37,2,DATA!A36:A64),IF(I37="Medium",WORKDAY(J37,14,DATA!A36:A64),IF(OR(I37="Low"),WORKDAY(J37,30,DATA!A36:A64),""))),
"")
))</f>
        <v/>
      </c>
      <c r="O37" s="60" t="str">
        <f ca="1">IF(OR(ISBLANK(#REF!), M37="Completed", M37="Closed", H37&lt;&gt;"Issue"), "",
   (NETWORKDAYS.INTL(TODAY(), N37, 1, DATA!A36:A64) - 1))</f>
        <v/>
      </c>
      <c r="P37" s="88" t="str">
        <f t="shared" ca="1" si="1"/>
        <v/>
      </c>
      <c r="Q37" s="64" t="str">
        <f t="shared" ca="1" si="2"/>
        <v/>
      </c>
    </row>
    <row r="38" spans="1:17" x14ac:dyDescent="0.3">
      <c r="A38" s="82">
        <v>36</v>
      </c>
      <c r="B38" s="57"/>
      <c r="C38" s="57"/>
      <c r="D38" s="57"/>
      <c r="E38" s="57"/>
      <c r="F38" s="57"/>
      <c r="G38" s="57"/>
      <c r="H38" s="57"/>
      <c r="I38" s="57" t="s">
        <v>75</v>
      </c>
      <c r="J38" s="100"/>
      <c r="K38" s="100"/>
      <c r="L38" s="101"/>
      <c r="M38" s="57"/>
      <c r="N38" s="59" t="str">
        <f>IF(ISBLANK(J38),"",IF(OR(M38="Completed",M38="Closed"),"",IF(H38="Issue",IF(I38="High",WORKDAY(J38,2,DATA!A37:A65),IF(I38="Medium",WORKDAY(J38,14,DATA!A37:A65),IF(OR(I38="Low"),WORKDAY(J38,30,DATA!A37:A65),""))),
"")
))</f>
        <v/>
      </c>
      <c r="O38" s="60" t="str">
        <f ca="1">IF(OR(ISBLANK(#REF!), M38="Completed", M38="Closed", H38&lt;&gt;"Issue"), "",
   (NETWORKDAYS.INTL(TODAY(), N38, 1, DATA!A37:A65) - 1))</f>
        <v/>
      </c>
      <c r="P38" s="88" t="str">
        <f t="shared" ca="1" si="1"/>
        <v/>
      </c>
      <c r="Q38" s="64" t="str">
        <f t="shared" ca="1" si="2"/>
        <v/>
      </c>
    </row>
    <row r="39" spans="1:17" x14ac:dyDescent="0.3">
      <c r="A39" s="82">
        <v>37</v>
      </c>
      <c r="B39" s="57"/>
      <c r="C39" s="57"/>
      <c r="D39" s="57"/>
      <c r="E39" s="57"/>
      <c r="F39" s="57"/>
      <c r="G39" s="57"/>
      <c r="H39" s="57"/>
      <c r="I39" s="57" t="s">
        <v>75</v>
      </c>
      <c r="J39" s="100"/>
      <c r="K39" s="101"/>
      <c r="L39" s="101"/>
      <c r="M39" s="57"/>
      <c r="N39" s="59" t="str">
        <f>IF(ISBLANK(J39),"",IF(OR(M39="Completed",M39="Closed"),"",IF(H39="Issue",IF(I39="High",WORKDAY(J39,2,DATA!A38:A66),IF(I39="Medium",WORKDAY(J39,14,DATA!A38:A66),IF(OR(I39="Low"),WORKDAY(J39,30,DATA!A38:A66),""))),
"")
))</f>
        <v/>
      </c>
      <c r="O39" s="60" t="str">
        <f ca="1">IF(OR(ISBLANK(#REF!), M39="Completed", M39="Closed", H39&lt;&gt;"Issue"), "",
   (NETWORKDAYS.INTL(TODAY(), N39, 1, DATA!A38:A66) - 1))</f>
        <v/>
      </c>
      <c r="P39" s="88" t="str">
        <f t="shared" ca="1" si="1"/>
        <v/>
      </c>
      <c r="Q39" s="64" t="str">
        <f t="shared" ca="1" si="2"/>
        <v/>
      </c>
    </row>
    <row r="40" spans="1:17" x14ac:dyDescent="0.3">
      <c r="A40" s="82">
        <v>38</v>
      </c>
      <c r="B40" s="57"/>
      <c r="C40" s="57"/>
      <c r="D40" s="57"/>
      <c r="E40" s="57"/>
      <c r="F40" s="57"/>
      <c r="G40" s="57"/>
      <c r="H40" s="57"/>
      <c r="I40" s="57" t="s">
        <v>75</v>
      </c>
      <c r="J40" s="100"/>
      <c r="K40" s="101"/>
      <c r="L40" s="101"/>
      <c r="M40" s="57"/>
      <c r="N40" s="59" t="str">
        <f>IF(ISBLANK(J40),"",IF(OR(M40="Completed",M40="Closed"),"",IF(H40="Issue",IF(I40="High",WORKDAY(J40,2,DATA!A39:A67),IF(I40="Medium",WORKDAY(J40,14,DATA!A39:A67),IF(OR(I40="Low"),WORKDAY(J40,30,DATA!A39:A67),""))),
"")
))</f>
        <v/>
      </c>
      <c r="O40" s="60" t="str">
        <f ca="1">IF(OR(ISBLANK(#REF!), M40="Completed", M40="Closed", H40&lt;&gt;"Issue"), "",
   (NETWORKDAYS.INTL(TODAY(), N40, 1, DATA!A39:A67) - 1))</f>
        <v/>
      </c>
      <c r="P40" s="88" t="str">
        <f t="shared" ca="1" si="1"/>
        <v/>
      </c>
      <c r="Q40" s="64" t="str">
        <f t="shared" ca="1" si="2"/>
        <v/>
      </c>
    </row>
    <row r="41" spans="1:17" x14ac:dyDescent="0.3">
      <c r="A41" s="82">
        <v>39</v>
      </c>
      <c r="B41" s="57"/>
      <c r="C41" s="57"/>
      <c r="D41" s="57"/>
      <c r="E41" s="57"/>
      <c r="F41" s="57"/>
      <c r="G41" s="57"/>
      <c r="H41" s="57"/>
      <c r="I41" s="57" t="s">
        <v>75</v>
      </c>
      <c r="J41" s="100"/>
      <c r="K41" s="101"/>
      <c r="L41" s="101"/>
      <c r="M41" s="57"/>
      <c r="N41" s="59" t="str">
        <f>IF(ISBLANK(J41),"",IF(OR(M41="Completed",M41="Closed"),"",IF(H41="Issue",IF(I41="High",WORKDAY(J41,2,DATA!A40:A68),IF(I41="Medium",WORKDAY(J41,14,DATA!A40:A68),IF(OR(I41="Low"),WORKDAY(J41,30,DATA!A40:A68),""))),
"")
))</f>
        <v/>
      </c>
      <c r="O41" s="60" t="str">
        <f ca="1">IF(OR(ISBLANK(#REF!), M41="Completed", M41="Closed", H41&lt;&gt;"Issue"), "",
   (NETWORKDAYS.INTL(TODAY(), N41, 1, DATA!A40:A68) - 1))</f>
        <v/>
      </c>
      <c r="P41" s="88" t="str">
        <f t="shared" ca="1" si="1"/>
        <v/>
      </c>
      <c r="Q41" s="64" t="str">
        <f t="shared" ca="1" si="2"/>
        <v/>
      </c>
    </row>
    <row r="42" spans="1:17" x14ac:dyDescent="0.3">
      <c r="A42" s="82">
        <v>40</v>
      </c>
      <c r="B42" s="57"/>
      <c r="C42" s="57"/>
      <c r="D42" s="57"/>
      <c r="E42" s="57"/>
      <c r="F42" s="57"/>
      <c r="G42" s="57"/>
      <c r="H42" s="57"/>
      <c r="I42" s="57" t="s">
        <v>75</v>
      </c>
      <c r="J42" s="100"/>
      <c r="K42" s="101"/>
      <c r="L42" s="101"/>
      <c r="M42" s="57"/>
      <c r="N42" s="59" t="str">
        <f>IF(ISBLANK(J42),"",IF(OR(M42="Completed",M42="Closed"),"",IF(H42="Issue",IF(I42="High",WORKDAY(J42,2,DATA!A41:A69),IF(I42="Medium",WORKDAY(J42,14,DATA!A41:A69),IF(OR(I42="Low"),WORKDAY(J42,30,DATA!A41:A69),""))),
"")
))</f>
        <v/>
      </c>
      <c r="O42" s="60" t="str">
        <f ca="1">IF(OR(ISBLANK(#REF!), M42="Completed", M42="Closed", H42&lt;&gt;"Issue"), "",
   (NETWORKDAYS.INTL(TODAY(), N42, 1, DATA!A41:A69) - 1))</f>
        <v/>
      </c>
      <c r="P42" s="88" t="str">
        <f t="shared" ca="1" si="1"/>
        <v/>
      </c>
      <c r="Q42" s="64" t="str">
        <f t="shared" ca="1" si="2"/>
        <v/>
      </c>
    </row>
    <row r="43" spans="1:17" x14ac:dyDescent="0.3">
      <c r="A43" s="82">
        <v>41</v>
      </c>
      <c r="B43" s="57"/>
      <c r="C43" s="57"/>
      <c r="D43" s="57"/>
      <c r="E43" s="57"/>
      <c r="F43" s="57"/>
      <c r="G43" s="57"/>
      <c r="H43" s="57"/>
      <c r="I43" s="57" t="s">
        <v>75</v>
      </c>
      <c r="J43" s="100"/>
      <c r="K43" s="100"/>
      <c r="L43" s="100"/>
      <c r="M43" s="57"/>
      <c r="N43" s="59" t="str">
        <f>IF(ISBLANK(J43),"",IF(OR(M43="Completed",M43="Closed"),"",IF(H43="Issue",IF(I43="High",WORKDAY(J43,2,DATA!A42:A70),IF(I43="Medium",WORKDAY(J43,14,DATA!A42:A70),IF(OR(I43="Low"),WORKDAY(J43,30,DATA!A42:A70),""))),
"")
))</f>
        <v/>
      </c>
      <c r="O43" s="60" t="str">
        <f ca="1">IF(OR(ISBLANK(#REF!), M43="Completed", M43="Closed", H43&lt;&gt;"Issue"), "",
   (NETWORKDAYS.INTL(TODAY(), N43, 1, DATA!A42:A70) - 1))</f>
        <v/>
      </c>
      <c r="P43" s="88" t="str">
        <f t="shared" ca="1" si="1"/>
        <v/>
      </c>
      <c r="Q43" s="64" t="str">
        <f t="shared" ca="1" si="2"/>
        <v/>
      </c>
    </row>
    <row r="44" spans="1:17" x14ac:dyDescent="0.3">
      <c r="A44" s="82">
        <v>42</v>
      </c>
      <c r="B44" s="57"/>
      <c r="C44" s="57"/>
      <c r="D44" s="57"/>
      <c r="E44" s="57"/>
      <c r="F44" s="57"/>
      <c r="G44" s="57"/>
      <c r="H44" s="57"/>
      <c r="I44" s="57" t="s">
        <v>75</v>
      </c>
      <c r="J44" s="100"/>
      <c r="K44" s="101"/>
      <c r="L44" s="101"/>
      <c r="M44" s="57"/>
      <c r="N44" s="59" t="str">
        <f>IF(ISBLANK(J44),"",IF(OR(M44="Completed",M44="Closed"),"",IF(H44="Issue",IF(I44="High",WORKDAY(J44,2,DATA!A43:A71),IF(I44="Medium",WORKDAY(J44,14,DATA!A43:A71),IF(OR(I44="Low"),WORKDAY(J44,30,DATA!A43:A71),""))),
"")
))</f>
        <v/>
      </c>
      <c r="O44" s="60" t="str">
        <f ca="1">IF(OR(ISBLANK(#REF!), M44="Completed", M44="Closed", H44&lt;&gt;"Issue"), "",
   (NETWORKDAYS.INTL(TODAY(), N44, 1, DATA!A43:A71) - 1))</f>
        <v/>
      </c>
      <c r="P44" s="88" t="str">
        <f t="shared" ca="1" si="1"/>
        <v/>
      </c>
      <c r="Q44" s="64" t="str">
        <f t="shared" ca="1" si="2"/>
        <v/>
      </c>
    </row>
    <row r="45" spans="1:17" x14ac:dyDescent="0.3">
      <c r="A45" s="82">
        <v>43</v>
      </c>
      <c r="B45" s="57"/>
      <c r="C45" s="57"/>
      <c r="D45" s="57"/>
      <c r="E45" s="57"/>
      <c r="F45" s="57"/>
      <c r="G45" s="57"/>
      <c r="H45" s="57"/>
      <c r="I45" s="57" t="s">
        <v>75</v>
      </c>
      <c r="J45" s="100"/>
      <c r="K45" s="100"/>
      <c r="L45" s="100"/>
      <c r="M45" s="57"/>
      <c r="N45" s="59" t="str">
        <f>IF(ISBLANK(J45),"",IF(OR(M45="Completed",M45="Closed"),"",IF(H45="Issue",IF(I45="High",WORKDAY(J45,2,DATA!A44:A72),IF(I45="Medium",WORKDAY(J45,14,DATA!A44:A72),IF(OR(I45="Low"),WORKDAY(J45,30,DATA!A44:A72),""))),
"")
))</f>
        <v/>
      </c>
      <c r="O45" s="60" t="str">
        <f ca="1">IF(OR(ISBLANK(#REF!), M45="Completed", M45="Closed", H45&lt;&gt;"Issue"), "",
   (NETWORKDAYS.INTL(TODAY(), N45, 1, DATA!A44:A72) - 1))</f>
        <v/>
      </c>
      <c r="P45" s="88" t="str">
        <f t="shared" ca="1" si="1"/>
        <v/>
      </c>
      <c r="Q45" s="64" t="str">
        <f t="shared" ca="1" si="2"/>
        <v/>
      </c>
    </row>
    <row r="46" spans="1:17" x14ac:dyDescent="0.3">
      <c r="A46" s="82">
        <v>44</v>
      </c>
      <c r="B46" s="57"/>
      <c r="C46" s="57"/>
      <c r="D46" s="57"/>
      <c r="E46" s="57"/>
      <c r="F46" s="57"/>
      <c r="G46" s="57"/>
      <c r="H46" s="57"/>
      <c r="I46" s="57" t="s">
        <v>75</v>
      </c>
      <c r="J46" s="100"/>
      <c r="K46" s="100"/>
      <c r="L46" s="100"/>
      <c r="M46" s="57"/>
      <c r="N46" s="59" t="str">
        <f>IF(ISBLANK(J46),"",IF(OR(M46="Completed",M46="Closed"),"",IF(H46="Issue",IF(I46="High",WORKDAY(J46,2,DATA!A45:A73),IF(I46="Medium",WORKDAY(J46,14,DATA!A45:A73),IF(OR(I46="Low"),WORKDAY(J46,30,DATA!A45:A73),""))),
"")
))</f>
        <v/>
      </c>
      <c r="O46" s="60" t="str">
        <f ca="1">IF(OR(ISBLANK(#REF!), M46="Completed", M46="Closed", H46&lt;&gt;"Issue"), "",
   (NETWORKDAYS.INTL(TODAY(), N46, 1, DATA!A45:A73) - 1))</f>
        <v/>
      </c>
      <c r="P46" s="88" t="str">
        <f t="shared" ca="1" si="1"/>
        <v/>
      </c>
      <c r="Q46" s="64" t="str">
        <f t="shared" ca="1" si="2"/>
        <v/>
      </c>
    </row>
    <row r="47" spans="1:17" x14ac:dyDescent="0.3">
      <c r="A47" s="82">
        <v>45</v>
      </c>
      <c r="B47" s="57"/>
      <c r="C47" s="57"/>
      <c r="D47" s="57"/>
      <c r="E47" s="57"/>
      <c r="F47" s="57"/>
      <c r="G47" s="57"/>
      <c r="H47" s="57"/>
      <c r="I47" s="57" t="s">
        <v>75</v>
      </c>
      <c r="J47" s="100"/>
      <c r="K47" s="101"/>
      <c r="L47" s="101"/>
      <c r="M47" s="57"/>
      <c r="N47" s="59" t="str">
        <f>IF(ISBLANK(J47),"",IF(OR(M47="Completed",M47="Closed"),"",IF(H47="Issue",IF(I47="High",WORKDAY(J47,2,DATA!A46:A74),IF(I47="Medium",WORKDAY(J47,14,DATA!A46:A74),IF(OR(I47="Low"),WORKDAY(J47,30,DATA!A46:A74),""))),
"")
))</f>
        <v/>
      </c>
      <c r="O47" s="60" t="str">
        <f ca="1">IF(OR(ISBLANK(#REF!), M47="Completed", M47="Closed", H47&lt;&gt;"Issue"), "",
   (NETWORKDAYS.INTL(TODAY(), N47, 1, DATA!A46:A74) - 1))</f>
        <v/>
      </c>
      <c r="P47" s="88" t="str">
        <f t="shared" ca="1" si="1"/>
        <v/>
      </c>
      <c r="Q47" s="64" t="str">
        <f t="shared" ca="1" si="2"/>
        <v/>
      </c>
    </row>
    <row r="48" spans="1:17" x14ac:dyDescent="0.3">
      <c r="A48" s="82">
        <v>46</v>
      </c>
      <c r="B48" s="57"/>
      <c r="C48" s="57"/>
      <c r="D48" s="57"/>
      <c r="E48" s="57"/>
      <c r="F48" s="57"/>
      <c r="G48" s="57"/>
      <c r="H48" s="57"/>
      <c r="I48" s="57" t="s">
        <v>75</v>
      </c>
      <c r="J48" s="100"/>
      <c r="K48" s="101"/>
      <c r="L48" s="101"/>
      <c r="M48" s="57"/>
      <c r="N48" s="59" t="str">
        <f>IF(ISBLANK(J48),"",IF(OR(M48="Completed",M48="Closed"),"",IF(H48="Issue",IF(I48="High",WORKDAY(J48,2,DATA!A47:A75),IF(I48="Medium",WORKDAY(J48,14,DATA!A47:A75),IF(OR(I48="Low"),WORKDAY(J48,30,DATA!A47:A75),""))),
"")
))</f>
        <v/>
      </c>
      <c r="O48" s="60" t="str">
        <f ca="1">IF(OR(ISBLANK(#REF!), M48="Completed", M48="Closed", H48&lt;&gt;"Issue"), "",
   (NETWORKDAYS.INTL(TODAY(), N48, 1, DATA!A47:A75) - 1))</f>
        <v/>
      </c>
      <c r="P48" s="88" t="str">
        <f t="shared" ca="1" si="1"/>
        <v/>
      </c>
      <c r="Q48" s="64" t="str">
        <f t="shared" ca="1" si="2"/>
        <v/>
      </c>
    </row>
    <row r="49" spans="1:17" x14ac:dyDescent="0.3">
      <c r="A49" s="82">
        <v>47</v>
      </c>
      <c r="B49" s="57"/>
      <c r="C49" s="57"/>
      <c r="D49" s="57"/>
      <c r="E49" s="57"/>
      <c r="F49" s="57"/>
      <c r="G49" s="57"/>
      <c r="H49" s="57"/>
      <c r="I49" s="57" t="s">
        <v>75</v>
      </c>
      <c r="J49" s="100"/>
      <c r="K49" s="100"/>
      <c r="L49" s="100"/>
      <c r="M49" s="57"/>
      <c r="N49" s="59" t="str">
        <f>IF(ISBLANK(J49),"",IF(OR(M49="Completed",M49="Closed"),"",IF(H49="Issue",IF(I49="High",WORKDAY(J49,2,DATA!A48:A76),IF(I49="Medium",WORKDAY(J49,14,DATA!A48:A76),IF(OR(I49="Low"),WORKDAY(J49,30,DATA!A48:A76),""))),
"")
))</f>
        <v/>
      </c>
      <c r="O49" s="60" t="str">
        <f ca="1">IF(OR(ISBLANK(#REF!), M49="Completed", M49="Closed", H49&lt;&gt;"Issue"), "",
   (NETWORKDAYS.INTL(TODAY(), N49, 1, DATA!A48:A76) - 1))</f>
        <v/>
      </c>
      <c r="P49" s="88" t="str">
        <f t="shared" ca="1" si="1"/>
        <v/>
      </c>
      <c r="Q49" s="64" t="str">
        <f t="shared" ca="1" si="2"/>
        <v/>
      </c>
    </row>
    <row r="50" spans="1:17" x14ac:dyDescent="0.3">
      <c r="A50" s="82">
        <v>48</v>
      </c>
      <c r="B50" s="57"/>
      <c r="C50" s="57"/>
      <c r="D50" s="57"/>
      <c r="E50" s="57"/>
      <c r="F50" s="57"/>
      <c r="G50" s="57"/>
      <c r="H50" s="57"/>
      <c r="I50" s="57" t="s">
        <v>75</v>
      </c>
      <c r="J50" s="100"/>
      <c r="K50" s="100"/>
      <c r="L50" s="100"/>
      <c r="M50" s="57"/>
      <c r="N50" s="59" t="str">
        <f>IF(ISBLANK(J50),"",IF(OR(M50="Completed",M50="Closed"),"",IF(H50="Issue",IF(I50="High",WORKDAY(J50,2,DATA!A49:A77),IF(I50="Medium",WORKDAY(J50,14,DATA!A49:A77),IF(OR(I50="Low"),WORKDAY(J50,30,DATA!A49:A77),""))),
"")
))</f>
        <v/>
      </c>
      <c r="O50" s="60" t="str">
        <f ca="1">IF(OR(ISBLANK(#REF!), M50="Completed", M50="Closed", H50&lt;&gt;"Issue"), "",
   (NETWORKDAYS.INTL(TODAY(), N50, 1, DATA!A49:A77) - 1))</f>
        <v/>
      </c>
      <c r="P50" s="88" t="str">
        <f t="shared" ca="1" si="1"/>
        <v/>
      </c>
      <c r="Q50" s="64" t="str">
        <f t="shared" ca="1" si="2"/>
        <v/>
      </c>
    </row>
    <row r="51" spans="1:17" x14ac:dyDescent="0.3">
      <c r="A51" s="82">
        <v>49</v>
      </c>
      <c r="B51" s="57"/>
      <c r="C51" s="57"/>
      <c r="D51" s="57"/>
      <c r="E51" s="57"/>
      <c r="F51" s="57"/>
      <c r="G51" s="57"/>
      <c r="H51" s="57"/>
      <c r="I51" s="57" t="s">
        <v>75</v>
      </c>
      <c r="J51" s="100"/>
      <c r="K51" s="100"/>
      <c r="L51" s="100"/>
      <c r="M51" s="57"/>
      <c r="N51" s="59" t="str">
        <f>IF(ISBLANK(J51),"",IF(OR(M51="Completed",M51="Closed"),"",IF(H51="Issue",IF(I51="High",WORKDAY(J51,2,DATA!A50:A78),IF(I51="Medium",WORKDAY(J51,14,DATA!A50:A78),IF(OR(I51="Low"),WORKDAY(J51,30,DATA!A50:A78),""))),
"")
))</f>
        <v/>
      </c>
      <c r="O51" s="60" t="str">
        <f ca="1">IF(OR(ISBLANK(#REF!), M51="Completed", M51="Closed", H51&lt;&gt;"Issue"), "",
   (NETWORKDAYS.INTL(TODAY(), N51, 1, DATA!A50:A78) - 1))</f>
        <v/>
      </c>
      <c r="P51" s="88" t="str">
        <f t="shared" ca="1" si="1"/>
        <v/>
      </c>
      <c r="Q51" s="64" t="str">
        <f t="shared" ca="1" si="2"/>
        <v/>
      </c>
    </row>
    <row r="52" spans="1:17" x14ac:dyDescent="0.3">
      <c r="A52" s="82">
        <v>50</v>
      </c>
      <c r="B52" s="57"/>
      <c r="C52" s="57"/>
      <c r="D52" s="57"/>
      <c r="E52" s="57"/>
      <c r="F52" s="57"/>
      <c r="G52" s="57"/>
      <c r="H52" s="57"/>
      <c r="I52" s="57" t="s">
        <v>75</v>
      </c>
      <c r="J52" s="100"/>
      <c r="K52" s="100"/>
      <c r="L52" s="100"/>
      <c r="M52" s="57"/>
      <c r="N52" s="59" t="str">
        <f>IF(ISBLANK(J52),"",IF(OR(M52="Completed",M52="Closed"),"",IF(H52="Issue",IF(I52="High",WORKDAY(J52,2,DATA!A51:A79),IF(I52="Medium",WORKDAY(J52,14,DATA!A51:A79),IF(OR(I52="Low"),WORKDAY(J52,30,DATA!A51:A79),""))),
"")
))</f>
        <v/>
      </c>
      <c r="O52" s="60" t="str">
        <f ca="1">IF(OR(ISBLANK(#REF!), M52="Completed", M52="Closed", H52&lt;&gt;"Issue"), "",
   (NETWORKDAYS.INTL(TODAY(), N52, 1, DATA!A51:A79) - 1))</f>
        <v/>
      </c>
      <c r="P52" s="88" t="str">
        <f t="shared" ca="1" si="1"/>
        <v/>
      </c>
      <c r="Q52" s="64" t="str">
        <f t="shared" ca="1" si="2"/>
        <v/>
      </c>
    </row>
    <row r="53" spans="1:17" x14ac:dyDescent="0.3">
      <c r="A53" s="82">
        <v>51</v>
      </c>
      <c r="B53" s="57"/>
      <c r="C53" s="57"/>
      <c r="D53" s="57"/>
      <c r="E53" s="57"/>
      <c r="F53" s="57"/>
      <c r="G53" s="57"/>
      <c r="H53" s="57"/>
      <c r="I53" s="57" t="s">
        <v>75</v>
      </c>
      <c r="J53" s="100"/>
      <c r="K53" s="101"/>
      <c r="L53" s="101"/>
      <c r="M53" s="57"/>
      <c r="N53" s="59" t="str">
        <f>IF(ISBLANK(J53),"",IF(OR(M53="Completed",M53="Closed"),"",IF(H53="Issue",IF(I53="High",WORKDAY(J53,2,DATA!A52:A80),IF(I53="Medium",WORKDAY(J53,14,DATA!A52:A80),IF(OR(I53="Low"),WORKDAY(J53,30,DATA!A52:A80),""))),
"")
))</f>
        <v/>
      </c>
      <c r="O53" s="60" t="str">
        <f ca="1">IF(OR(ISBLANK(#REF!), M53="Completed", M53="Closed", H53&lt;&gt;"Issue"), "",
   (NETWORKDAYS.INTL(TODAY(), N53, 1, DATA!A52:A80) - 1))</f>
        <v/>
      </c>
      <c r="P53" s="88" t="str">
        <f t="shared" ca="1" si="1"/>
        <v/>
      </c>
      <c r="Q53" s="64" t="str">
        <f t="shared" ca="1" si="2"/>
        <v/>
      </c>
    </row>
    <row r="54" spans="1:17" x14ac:dyDescent="0.3">
      <c r="A54" s="82">
        <v>52</v>
      </c>
      <c r="B54" s="57"/>
      <c r="C54" s="57"/>
      <c r="D54" s="57"/>
      <c r="E54" s="57"/>
      <c r="F54" s="57"/>
      <c r="G54" s="57"/>
      <c r="H54" s="57"/>
      <c r="I54" s="57" t="s">
        <v>75</v>
      </c>
      <c r="J54" s="100"/>
      <c r="K54" s="100"/>
      <c r="L54" s="100"/>
      <c r="M54" s="57"/>
      <c r="N54" s="59" t="str">
        <f>IF(ISBLANK(J54),"",IF(OR(M54="Completed",M54="Closed"),"",IF(H54="Issue",IF(I54="High",WORKDAY(J54,2,DATA!A53:A81),IF(I54="Medium",WORKDAY(J54,14,DATA!A53:A81),IF(OR(I54="Low"),WORKDAY(J54,30,DATA!A53:A81),""))),
"")
))</f>
        <v/>
      </c>
      <c r="O54" s="60" t="str">
        <f ca="1">IF(OR(ISBLANK(#REF!), M54="Completed", M54="Closed", H54&lt;&gt;"Issue"), "",
   (NETWORKDAYS.INTL(TODAY(), N54, 1, DATA!A53:A81) - 1))</f>
        <v/>
      </c>
      <c r="P54" s="88" t="str">
        <f t="shared" ca="1" si="1"/>
        <v/>
      </c>
      <c r="Q54" s="64" t="str">
        <f t="shared" ca="1" si="2"/>
        <v/>
      </c>
    </row>
    <row r="55" spans="1:17" x14ac:dyDescent="0.3">
      <c r="A55" s="82">
        <v>53</v>
      </c>
      <c r="B55" s="57"/>
      <c r="C55" s="57"/>
      <c r="D55" s="57"/>
      <c r="E55" s="57"/>
      <c r="F55" s="57"/>
      <c r="G55" s="57"/>
      <c r="H55" s="57"/>
      <c r="I55" s="57" t="s">
        <v>75</v>
      </c>
      <c r="J55" s="100"/>
      <c r="K55" s="101"/>
      <c r="L55" s="101"/>
      <c r="M55" s="57"/>
      <c r="N55" s="59" t="str">
        <f>IF(ISBLANK(J55),"",IF(OR(M55="Completed",M55="Closed"),"",IF(H55="Issue",IF(I55="High",WORKDAY(J55,2,DATA!A54:A82),IF(I55="Medium",WORKDAY(J55,14,DATA!A54:A82),IF(OR(I55="Low"),WORKDAY(J55,30,DATA!A54:A82),""))),
"")
))</f>
        <v/>
      </c>
      <c r="O55" s="60" t="str">
        <f ca="1">IF(OR(ISBLANK(#REF!), M55="Completed", M55="Closed", H55&lt;&gt;"Issue"), "",
   (NETWORKDAYS.INTL(TODAY(), N55, 1, DATA!A54:A82) - 1))</f>
        <v/>
      </c>
      <c r="P55" s="88" t="str">
        <f t="shared" ca="1" si="1"/>
        <v/>
      </c>
      <c r="Q55" s="64" t="str">
        <f t="shared" ca="1" si="2"/>
        <v/>
      </c>
    </row>
    <row r="56" spans="1:17" x14ac:dyDescent="0.3">
      <c r="A56" s="82">
        <v>54</v>
      </c>
      <c r="B56" s="57"/>
      <c r="C56" s="57"/>
      <c r="D56" s="57"/>
      <c r="E56" s="57"/>
      <c r="F56" s="57"/>
      <c r="G56" s="57"/>
      <c r="H56" s="57"/>
      <c r="I56" s="57" t="s">
        <v>75</v>
      </c>
      <c r="J56" s="100"/>
      <c r="K56" s="101"/>
      <c r="L56" s="101"/>
      <c r="M56" s="57"/>
      <c r="N56" s="59" t="str">
        <f>IF(ISBLANK(J56),"",IF(OR(M56="Completed",M56="Closed"),"",IF(H56="Issue",IF(I56="High",WORKDAY(J56,2,DATA!A55:A83),IF(I56="Medium",WORKDAY(J56,14,DATA!A55:A83),IF(OR(I56="Low"),WORKDAY(J56,30,DATA!A55:A83),""))),
"")
))</f>
        <v/>
      </c>
      <c r="O56" s="60" t="str">
        <f ca="1">IF(OR(ISBLANK(#REF!), M56="Completed", M56="Closed", H56&lt;&gt;"Issue"), "",
   (NETWORKDAYS.INTL(TODAY(), N56, 1, DATA!A55:A83) - 1))</f>
        <v/>
      </c>
      <c r="P56" s="88" t="str">
        <f t="shared" ca="1" si="1"/>
        <v/>
      </c>
      <c r="Q56" s="64" t="str">
        <f t="shared" ca="1" si="2"/>
        <v/>
      </c>
    </row>
    <row r="57" spans="1:17" x14ac:dyDescent="0.3">
      <c r="A57" s="82">
        <v>55</v>
      </c>
      <c r="B57" s="57"/>
      <c r="C57" s="57"/>
      <c r="D57" s="57"/>
      <c r="E57" s="57"/>
      <c r="F57" s="57"/>
      <c r="G57" s="57"/>
      <c r="H57" s="57"/>
      <c r="I57" s="57" t="s">
        <v>75</v>
      </c>
      <c r="J57" s="100"/>
      <c r="K57" s="101"/>
      <c r="L57" s="101"/>
      <c r="M57" s="57"/>
      <c r="N57" s="59" t="str">
        <f>IF(ISBLANK(J57),"",IF(OR(M57="Completed",M57="Closed"),"",IF(H57="Issue",IF(I57="High",WORKDAY(J57,2,DATA!A56:A84),IF(I57="Medium",WORKDAY(J57,14,DATA!A56:A84),IF(OR(I57="Low"),WORKDAY(J57,30,DATA!A56:A84),""))),
"")
))</f>
        <v/>
      </c>
      <c r="O57" s="60" t="str">
        <f ca="1">IF(OR(ISBLANK(#REF!), M57="Completed", M57="Closed", H57&lt;&gt;"Issue"), "",
   (NETWORKDAYS.INTL(TODAY(), N57, 1, DATA!A56:A84) - 1))</f>
        <v/>
      </c>
      <c r="P57" s="88" t="str">
        <f t="shared" ca="1" si="1"/>
        <v/>
      </c>
      <c r="Q57" s="64" t="str">
        <f t="shared" ca="1" si="2"/>
        <v/>
      </c>
    </row>
    <row r="58" spans="1:17" x14ac:dyDescent="0.3">
      <c r="A58" s="82">
        <v>56</v>
      </c>
      <c r="B58" s="57"/>
      <c r="C58" s="57"/>
      <c r="D58" s="57"/>
      <c r="E58" s="57"/>
      <c r="F58" s="57"/>
      <c r="G58" s="57"/>
      <c r="H58" s="57"/>
      <c r="I58" s="57" t="s">
        <v>75</v>
      </c>
      <c r="J58" s="100"/>
      <c r="K58" s="100"/>
      <c r="L58" s="100"/>
      <c r="M58" s="57"/>
      <c r="N58" s="59" t="str">
        <f>IF(ISBLANK(J58),"",IF(OR(M58="Completed",M58="Closed"),"",IF(H58="Issue",IF(I58="High",WORKDAY(J58,2,DATA!A57:A85),IF(I58="Medium",WORKDAY(J58,14,DATA!A57:A85),IF(OR(I58="Low"),WORKDAY(J58,30,DATA!A57:A85),""))),
"")
))</f>
        <v/>
      </c>
      <c r="O58" s="60" t="str">
        <f ca="1">IF(OR(ISBLANK(#REF!), M58="Completed", M58="Closed", H58&lt;&gt;"Issue"), "",
   (NETWORKDAYS.INTL(TODAY(), N58, 1, DATA!A57:A85) - 1))</f>
        <v/>
      </c>
      <c r="P58" s="88" t="str">
        <f t="shared" ca="1" si="1"/>
        <v/>
      </c>
      <c r="Q58" s="64" t="str">
        <f t="shared" ca="1" si="2"/>
        <v/>
      </c>
    </row>
    <row r="59" spans="1:17" x14ac:dyDescent="0.3">
      <c r="A59" s="82">
        <v>57</v>
      </c>
      <c r="B59" s="57"/>
      <c r="C59" s="57"/>
      <c r="D59" s="57"/>
      <c r="E59" s="57"/>
      <c r="F59" s="57"/>
      <c r="G59" s="57"/>
      <c r="H59" s="57"/>
      <c r="I59" s="57" t="s">
        <v>75</v>
      </c>
      <c r="J59" s="100"/>
      <c r="K59" s="100"/>
      <c r="L59" s="101"/>
      <c r="M59" s="57"/>
      <c r="N59" s="59" t="str">
        <f>IF(ISBLANK(J59),"",IF(OR(M59="Completed",M59="Closed"),"",IF(H59="Issue",IF(I59="High",WORKDAY(J59,2,DATA!A58:A86),IF(I59="Medium",WORKDAY(J59,14,DATA!A58:A86),IF(OR(I59="Low"),WORKDAY(J59,30,DATA!A58:A86),""))),
"")
))</f>
        <v/>
      </c>
      <c r="O59" s="60" t="str">
        <f ca="1">IF(OR(ISBLANK(#REF!), M59="Completed", M59="Closed", H59&lt;&gt;"Issue"), "",
   (NETWORKDAYS.INTL(TODAY(), N59, 1, DATA!A58:A86) - 1))</f>
        <v/>
      </c>
      <c r="P59" s="88" t="str">
        <f t="shared" ca="1" si="1"/>
        <v/>
      </c>
      <c r="Q59" s="64" t="str">
        <f t="shared" ca="1" si="2"/>
        <v/>
      </c>
    </row>
    <row r="60" spans="1:17" x14ac:dyDescent="0.3">
      <c r="A60" s="82">
        <v>58</v>
      </c>
      <c r="B60" s="57"/>
      <c r="C60" s="57"/>
      <c r="D60" s="57"/>
      <c r="E60" s="57"/>
      <c r="F60" s="57"/>
      <c r="G60" s="57"/>
      <c r="H60" s="57"/>
      <c r="I60" s="57" t="s">
        <v>75</v>
      </c>
      <c r="J60" s="100"/>
      <c r="K60" s="101"/>
      <c r="L60" s="101"/>
      <c r="M60" s="57"/>
      <c r="N60" s="59" t="str">
        <f>IF(ISBLANK(J60),"",IF(OR(M60="Completed",M60="Closed"),"",IF(H60="Issue",IF(I60="High",WORKDAY(J60,2,DATA!A59:A87),IF(I60="Medium",WORKDAY(J60,14,DATA!A59:A87),IF(OR(I60="Low"),WORKDAY(J60,30,DATA!A59:A87),""))),
"")
))</f>
        <v/>
      </c>
      <c r="O60" s="60" t="str">
        <f ca="1">IF(OR(ISBLANK(#REF!), M60="Completed", M60="Closed", H60&lt;&gt;"Issue"), "",
   (NETWORKDAYS.INTL(TODAY(), N60, 1, DATA!A59:A87) - 1))</f>
        <v/>
      </c>
      <c r="P60" s="88" t="str">
        <f t="shared" ca="1" si="1"/>
        <v/>
      </c>
      <c r="Q60" s="64" t="str">
        <f t="shared" ca="1" si="2"/>
        <v/>
      </c>
    </row>
    <row r="61" spans="1:17" x14ac:dyDescent="0.3">
      <c r="A61" s="82">
        <v>59</v>
      </c>
      <c r="B61" s="57"/>
      <c r="C61" s="57"/>
      <c r="D61" s="57"/>
      <c r="E61" s="57"/>
      <c r="F61" s="57"/>
      <c r="G61" s="57"/>
      <c r="H61" s="57"/>
      <c r="I61" s="57" t="s">
        <v>75</v>
      </c>
      <c r="J61" s="100"/>
      <c r="K61" s="101"/>
      <c r="L61" s="101"/>
      <c r="M61" s="57"/>
      <c r="N61" s="59" t="str">
        <f>IF(ISBLANK(J61),"",IF(OR(M61="Completed",M61="Closed"),"",IF(H61="Issue",IF(I61="High",WORKDAY(J61,2,DATA!A60:A88),IF(I61="Medium",WORKDAY(J61,14,DATA!A60:A88),IF(OR(I61="Low"),WORKDAY(J61,30,DATA!A60:A88),""))),
"")
))</f>
        <v/>
      </c>
      <c r="O61" s="60" t="str">
        <f ca="1">IF(OR(ISBLANK(#REF!), M61="Completed", M61="Closed", H61&lt;&gt;"Issue"), "",
   (NETWORKDAYS.INTL(TODAY(), N61, 1, DATA!A60:A88) - 1))</f>
        <v/>
      </c>
      <c r="P61" s="88" t="str">
        <f t="shared" ca="1" si="1"/>
        <v/>
      </c>
      <c r="Q61" s="64" t="str">
        <f t="shared" ca="1" si="2"/>
        <v/>
      </c>
    </row>
    <row r="62" spans="1:17" x14ac:dyDescent="0.3">
      <c r="A62" s="82">
        <v>60</v>
      </c>
      <c r="B62" s="57"/>
      <c r="C62" s="57"/>
      <c r="D62" s="57"/>
      <c r="E62" s="57"/>
      <c r="F62" s="57"/>
      <c r="G62" s="57"/>
      <c r="H62" s="57"/>
      <c r="I62" s="57" t="s">
        <v>75</v>
      </c>
      <c r="J62" s="100"/>
      <c r="K62" s="100"/>
      <c r="L62" s="100"/>
      <c r="M62" s="57"/>
      <c r="N62" s="59" t="str">
        <f>IF(ISBLANK(J62),"",IF(OR(M62="Completed",M62="Closed"),"",IF(H62="Issue",IF(I62="High",WORKDAY(J62,2,DATA!A61:A89),IF(I62="Medium",WORKDAY(J62,14,DATA!A61:A89),IF(OR(I62="Low"),WORKDAY(J62,30,DATA!A61:A89),""))),
"")
))</f>
        <v/>
      </c>
      <c r="O62" s="60" t="str">
        <f ca="1">IF(OR(ISBLANK(#REF!), M62="Completed", M62="Closed", H62&lt;&gt;"Issue"), "",
   (NETWORKDAYS.INTL(TODAY(), N62, 1, DATA!A61:A89) - 1))</f>
        <v/>
      </c>
      <c r="P62" s="88" t="str">
        <f t="shared" ca="1" si="1"/>
        <v/>
      </c>
      <c r="Q62" s="64" t="str">
        <f t="shared" ca="1" si="2"/>
        <v/>
      </c>
    </row>
    <row r="63" spans="1:17" x14ac:dyDescent="0.3">
      <c r="A63" s="82">
        <v>61</v>
      </c>
      <c r="B63" s="57"/>
      <c r="C63" s="57"/>
      <c r="D63" s="57"/>
      <c r="E63" s="57"/>
      <c r="F63" s="57"/>
      <c r="G63" s="57"/>
      <c r="H63" s="57"/>
      <c r="I63" s="57" t="s">
        <v>75</v>
      </c>
      <c r="J63" s="100"/>
      <c r="K63" s="101"/>
      <c r="L63" s="101"/>
      <c r="M63" s="57"/>
      <c r="N63" s="59" t="str">
        <f>IF(ISBLANK(J63),"",IF(OR(M63="Completed",M63="Closed"),"",IF(H63="Issue",IF(I63="High",WORKDAY(J63,2,DATA!A62:A90),IF(I63="Medium",WORKDAY(J63,14,DATA!A62:A90),IF(OR(I63="Low"),WORKDAY(J63,30,DATA!A62:A90),""))),
"")
))</f>
        <v/>
      </c>
      <c r="O63" s="60" t="str">
        <f ca="1">IF(OR(ISBLANK(#REF!), M63="Completed", M63="Closed", H63&lt;&gt;"Issue"), "",
   (NETWORKDAYS.INTL(TODAY(), N63, 1, DATA!A62:A90) - 1))</f>
        <v/>
      </c>
      <c r="P63" s="88" t="str">
        <f t="shared" ca="1" si="1"/>
        <v/>
      </c>
      <c r="Q63" s="64" t="str">
        <f t="shared" ca="1" si="2"/>
        <v/>
      </c>
    </row>
    <row r="64" spans="1:17" x14ac:dyDescent="0.3">
      <c r="A64" s="82">
        <v>62</v>
      </c>
      <c r="B64" s="57"/>
      <c r="C64" s="57"/>
      <c r="D64" s="57"/>
      <c r="E64" s="57"/>
      <c r="F64" s="57"/>
      <c r="G64" s="57"/>
      <c r="H64" s="57"/>
      <c r="I64" s="57" t="s">
        <v>75</v>
      </c>
      <c r="J64" s="100"/>
      <c r="K64" s="101"/>
      <c r="L64" s="101"/>
      <c r="M64" s="57"/>
      <c r="N64" s="59" t="str">
        <f>IF(ISBLANK(J64),"",IF(OR(M64="Completed",M64="Closed"),"",IF(H64="Issue",IF(I64="High",WORKDAY(J64,2,DATA!A63:A91),IF(I64="Medium",WORKDAY(J64,14,DATA!A63:A91),IF(OR(I64="Low"),WORKDAY(J64,30,DATA!A63:A91),""))),
"")
))</f>
        <v/>
      </c>
      <c r="O64" s="60" t="str">
        <f ca="1">IF(OR(ISBLANK(#REF!), M64="Completed", M64="Closed", H64&lt;&gt;"Issue"), "",
   (NETWORKDAYS.INTL(TODAY(), N64, 1, DATA!A63:A91) - 1))</f>
        <v/>
      </c>
      <c r="P64" s="88" t="str">
        <f t="shared" ca="1" si="1"/>
        <v/>
      </c>
      <c r="Q64" s="64" t="str">
        <f t="shared" ca="1" si="2"/>
        <v/>
      </c>
    </row>
    <row r="65" spans="1:17" x14ac:dyDescent="0.3">
      <c r="A65" s="82">
        <v>63</v>
      </c>
      <c r="B65" s="57"/>
      <c r="C65" s="57"/>
      <c r="D65" s="57"/>
      <c r="E65" s="57"/>
      <c r="F65" s="57"/>
      <c r="G65" s="57"/>
      <c r="H65" s="57"/>
      <c r="I65" s="57" t="s">
        <v>75</v>
      </c>
      <c r="J65" s="100"/>
      <c r="K65" s="100"/>
      <c r="L65" s="100"/>
      <c r="M65" s="57"/>
      <c r="N65" s="59" t="str">
        <f>IF(ISBLANK(J65),"",IF(OR(M65="Completed",M65="Closed"),"",IF(H65="Issue",IF(I65="High",WORKDAY(J65,2,DATA!A64:A92),IF(I65="Medium",WORKDAY(J65,14,DATA!A64:A92),IF(OR(I65="Low"),WORKDAY(J65,30,DATA!A64:A92),""))),
"")
))</f>
        <v/>
      </c>
      <c r="O65" s="60" t="str">
        <f ca="1">IF(OR(ISBLANK(#REF!), M65="Completed", M65="Closed", H65&lt;&gt;"Issue"), "",
   (NETWORKDAYS.INTL(TODAY(), N65, 1, DATA!A64:A92) - 1))</f>
        <v/>
      </c>
      <c r="P65" s="88" t="str">
        <f t="shared" ca="1" si="1"/>
        <v/>
      </c>
      <c r="Q65" s="64" t="str">
        <f t="shared" ca="1" si="2"/>
        <v/>
      </c>
    </row>
    <row r="66" spans="1:17" x14ac:dyDescent="0.3">
      <c r="A66" s="82">
        <v>64</v>
      </c>
      <c r="B66" s="57"/>
      <c r="C66" s="57"/>
      <c r="D66" s="57"/>
      <c r="E66" s="57"/>
      <c r="F66" s="57"/>
      <c r="G66" s="57"/>
      <c r="H66" s="57"/>
      <c r="I66" s="57" t="s">
        <v>75</v>
      </c>
      <c r="J66" s="100"/>
      <c r="K66" s="101"/>
      <c r="L66" s="101"/>
      <c r="M66" s="57"/>
      <c r="N66" s="59" t="str">
        <f>IF(ISBLANK(J66),"",IF(OR(M66="Completed",M66="Closed"),"",IF(H66="Issue",IF(I66="High",WORKDAY(J66,2,DATA!A65:A93),IF(I66="Medium",WORKDAY(J66,14,DATA!A65:A93),IF(OR(I66="Low"),WORKDAY(J66,30,DATA!A65:A93),""))),
"")
))</f>
        <v/>
      </c>
      <c r="O66" s="60" t="str">
        <f ca="1">IF(OR(ISBLANK(#REF!), M66="Completed", M66="Closed", H66&lt;&gt;"Issue"), "",
   (NETWORKDAYS.INTL(TODAY(), N66, 1, DATA!A65:A93) - 1))</f>
        <v/>
      </c>
      <c r="P66" s="88" t="str">
        <f t="shared" ca="1" si="1"/>
        <v/>
      </c>
      <c r="Q66" s="64" t="str">
        <f t="shared" ca="1" si="2"/>
        <v/>
      </c>
    </row>
    <row r="67" spans="1:17" x14ac:dyDescent="0.3">
      <c r="A67" s="82">
        <v>65</v>
      </c>
      <c r="B67" s="57"/>
      <c r="C67" s="57"/>
      <c r="D67" s="57"/>
      <c r="E67" s="57"/>
      <c r="F67" s="57"/>
      <c r="G67" s="57"/>
      <c r="H67" s="57"/>
      <c r="I67" s="57" t="s">
        <v>75</v>
      </c>
      <c r="J67" s="100"/>
      <c r="K67" s="100"/>
      <c r="L67" s="100"/>
      <c r="M67" s="57"/>
      <c r="N67" s="59" t="str">
        <f>IF(ISBLANK(J67),"",IF(OR(M67="Completed",M67="Closed"),"",IF(H67="Issue",IF(I67="High",WORKDAY(J67,2,DATA!A66:A94),IF(I67="Medium",WORKDAY(J67,14,DATA!A66:A94),IF(OR(I67="Low"),WORKDAY(J67,30,DATA!A66:A94),""))),
"")
))</f>
        <v/>
      </c>
      <c r="O67" s="60" t="str">
        <f ca="1">IF(OR(ISBLANK(#REF!), M67="Completed", M67="Closed", H67&lt;&gt;"Issue"), "",
   (NETWORKDAYS.INTL(TODAY(), N67, 1, DATA!A66:A94) - 1))</f>
        <v/>
      </c>
      <c r="P67" s="88" t="str">
        <f t="shared" ca="1" si="1"/>
        <v/>
      </c>
      <c r="Q67" s="64" t="str">
        <f t="shared" ca="1" si="2"/>
        <v/>
      </c>
    </row>
    <row r="68" spans="1:17" x14ac:dyDescent="0.3">
      <c r="A68" s="82">
        <v>66</v>
      </c>
      <c r="B68" s="57"/>
      <c r="C68" s="57"/>
      <c r="D68" s="57"/>
      <c r="E68" s="57"/>
      <c r="F68" s="57"/>
      <c r="G68" s="57"/>
      <c r="H68" s="57"/>
      <c r="I68" s="57" t="s">
        <v>75</v>
      </c>
      <c r="J68" s="100"/>
      <c r="K68" s="101"/>
      <c r="L68" s="101"/>
      <c r="M68" s="57"/>
      <c r="N68" s="59" t="str">
        <f>IF(ISBLANK(J68),"",IF(OR(M68="Completed",M68="Closed"),"",IF(H68="Issue",IF(I68="High",WORKDAY(J68,2,DATA!A67:A95),IF(I68="Medium",WORKDAY(J68,14,DATA!A67:A95),IF(OR(I68="Low"),WORKDAY(J68,30,DATA!A67:A95),""))),
"")
))</f>
        <v/>
      </c>
      <c r="O68" s="60" t="str">
        <f ca="1">IF(OR(ISBLANK(#REF!), M68="Completed", M68="Closed", H68&lt;&gt;"Issue"), "",
   (NETWORKDAYS.INTL(TODAY(), N68, 1, DATA!A67:A95) - 1))</f>
        <v/>
      </c>
      <c r="P68" s="88" t="str">
        <f t="shared" ref="P68:P131" ca="1" si="3">IF(O68="","",LEFT(O68,10)*(-1))</f>
        <v/>
      </c>
      <c r="Q68" s="64" t="str">
        <f t="shared" ca="1" si="2"/>
        <v/>
      </c>
    </row>
    <row r="69" spans="1:17" x14ac:dyDescent="0.3">
      <c r="A69" s="82">
        <v>67</v>
      </c>
      <c r="B69" s="57"/>
      <c r="C69" s="57"/>
      <c r="D69" s="57"/>
      <c r="E69" s="57"/>
      <c r="F69" s="57"/>
      <c r="G69" s="57"/>
      <c r="H69" s="57"/>
      <c r="I69" s="57" t="s">
        <v>75</v>
      </c>
      <c r="J69" s="100"/>
      <c r="K69" s="100"/>
      <c r="L69" s="100"/>
      <c r="M69" s="57"/>
      <c r="N69" s="59" t="str">
        <f>IF(ISBLANK(J69),"",IF(OR(M69="Completed",M69="Closed"),"",IF(H69="Issue",IF(I69="High",WORKDAY(J69,2,DATA!A68:A96),IF(I69="Medium",WORKDAY(J69,14,DATA!A68:A96),IF(OR(I69="Low"),WORKDAY(J69,30,DATA!A68:A96),""))),
"")
))</f>
        <v/>
      </c>
      <c r="O69" s="60" t="str">
        <f ca="1">IF(OR(ISBLANK(#REF!), M69="Completed", M69="Closed", H69&lt;&gt;"Issue"), "",
   (NETWORKDAYS.INTL(TODAY(), N69, 1, DATA!A68:A96) - 1))</f>
        <v/>
      </c>
      <c r="P69" s="88" t="str">
        <f t="shared" ca="1" si="3"/>
        <v/>
      </c>
      <c r="Q69" s="64" t="str">
        <f t="shared" ca="1" si="2"/>
        <v/>
      </c>
    </row>
    <row r="70" spans="1:17" x14ac:dyDescent="0.3">
      <c r="A70" s="82">
        <v>68</v>
      </c>
      <c r="B70" s="57"/>
      <c r="C70" s="57"/>
      <c r="D70" s="57"/>
      <c r="E70" s="57"/>
      <c r="F70" s="57"/>
      <c r="G70" s="57"/>
      <c r="H70" s="57"/>
      <c r="I70" s="57" t="s">
        <v>75</v>
      </c>
      <c r="J70" s="100"/>
      <c r="K70" s="100"/>
      <c r="L70" s="100"/>
      <c r="M70" s="57"/>
      <c r="N70" s="59" t="str">
        <f>IF(ISBLANK(J70),"",IF(OR(M70="Completed",M70="Closed"),"",IF(H70="Issue",IF(I70="High",WORKDAY(J70,2,DATA!A69:A97),IF(I70="Medium",WORKDAY(J70,14,DATA!A69:A97),IF(OR(I70="Low"),WORKDAY(J70,30,DATA!A69:A97),""))),
"")
))</f>
        <v/>
      </c>
      <c r="O70" s="60" t="str">
        <f ca="1">IF(OR(ISBLANK(#REF!), M70="Completed", M70="Closed", H70&lt;&gt;"Issue"), "",
   (NETWORKDAYS.INTL(TODAY(), N70, 1, DATA!A69:A97) - 1))</f>
        <v/>
      </c>
      <c r="P70" s="88" t="str">
        <f t="shared" ca="1" si="3"/>
        <v/>
      </c>
      <c r="Q70" s="64" t="str">
        <f t="shared" ca="1" si="2"/>
        <v/>
      </c>
    </row>
    <row r="71" spans="1:17" x14ac:dyDescent="0.3">
      <c r="A71" s="82">
        <v>69</v>
      </c>
      <c r="B71" s="57"/>
      <c r="C71" s="57"/>
      <c r="D71" s="57"/>
      <c r="E71" s="57"/>
      <c r="F71" s="57"/>
      <c r="G71" s="57"/>
      <c r="H71" s="57"/>
      <c r="I71" s="57" t="s">
        <v>75</v>
      </c>
      <c r="J71" s="100"/>
      <c r="K71" s="100"/>
      <c r="L71" s="100"/>
      <c r="M71" s="57"/>
      <c r="N71" s="59" t="str">
        <f>IF(ISBLANK(J71),"",IF(OR(M71="Completed",M71="Closed"),"",IF(H71="Issue",IF(I71="High",WORKDAY(J71,2,DATA!A70:A98),IF(I71="Medium",WORKDAY(J71,14,DATA!A70:A98),IF(OR(I71="Low"),WORKDAY(J71,30,DATA!A70:A98),""))),
"")
))</f>
        <v/>
      </c>
      <c r="O71" s="60" t="str">
        <f ca="1">IF(OR(ISBLANK(#REF!), M71="Completed", M71="Closed", H71&lt;&gt;"Issue"), "",
   (NETWORKDAYS.INTL(TODAY(), N71, 1, DATA!A70:A98) - 1))</f>
        <v/>
      </c>
      <c r="P71" s="88" t="str">
        <f t="shared" ca="1" si="3"/>
        <v/>
      </c>
      <c r="Q71" s="64" t="str">
        <f t="shared" ca="1" si="2"/>
        <v/>
      </c>
    </row>
    <row r="72" spans="1:17" x14ac:dyDescent="0.3">
      <c r="A72" s="82">
        <v>70</v>
      </c>
      <c r="B72" s="57"/>
      <c r="C72" s="57"/>
      <c r="D72" s="57"/>
      <c r="E72" s="57"/>
      <c r="F72" s="57"/>
      <c r="G72" s="57"/>
      <c r="H72" s="57"/>
      <c r="I72" s="57" t="s">
        <v>75</v>
      </c>
      <c r="J72" s="100"/>
      <c r="K72" s="101"/>
      <c r="L72" s="101"/>
      <c r="M72" s="57"/>
      <c r="N72" s="59" t="str">
        <f>IF(ISBLANK(J72),"",IF(OR(M72="Completed",M72="Closed"),"",IF(H72="Issue",IF(I72="High",WORKDAY(J72,2,DATA!A71:A99),IF(I72="Medium",WORKDAY(J72,14,DATA!A71:A99),IF(OR(I72="Low"),WORKDAY(J72,30,DATA!A71:A99),""))),
"")
))</f>
        <v/>
      </c>
      <c r="O72" s="60" t="str">
        <f ca="1">IF(OR(ISBLANK(#REF!), M72="Completed", M72="Closed", H72&lt;&gt;"Issue"), "",
   (NETWORKDAYS.INTL(TODAY(), N72, 1, DATA!A71:A99) - 1))</f>
        <v/>
      </c>
      <c r="P72" s="88" t="str">
        <f t="shared" ca="1" si="3"/>
        <v/>
      </c>
      <c r="Q72" s="64" t="str">
        <f t="shared" ca="1" si="2"/>
        <v/>
      </c>
    </row>
    <row r="73" spans="1:17" x14ac:dyDescent="0.3">
      <c r="A73" s="82">
        <v>71</v>
      </c>
      <c r="B73" s="57"/>
      <c r="C73" s="57"/>
      <c r="D73" s="57"/>
      <c r="E73" s="57"/>
      <c r="F73" s="57"/>
      <c r="G73" s="57"/>
      <c r="H73" s="57"/>
      <c r="I73" s="57" t="s">
        <v>75</v>
      </c>
      <c r="J73" s="100"/>
      <c r="K73" s="101"/>
      <c r="L73" s="101"/>
      <c r="M73" s="57"/>
      <c r="N73" s="59" t="str">
        <f>IF(ISBLANK(J73),"",IF(OR(M73="Completed",M73="Closed"),"",IF(H73="Issue",IF(I73="High",WORKDAY(J73,2,DATA!A72:A100),IF(I73="Medium",WORKDAY(J73,14,DATA!A72:A100),IF(OR(I73="Low"),WORKDAY(J73,30,DATA!A72:A100),""))),
"")
))</f>
        <v/>
      </c>
      <c r="O73" s="60" t="str">
        <f ca="1">IF(OR(ISBLANK(#REF!), M73="Completed", M73="Closed", H73&lt;&gt;"Issue"), "",
   (NETWORKDAYS.INTL(TODAY(), N73, 1, DATA!A72:A100) - 1))</f>
        <v/>
      </c>
      <c r="P73" s="88" t="str">
        <f t="shared" ca="1" si="3"/>
        <v/>
      </c>
      <c r="Q73" s="64" t="str">
        <f t="shared" ca="1" si="2"/>
        <v/>
      </c>
    </row>
    <row r="74" spans="1:17" x14ac:dyDescent="0.3">
      <c r="A74" s="82">
        <v>72</v>
      </c>
      <c r="B74" s="57"/>
      <c r="C74" s="57"/>
      <c r="D74" s="57"/>
      <c r="E74" s="57"/>
      <c r="F74" s="57"/>
      <c r="G74" s="57"/>
      <c r="H74" s="57"/>
      <c r="I74" s="57" t="s">
        <v>75</v>
      </c>
      <c r="J74" s="100"/>
      <c r="K74" s="100"/>
      <c r="L74" s="100"/>
      <c r="M74" s="57"/>
      <c r="N74" s="59" t="str">
        <f>IF(ISBLANK(J74),"",IF(OR(M74="Completed",M74="Closed"),"",IF(H74="Issue",IF(I74="High",WORKDAY(J74,2,DATA!A73:A101),IF(I74="Medium",WORKDAY(J74,14,DATA!A73:A101),IF(OR(I74="Low"),WORKDAY(J74,30,DATA!A73:A101),""))),
"")
))</f>
        <v/>
      </c>
      <c r="O74" s="60" t="str">
        <f ca="1">IF(OR(ISBLANK(#REF!), M74="Completed", M74="Closed", H74&lt;&gt;"Issue"), "",
   (NETWORKDAYS.INTL(TODAY(), N74, 1, DATA!A73:A101) - 1))</f>
        <v/>
      </c>
      <c r="P74" s="88" t="str">
        <f t="shared" ca="1" si="3"/>
        <v/>
      </c>
      <c r="Q74" s="64" t="str">
        <f t="shared" ca="1" si="2"/>
        <v/>
      </c>
    </row>
    <row r="75" spans="1:17" x14ac:dyDescent="0.3">
      <c r="A75" s="82">
        <v>73</v>
      </c>
      <c r="B75" s="57"/>
      <c r="C75" s="57"/>
      <c r="D75" s="57"/>
      <c r="E75" s="57"/>
      <c r="F75" s="57"/>
      <c r="G75" s="57"/>
      <c r="H75" s="57"/>
      <c r="I75" s="57" t="s">
        <v>75</v>
      </c>
      <c r="J75" s="100"/>
      <c r="K75" s="101"/>
      <c r="L75" s="101"/>
      <c r="M75" s="57"/>
      <c r="N75" s="59" t="str">
        <f>IF(ISBLANK(J75),"",IF(OR(M75="Completed",M75="Closed"),"",IF(H75="Issue",IF(I75="High",WORKDAY(J75,2,DATA!A74:A102),IF(I75="Medium",WORKDAY(J75,14,DATA!A74:A102),IF(OR(I75="Low"),WORKDAY(J75,30,DATA!A74:A102),""))),
"")
))</f>
        <v/>
      </c>
      <c r="O75" s="60" t="str">
        <f ca="1">IF(OR(ISBLANK(#REF!), M75="Completed", M75="Closed", H75&lt;&gt;"Issue"), "",
   (NETWORKDAYS.INTL(TODAY(), N75, 1, DATA!A74:A102) - 1))</f>
        <v/>
      </c>
      <c r="P75" s="88" t="str">
        <f t="shared" ca="1" si="3"/>
        <v/>
      </c>
      <c r="Q75" s="64" t="str">
        <f t="shared" ca="1" si="2"/>
        <v/>
      </c>
    </row>
    <row r="76" spans="1:17" x14ac:dyDescent="0.3">
      <c r="A76" s="82">
        <v>74</v>
      </c>
      <c r="B76" s="57"/>
      <c r="C76" s="57"/>
      <c r="D76" s="57"/>
      <c r="E76" s="57"/>
      <c r="F76" s="57"/>
      <c r="G76" s="57"/>
      <c r="H76" s="57"/>
      <c r="I76" s="57" t="s">
        <v>75</v>
      </c>
      <c r="J76" s="100"/>
      <c r="K76" s="101"/>
      <c r="L76" s="101"/>
      <c r="M76" s="57"/>
      <c r="N76" s="59" t="str">
        <f>IF(ISBLANK(J76),"",IF(OR(M76="Completed",M76="Closed"),"",IF(H76="Issue",IF(I76="High",WORKDAY(J76,2,DATA!A75:A103),IF(I76="Medium",WORKDAY(J76,14,DATA!A75:A103),IF(OR(I76="Low"),WORKDAY(J76,30,DATA!A75:A103),""))),
"")
))</f>
        <v/>
      </c>
      <c r="O76" s="60" t="str">
        <f ca="1">IF(OR(ISBLANK(#REF!), M76="Completed", M76="Closed", H76&lt;&gt;"Issue"), "",
   (NETWORKDAYS.INTL(TODAY(), N76, 1, DATA!A75:A103) - 1))</f>
        <v/>
      </c>
      <c r="P76" s="88" t="str">
        <f t="shared" ca="1" si="3"/>
        <v/>
      </c>
      <c r="Q76" s="64" t="str">
        <f t="shared" ca="1" si="2"/>
        <v/>
      </c>
    </row>
    <row r="77" spans="1:17" x14ac:dyDescent="0.3">
      <c r="A77" s="82">
        <v>75</v>
      </c>
      <c r="B77" s="57"/>
      <c r="C77" s="57"/>
      <c r="D77" s="57"/>
      <c r="E77" s="57"/>
      <c r="F77" s="57"/>
      <c r="G77" s="57"/>
      <c r="H77" s="57"/>
      <c r="I77" s="57" t="s">
        <v>75</v>
      </c>
      <c r="J77" s="100"/>
      <c r="K77" s="100"/>
      <c r="L77" s="101"/>
      <c r="M77" s="57"/>
      <c r="N77" s="59" t="str">
        <f>IF(ISBLANK(J77),"",IF(OR(M77="Completed",M77="Closed"),"",IF(H77="Issue",IF(I77="High",WORKDAY(J77,2,DATA!A76:A104),IF(I77="Medium",WORKDAY(J77,14,DATA!A76:A104),IF(OR(I77="Low"),WORKDAY(J77,30,DATA!A76:A104),""))),
"")
))</f>
        <v/>
      </c>
      <c r="O77" s="60" t="str">
        <f ca="1">IF(OR(ISBLANK(#REF!), M77="Completed", M77="Closed", H77&lt;&gt;"Issue"), "",
   (NETWORKDAYS.INTL(TODAY(), N77, 1, DATA!A76:A104) - 1))</f>
        <v/>
      </c>
      <c r="P77" s="88" t="str">
        <f t="shared" ca="1" si="3"/>
        <v/>
      </c>
      <c r="Q77" s="64" t="str">
        <f t="shared" ca="1" si="2"/>
        <v/>
      </c>
    </row>
    <row r="78" spans="1:17" x14ac:dyDescent="0.3">
      <c r="A78" s="82">
        <v>76</v>
      </c>
      <c r="B78" s="57"/>
      <c r="C78" s="57"/>
      <c r="D78" s="57"/>
      <c r="E78" s="57"/>
      <c r="F78" s="57"/>
      <c r="G78" s="57"/>
      <c r="H78" s="57"/>
      <c r="I78" s="57" t="s">
        <v>75</v>
      </c>
      <c r="J78" s="100"/>
      <c r="K78" s="100"/>
      <c r="L78" s="100"/>
      <c r="M78" s="57"/>
      <c r="N78" s="59" t="str">
        <f>IF(ISBLANK(J78),"",IF(OR(M78="Completed",M78="Closed"),"",IF(H78="Issue",IF(I78="High",WORKDAY(J78,2,DATA!A77:A105),IF(I78="Medium",WORKDAY(J78,14,DATA!A77:A105),IF(OR(I78="Low"),WORKDAY(J78,30,DATA!A77:A105),""))),
"")
))</f>
        <v/>
      </c>
      <c r="O78" s="60" t="str">
        <f ca="1">IF(OR(ISBLANK(#REF!), M78="Completed", M78="Closed", H78&lt;&gt;"Issue"), "",
   (NETWORKDAYS.INTL(TODAY(), N78, 1, DATA!A77:A105) - 1))</f>
        <v/>
      </c>
      <c r="P78" s="88" t="str">
        <f t="shared" ca="1" si="3"/>
        <v/>
      </c>
      <c r="Q78" s="64" t="str">
        <f t="shared" ca="1" si="2"/>
        <v/>
      </c>
    </row>
    <row r="79" spans="1:17" x14ac:dyDescent="0.3">
      <c r="A79" s="82">
        <v>77</v>
      </c>
      <c r="B79" s="57"/>
      <c r="C79" s="57"/>
      <c r="D79" s="57"/>
      <c r="E79" s="57"/>
      <c r="F79" s="57"/>
      <c r="G79" s="57"/>
      <c r="H79" s="57"/>
      <c r="I79" s="57" t="s">
        <v>75</v>
      </c>
      <c r="J79" s="100"/>
      <c r="K79" s="100"/>
      <c r="L79" s="100"/>
      <c r="M79" s="57"/>
      <c r="N79" s="59" t="str">
        <f>IF(ISBLANK(J79),"",IF(OR(M79="Completed",M79="Closed"),"",IF(H79="Issue",IF(I79="High",WORKDAY(J79,2,DATA!A78:A106),IF(I79="Medium",WORKDAY(J79,14,DATA!A78:A106),IF(OR(I79="Low"),WORKDAY(J79,30,DATA!A78:A106),""))),
"")
))</f>
        <v/>
      </c>
      <c r="O79" s="60" t="str">
        <f ca="1">IF(OR(ISBLANK(#REF!), M79="Completed", M79="Closed", H79&lt;&gt;"Issue"), "",
   (NETWORKDAYS.INTL(TODAY(), N79, 1, DATA!A78:A106) - 1))</f>
        <v/>
      </c>
      <c r="P79" s="88" t="str">
        <f t="shared" ca="1" si="3"/>
        <v/>
      </c>
      <c r="Q79" s="64" t="str">
        <f t="shared" ca="1" si="2"/>
        <v/>
      </c>
    </row>
    <row r="80" spans="1:17" x14ac:dyDescent="0.3">
      <c r="A80" s="82">
        <v>78</v>
      </c>
      <c r="B80" s="57"/>
      <c r="C80" s="57"/>
      <c r="D80" s="57"/>
      <c r="E80" s="57"/>
      <c r="F80" s="57"/>
      <c r="G80" s="57"/>
      <c r="H80" s="57"/>
      <c r="I80" s="57" t="s">
        <v>75</v>
      </c>
      <c r="J80" s="100"/>
      <c r="K80" s="100"/>
      <c r="L80" s="100"/>
      <c r="M80" s="57"/>
      <c r="N80" s="59" t="str">
        <f>IF(ISBLANK(J80),"",IF(OR(M80="Completed",M80="Closed"),"",IF(H80="Issue",IF(I80="High",WORKDAY(J80,2,DATA!A79:A107),IF(I80="Medium",WORKDAY(J80,14,DATA!A79:A107),IF(OR(I80="Low"),WORKDAY(J80,30,DATA!A79:A107),""))),
"")
))</f>
        <v/>
      </c>
      <c r="O80" s="60" t="str">
        <f ca="1">IF(OR(ISBLANK(#REF!), M80="Completed", M80="Closed", H80&lt;&gt;"Issue"), "",
   (NETWORKDAYS.INTL(TODAY(), N80, 1, DATA!A79:A107) - 1))</f>
        <v/>
      </c>
      <c r="P80" s="88" t="str">
        <f t="shared" ca="1" si="3"/>
        <v/>
      </c>
      <c r="Q80" s="64" t="str">
        <f t="shared" ca="1" si="2"/>
        <v/>
      </c>
    </row>
    <row r="81" spans="1:17" x14ac:dyDescent="0.3">
      <c r="A81" s="82">
        <v>79</v>
      </c>
      <c r="B81" s="57"/>
      <c r="C81" s="57"/>
      <c r="D81" s="57"/>
      <c r="E81" s="57"/>
      <c r="F81" s="57"/>
      <c r="G81" s="57"/>
      <c r="H81" s="57"/>
      <c r="I81" s="57" t="s">
        <v>75</v>
      </c>
      <c r="J81" s="100"/>
      <c r="K81" s="100"/>
      <c r="L81" s="101"/>
      <c r="M81" s="57"/>
      <c r="N81" s="59" t="str">
        <f>IF(ISBLANK(J81),"",IF(OR(M81="Completed",M81="Closed"),"",IF(H81="Issue",IF(I81="High",WORKDAY(J81,2,DATA!A80:A108),IF(I81="Medium",WORKDAY(J81,14,DATA!A80:A108),IF(OR(I81="Low"),WORKDAY(J81,30,DATA!A80:A108),""))),
"")
))</f>
        <v/>
      </c>
      <c r="O81" s="60" t="str">
        <f ca="1">IF(OR(ISBLANK(#REF!), M81="Completed", M81="Closed", H81&lt;&gt;"Issue"), "",
   (NETWORKDAYS.INTL(TODAY(), N81, 1, DATA!A80:A108) - 1))</f>
        <v/>
      </c>
      <c r="P81" s="88" t="str">
        <f t="shared" ca="1" si="3"/>
        <v/>
      </c>
      <c r="Q81" s="64" t="str">
        <f t="shared" ca="1" si="2"/>
        <v/>
      </c>
    </row>
    <row r="82" spans="1:17" x14ac:dyDescent="0.3">
      <c r="A82" s="82">
        <v>80</v>
      </c>
      <c r="B82" s="57"/>
      <c r="C82" s="57"/>
      <c r="D82" s="57"/>
      <c r="E82" s="57"/>
      <c r="F82" s="57"/>
      <c r="G82" s="57"/>
      <c r="H82" s="57"/>
      <c r="I82" s="57" t="s">
        <v>75</v>
      </c>
      <c r="J82" s="100"/>
      <c r="K82" s="100"/>
      <c r="L82" s="100"/>
      <c r="M82" s="57"/>
      <c r="N82" s="59" t="str">
        <f>IF(ISBLANK(J82),"",IF(OR(M82="Completed",M82="Closed"),"",IF(H82="Issue",IF(I82="High",WORKDAY(J82,2,DATA!A81:A109),IF(I82="Medium",WORKDAY(J82,14,DATA!A81:A109),IF(OR(I82="Low"),WORKDAY(J82,30,DATA!A81:A109),""))),
"")
))</f>
        <v/>
      </c>
      <c r="O82" s="60" t="str">
        <f ca="1">IF(OR(ISBLANK(#REF!), M82="Completed", M82="Closed", H82&lt;&gt;"Issue"), "",
   (NETWORKDAYS.INTL(TODAY(), N82, 1, DATA!A81:A109) - 1))</f>
        <v/>
      </c>
      <c r="P82" s="88" t="str">
        <f t="shared" ca="1" si="3"/>
        <v/>
      </c>
      <c r="Q82" s="64" t="str">
        <f t="shared" ca="1" si="2"/>
        <v/>
      </c>
    </row>
    <row r="83" spans="1:17" x14ac:dyDescent="0.3">
      <c r="A83" s="82">
        <v>81</v>
      </c>
      <c r="B83" s="57"/>
      <c r="C83" s="57"/>
      <c r="D83" s="57"/>
      <c r="E83" s="57"/>
      <c r="F83" s="57"/>
      <c r="G83" s="57"/>
      <c r="H83" s="57"/>
      <c r="I83" s="57" t="s">
        <v>75</v>
      </c>
      <c r="J83" s="100"/>
      <c r="K83" s="101"/>
      <c r="L83" s="101"/>
      <c r="M83" s="57"/>
      <c r="N83" s="59" t="str">
        <f>IF(ISBLANK(J83),"",IF(OR(M83="Completed",M83="Closed"),"",IF(H83="Issue",IF(I83="High",WORKDAY(J83,2,DATA!A82:A110),IF(I83="Medium",WORKDAY(J83,14,DATA!A82:A110),IF(OR(I83="Low"),WORKDAY(J83,30,DATA!A82:A110),""))),
"")
))</f>
        <v/>
      </c>
      <c r="O83" s="60" t="str">
        <f ca="1">IF(OR(ISBLANK(#REF!), M83="Completed", M83="Closed", H83&lt;&gt;"Issue"), "",
   (NETWORKDAYS.INTL(TODAY(), N83, 1, DATA!A82:A110) - 1))</f>
        <v/>
      </c>
      <c r="P83" s="88" t="str">
        <f t="shared" ca="1" si="3"/>
        <v/>
      </c>
      <c r="Q83" s="64" t="str">
        <f t="shared" ca="1" si="2"/>
        <v/>
      </c>
    </row>
    <row r="84" spans="1:17" x14ac:dyDescent="0.3">
      <c r="A84" s="82">
        <v>82</v>
      </c>
      <c r="B84" s="57"/>
      <c r="C84" s="57"/>
      <c r="D84" s="57"/>
      <c r="E84" s="57"/>
      <c r="F84" s="57"/>
      <c r="G84" s="57"/>
      <c r="H84" s="57"/>
      <c r="I84" s="57" t="s">
        <v>75</v>
      </c>
      <c r="J84" s="100"/>
      <c r="K84" s="101"/>
      <c r="L84" s="101"/>
      <c r="M84" s="57"/>
      <c r="N84" s="59" t="str">
        <f>IF(ISBLANK(J84),"",IF(OR(M84="Completed",M84="Closed"),"",IF(H84="Issue",IF(I84="High",WORKDAY(J84,2,DATA!A83:A111),IF(I84="Medium",WORKDAY(J84,14,DATA!A83:A111),IF(OR(I84="Low"),WORKDAY(J84,30,DATA!A83:A111),""))),
"")
))</f>
        <v/>
      </c>
      <c r="O84" s="60" t="str">
        <f ca="1">IF(OR(ISBLANK(#REF!), M84="Completed", M84="Closed", H84&lt;&gt;"Issue"), "",
   (NETWORKDAYS.INTL(TODAY(), N84, 1, DATA!A83:A111) - 1))</f>
        <v/>
      </c>
      <c r="P84" s="88" t="str">
        <f t="shared" ca="1" si="3"/>
        <v/>
      </c>
      <c r="Q84" s="64" t="str">
        <f t="shared" ca="1" si="2"/>
        <v/>
      </c>
    </row>
    <row r="85" spans="1:17" x14ac:dyDescent="0.3">
      <c r="A85" s="82">
        <v>83</v>
      </c>
      <c r="B85" s="57"/>
      <c r="C85" s="57"/>
      <c r="D85" s="57"/>
      <c r="E85" s="57"/>
      <c r="F85" s="57"/>
      <c r="G85" s="57"/>
      <c r="H85" s="57"/>
      <c r="I85" s="57" t="s">
        <v>75</v>
      </c>
      <c r="J85" s="100"/>
      <c r="K85" s="101"/>
      <c r="L85" s="101"/>
      <c r="M85" s="57"/>
      <c r="N85" s="59" t="str">
        <f>IF(ISBLANK(J85),"",IF(OR(M85="Completed",M85="Closed"),"",IF(H85="Issue",IF(I85="High",WORKDAY(J85,2,DATA!A84:A112),IF(I85="Medium",WORKDAY(J85,14,DATA!A84:A112),IF(OR(I85="Low"),WORKDAY(J85,30,DATA!A84:A112),""))),
"")
))</f>
        <v/>
      </c>
      <c r="O85" s="60" t="str">
        <f ca="1">IF(OR(ISBLANK(#REF!), M85="Completed", M85="Closed", H85&lt;&gt;"Issue"), "",
   (NETWORKDAYS.INTL(TODAY(), N85, 1, DATA!A84:A112) - 1))</f>
        <v/>
      </c>
      <c r="P85" s="88" t="str">
        <f t="shared" ca="1" si="3"/>
        <v/>
      </c>
      <c r="Q85" s="64" t="str">
        <f t="shared" ca="1" si="2"/>
        <v/>
      </c>
    </row>
    <row r="86" spans="1:17" x14ac:dyDescent="0.3">
      <c r="A86" s="82">
        <v>84</v>
      </c>
      <c r="B86" s="57"/>
      <c r="C86" s="57"/>
      <c r="D86" s="57"/>
      <c r="E86" s="57"/>
      <c r="F86" s="57"/>
      <c r="G86" s="57"/>
      <c r="H86" s="57"/>
      <c r="I86" s="57" t="s">
        <v>75</v>
      </c>
      <c r="J86" s="100"/>
      <c r="K86" s="101"/>
      <c r="L86" s="101"/>
      <c r="M86" s="57"/>
      <c r="N86" s="59" t="str">
        <f>IF(ISBLANK(J86),"",IF(OR(M86="Completed",M86="Closed"),"",IF(H86="Issue",IF(I86="High",WORKDAY(J86,2,DATA!A85:A113),IF(I86="Medium",WORKDAY(J86,14,DATA!A85:A113),IF(OR(I86="Low"),WORKDAY(J86,30,DATA!A85:A113),""))),
"")
))</f>
        <v/>
      </c>
      <c r="O86" s="60" t="str">
        <f ca="1">IF(OR(ISBLANK(#REF!), M86="Completed", M86="Closed", H86&lt;&gt;"Issue"), "",
   (NETWORKDAYS.INTL(TODAY(), N86, 1, DATA!A85:A113) - 1))</f>
        <v/>
      </c>
      <c r="P86" s="88" t="str">
        <f t="shared" ca="1" si="3"/>
        <v/>
      </c>
      <c r="Q86" s="64" t="str">
        <f t="shared" ref="Q86:Q149" ca="1" si="4">IF(P86="","",
IF(P86&lt;=0,"Not Due",
IF(P86&lt;=30,"1-30 Days",
IF(P86&lt;=60,"31-60 Days",
"&gt;60 Days"))))</f>
        <v/>
      </c>
    </row>
    <row r="87" spans="1:17" x14ac:dyDescent="0.3">
      <c r="A87" s="82">
        <v>85</v>
      </c>
      <c r="B87" s="57"/>
      <c r="C87" s="57"/>
      <c r="D87" s="57"/>
      <c r="E87" s="57"/>
      <c r="F87" s="57"/>
      <c r="G87" s="57"/>
      <c r="H87" s="57"/>
      <c r="I87" s="57" t="s">
        <v>75</v>
      </c>
      <c r="J87" s="100"/>
      <c r="K87" s="101"/>
      <c r="L87" s="101"/>
      <c r="M87" s="57"/>
      <c r="N87" s="59" t="str">
        <f>IF(ISBLANK(J87),"",IF(OR(M87="Completed",M87="Closed"),"",IF(H87="Issue",IF(I87="High",WORKDAY(J87,2,DATA!A86:A114),IF(I87="Medium",WORKDAY(J87,14,DATA!A86:A114),IF(OR(I87="Low"),WORKDAY(J87,30,DATA!A86:A114),""))),
"")
))</f>
        <v/>
      </c>
      <c r="O87" s="60" t="str">
        <f ca="1">IF(OR(ISBLANK(#REF!), M87="Completed", M87="Closed", H87&lt;&gt;"Issue"), "",
   (NETWORKDAYS.INTL(TODAY(), N87, 1, DATA!A86:A114) - 1))</f>
        <v/>
      </c>
      <c r="P87" s="88" t="str">
        <f t="shared" ca="1" si="3"/>
        <v/>
      </c>
      <c r="Q87" s="64" t="str">
        <f t="shared" ca="1" si="4"/>
        <v/>
      </c>
    </row>
    <row r="88" spans="1:17" x14ac:dyDescent="0.3">
      <c r="A88" s="82">
        <v>86</v>
      </c>
      <c r="B88" s="57"/>
      <c r="C88" s="57"/>
      <c r="D88" s="57"/>
      <c r="E88" s="57"/>
      <c r="F88" s="57"/>
      <c r="G88" s="57"/>
      <c r="H88" s="57"/>
      <c r="I88" s="57" t="s">
        <v>75</v>
      </c>
      <c r="J88" s="100"/>
      <c r="K88" s="101"/>
      <c r="L88" s="101"/>
      <c r="M88" s="57"/>
      <c r="N88" s="59" t="str">
        <f>IF(ISBLANK(J88),"",IF(OR(M88="Completed",M88="Closed"),"",IF(H88="Issue",IF(I88="High",WORKDAY(J88,2,DATA!A87:A115),IF(I88="Medium",WORKDAY(J88,14,DATA!A87:A115),IF(OR(I88="Low"),WORKDAY(J88,30,DATA!A87:A115),""))),
"")
))</f>
        <v/>
      </c>
      <c r="O88" s="60" t="str">
        <f ca="1">IF(OR(ISBLANK(#REF!), M88="Completed", M88="Closed", H88&lt;&gt;"Issue"), "",
   (NETWORKDAYS.INTL(TODAY(), N88, 1, DATA!A87:A115) - 1))</f>
        <v/>
      </c>
      <c r="P88" s="88" t="str">
        <f t="shared" ca="1" si="3"/>
        <v/>
      </c>
      <c r="Q88" s="64" t="str">
        <f t="shared" ca="1" si="4"/>
        <v/>
      </c>
    </row>
    <row r="89" spans="1:17" x14ac:dyDescent="0.3">
      <c r="A89" s="82">
        <v>87</v>
      </c>
      <c r="B89" s="57"/>
      <c r="C89" s="57"/>
      <c r="D89" s="57"/>
      <c r="E89" s="57"/>
      <c r="F89" s="57"/>
      <c r="G89" s="57"/>
      <c r="H89" s="57"/>
      <c r="I89" s="57" t="s">
        <v>75</v>
      </c>
      <c r="J89" s="100"/>
      <c r="K89" s="101"/>
      <c r="L89" s="101"/>
      <c r="M89" s="57"/>
      <c r="N89" s="59" t="str">
        <f>IF(ISBLANK(J89),"",IF(OR(M89="Completed",M89="Closed"),"",IF(H89="Issue",IF(I89="High",WORKDAY(J89,2,DATA!A88:A116),IF(I89="Medium",WORKDAY(J89,14,DATA!A88:A116),IF(OR(I89="Low"),WORKDAY(J89,30,DATA!A88:A116),""))),
"")
))</f>
        <v/>
      </c>
      <c r="O89" s="60" t="str">
        <f ca="1">IF(OR(ISBLANK(#REF!), M89="Completed", M89="Closed", H89&lt;&gt;"Issue"), "",
   (NETWORKDAYS.INTL(TODAY(), N89, 1, DATA!A88:A116) - 1))</f>
        <v/>
      </c>
      <c r="P89" s="88" t="str">
        <f t="shared" ca="1" si="3"/>
        <v/>
      </c>
      <c r="Q89" s="64" t="str">
        <f t="shared" ca="1" si="4"/>
        <v/>
      </c>
    </row>
    <row r="90" spans="1:17" x14ac:dyDescent="0.3">
      <c r="A90" s="82">
        <v>88</v>
      </c>
      <c r="B90" s="57"/>
      <c r="C90" s="57"/>
      <c r="D90" s="57"/>
      <c r="E90" s="57"/>
      <c r="F90" s="57"/>
      <c r="G90" s="57"/>
      <c r="H90" s="57"/>
      <c r="I90" s="57" t="s">
        <v>75</v>
      </c>
      <c r="J90" s="100"/>
      <c r="K90" s="101"/>
      <c r="L90" s="101"/>
      <c r="M90" s="57"/>
      <c r="N90" s="59" t="str">
        <f>IF(ISBLANK(J90),"",IF(OR(M90="Completed",M90="Closed"),"",IF(H90="Issue",IF(I90="High",WORKDAY(J90,2,DATA!A89:A117),IF(I90="Medium",WORKDAY(J90,14,DATA!A89:A117),IF(OR(I90="Low"),WORKDAY(J90,30,DATA!A89:A117),""))),
"")
))</f>
        <v/>
      </c>
      <c r="O90" s="60" t="str">
        <f ca="1">IF(OR(ISBLANK(#REF!), M90="Completed", M90="Closed", H90&lt;&gt;"Issue"), "",
   (NETWORKDAYS.INTL(TODAY(), N90, 1, DATA!A89:A117) - 1))</f>
        <v/>
      </c>
      <c r="P90" s="88" t="str">
        <f t="shared" ca="1" si="3"/>
        <v/>
      </c>
      <c r="Q90" s="64" t="str">
        <f t="shared" ca="1" si="4"/>
        <v/>
      </c>
    </row>
    <row r="91" spans="1:17" x14ac:dyDescent="0.3">
      <c r="A91" s="82">
        <v>89</v>
      </c>
      <c r="B91" s="57"/>
      <c r="C91" s="57"/>
      <c r="D91" s="57"/>
      <c r="E91" s="57"/>
      <c r="F91" s="57"/>
      <c r="G91" s="57"/>
      <c r="H91" s="57"/>
      <c r="I91" s="57" t="s">
        <v>75</v>
      </c>
      <c r="J91" s="100"/>
      <c r="K91" s="101"/>
      <c r="L91" s="101"/>
      <c r="M91" s="57"/>
      <c r="N91" s="59" t="str">
        <f>IF(ISBLANK(J91),"",IF(OR(M91="Completed",M91="Closed"),"",IF(H91="Issue",IF(I91="High",WORKDAY(J91,2,DATA!A90:A118),IF(I91="Medium",WORKDAY(J91,14,DATA!A90:A118),IF(OR(I91="Low"),WORKDAY(J91,30,DATA!A90:A118),""))),
"")
))</f>
        <v/>
      </c>
      <c r="O91" s="60" t="str">
        <f ca="1">IF(OR(ISBLANK(#REF!), M91="Completed", M91="Closed", H91&lt;&gt;"Issue"), "",
   (NETWORKDAYS.INTL(TODAY(), N91, 1, DATA!A90:A118) - 1))</f>
        <v/>
      </c>
      <c r="P91" s="88" t="str">
        <f t="shared" ca="1" si="3"/>
        <v/>
      </c>
      <c r="Q91" s="64" t="str">
        <f t="shared" ca="1" si="4"/>
        <v/>
      </c>
    </row>
    <row r="92" spans="1:17" x14ac:dyDescent="0.3">
      <c r="A92" s="82">
        <v>90</v>
      </c>
      <c r="B92" s="57"/>
      <c r="C92" s="57"/>
      <c r="D92" s="57"/>
      <c r="E92" s="57"/>
      <c r="F92" s="57"/>
      <c r="G92" s="57"/>
      <c r="H92" s="57"/>
      <c r="I92" s="57" t="s">
        <v>75</v>
      </c>
      <c r="J92" s="100"/>
      <c r="K92" s="101"/>
      <c r="L92" s="101"/>
      <c r="M92" s="57"/>
      <c r="N92" s="59" t="str">
        <f>IF(ISBLANK(J92),"",IF(OR(M92="Completed",M92="Closed"),"",IF(H92="Issue",IF(I92="High",WORKDAY(J92,2,DATA!A91:A119),IF(I92="Medium",WORKDAY(J92,14,DATA!A91:A119),IF(OR(I92="Low"),WORKDAY(J92,30,DATA!A91:A119),""))),
"")
))</f>
        <v/>
      </c>
      <c r="O92" s="60" t="str">
        <f ca="1">IF(OR(ISBLANK(#REF!), M92="Completed", M92="Closed", H92&lt;&gt;"Issue"), "",
   (NETWORKDAYS.INTL(TODAY(), N92, 1, DATA!A91:A119) - 1))</f>
        <v/>
      </c>
      <c r="P92" s="88" t="str">
        <f t="shared" ca="1" si="3"/>
        <v/>
      </c>
      <c r="Q92" s="64" t="str">
        <f t="shared" ca="1" si="4"/>
        <v/>
      </c>
    </row>
    <row r="93" spans="1:17" x14ac:dyDescent="0.3">
      <c r="A93" s="82">
        <v>91</v>
      </c>
      <c r="B93" s="57"/>
      <c r="C93" s="57"/>
      <c r="D93" s="57"/>
      <c r="E93" s="57"/>
      <c r="F93" s="57"/>
      <c r="G93" s="57"/>
      <c r="H93" s="57"/>
      <c r="I93" s="57" t="s">
        <v>75</v>
      </c>
      <c r="J93" s="100"/>
      <c r="K93" s="101"/>
      <c r="L93" s="101"/>
      <c r="M93" s="57"/>
      <c r="N93" s="59" t="str">
        <f>IF(ISBLANK(J93),"",IF(OR(M93="Completed",M93="Closed"),"",IF(H93="Issue",IF(I93="High",WORKDAY(J93,2,DATA!A92:A120),IF(I93="Medium",WORKDAY(J93,14,DATA!A92:A120),IF(OR(I93="Low"),WORKDAY(J93,30,DATA!A92:A120),""))),
"")
))</f>
        <v/>
      </c>
      <c r="O93" s="60" t="str">
        <f ca="1">IF(OR(ISBLANK(#REF!), M93="Completed", M93="Closed", H93&lt;&gt;"Issue"), "",
   (NETWORKDAYS.INTL(TODAY(), N93, 1, DATA!A92:A120) - 1))</f>
        <v/>
      </c>
      <c r="P93" s="88" t="str">
        <f t="shared" ca="1" si="3"/>
        <v/>
      </c>
      <c r="Q93" s="64" t="str">
        <f t="shared" ca="1" si="4"/>
        <v/>
      </c>
    </row>
    <row r="94" spans="1:17" x14ac:dyDescent="0.3">
      <c r="A94" s="82">
        <v>92</v>
      </c>
      <c r="B94" s="57"/>
      <c r="C94" s="57"/>
      <c r="D94" s="57"/>
      <c r="E94" s="57"/>
      <c r="F94" s="57"/>
      <c r="G94" s="57"/>
      <c r="H94" s="57"/>
      <c r="I94" s="57" t="s">
        <v>75</v>
      </c>
      <c r="J94" s="100"/>
      <c r="K94" s="101"/>
      <c r="L94" s="101"/>
      <c r="M94" s="57"/>
      <c r="N94" s="59" t="str">
        <f>IF(ISBLANK(J94),"",IF(OR(M94="Completed",M94="Closed"),"",IF(H94="Issue",IF(I94="High",WORKDAY(J94,2,DATA!A93:A121),IF(I94="Medium",WORKDAY(J94,14,DATA!A93:A121),IF(OR(I94="Low"),WORKDAY(J94,30,DATA!A93:A121),""))),
"")
))</f>
        <v/>
      </c>
      <c r="O94" s="60" t="str">
        <f ca="1">IF(OR(ISBLANK(#REF!), M94="Completed", M94="Closed", H94&lt;&gt;"Issue"), "",
   (NETWORKDAYS.INTL(TODAY(), N94, 1, DATA!A93:A121) - 1))</f>
        <v/>
      </c>
      <c r="P94" s="88" t="str">
        <f t="shared" ca="1" si="3"/>
        <v/>
      </c>
      <c r="Q94" s="64" t="str">
        <f t="shared" ca="1" si="4"/>
        <v/>
      </c>
    </row>
    <row r="95" spans="1:17" x14ac:dyDescent="0.3">
      <c r="A95" s="82">
        <v>93</v>
      </c>
      <c r="B95" s="57"/>
      <c r="C95" s="57"/>
      <c r="D95" s="57"/>
      <c r="E95" s="57"/>
      <c r="F95" s="57"/>
      <c r="G95" s="57"/>
      <c r="H95" s="57"/>
      <c r="I95" s="57" t="s">
        <v>75</v>
      </c>
      <c r="J95" s="100"/>
      <c r="K95" s="101"/>
      <c r="L95" s="101"/>
      <c r="M95" s="57"/>
      <c r="N95" s="59" t="str">
        <f>IF(ISBLANK(J95),"",IF(OR(M95="Completed",M95="Closed"),"",IF(H95="Issue",IF(I95="High",WORKDAY(J95,2,DATA!A94:A122),IF(I95="Medium",WORKDAY(J95,14,DATA!A94:A122),IF(OR(I95="Low"),WORKDAY(J95,30,DATA!A94:A122),""))),
"")
))</f>
        <v/>
      </c>
      <c r="O95" s="60" t="str">
        <f ca="1">IF(OR(ISBLANK(#REF!), M95="Completed", M95="Closed", H95&lt;&gt;"Issue"), "",
   (NETWORKDAYS.INTL(TODAY(), N95, 1, DATA!A94:A122) - 1))</f>
        <v/>
      </c>
      <c r="P95" s="88" t="str">
        <f t="shared" ca="1" si="3"/>
        <v/>
      </c>
      <c r="Q95" s="64" t="str">
        <f t="shared" ca="1" si="4"/>
        <v/>
      </c>
    </row>
    <row r="96" spans="1:17" x14ac:dyDescent="0.3">
      <c r="A96" s="82">
        <v>94</v>
      </c>
      <c r="I96" s="57" t="s">
        <v>75</v>
      </c>
      <c r="J96" s="113"/>
      <c r="K96" s="113"/>
      <c r="L96" s="113"/>
      <c r="P96" s="88" t="str">
        <f t="shared" si="3"/>
        <v/>
      </c>
      <c r="Q96" s="64" t="str">
        <f t="shared" si="4"/>
        <v/>
      </c>
    </row>
    <row r="97" spans="1:17" x14ac:dyDescent="0.3">
      <c r="A97" s="82">
        <v>95</v>
      </c>
      <c r="I97" s="57" t="s">
        <v>75</v>
      </c>
      <c r="J97" s="113"/>
      <c r="K97" s="113"/>
      <c r="L97" s="113"/>
      <c r="P97" s="88" t="str">
        <f t="shared" si="3"/>
        <v/>
      </c>
      <c r="Q97" s="64" t="str">
        <f t="shared" si="4"/>
        <v/>
      </c>
    </row>
    <row r="98" spans="1:17" x14ac:dyDescent="0.3">
      <c r="A98" s="82">
        <v>96</v>
      </c>
      <c r="I98" s="57" t="s">
        <v>75</v>
      </c>
      <c r="J98" s="113"/>
      <c r="K98" s="113"/>
      <c r="L98" s="113"/>
      <c r="P98" s="88" t="str">
        <f t="shared" si="3"/>
        <v/>
      </c>
      <c r="Q98" s="64" t="str">
        <f t="shared" si="4"/>
        <v/>
      </c>
    </row>
    <row r="99" spans="1:17" x14ac:dyDescent="0.3">
      <c r="A99" s="82">
        <v>97</v>
      </c>
      <c r="I99" s="57" t="s">
        <v>75</v>
      </c>
      <c r="J99" s="113"/>
      <c r="K99" s="113"/>
      <c r="L99" s="113"/>
      <c r="P99" s="88" t="str">
        <f t="shared" si="3"/>
        <v/>
      </c>
      <c r="Q99" s="64" t="str">
        <f t="shared" si="4"/>
        <v/>
      </c>
    </row>
    <row r="100" spans="1:17" x14ac:dyDescent="0.3">
      <c r="A100" s="82">
        <v>98</v>
      </c>
      <c r="I100" s="57" t="s">
        <v>75</v>
      </c>
      <c r="J100" s="113"/>
      <c r="K100" s="113"/>
      <c r="L100" s="113"/>
      <c r="P100" s="88" t="str">
        <f t="shared" si="3"/>
        <v/>
      </c>
      <c r="Q100" s="64" t="str">
        <f t="shared" si="4"/>
        <v/>
      </c>
    </row>
    <row r="101" spans="1:17" x14ac:dyDescent="0.3">
      <c r="A101" s="82">
        <v>99</v>
      </c>
      <c r="I101" s="57" t="s">
        <v>75</v>
      </c>
      <c r="J101" s="113"/>
      <c r="K101" s="113"/>
      <c r="L101" s="113"/>
      <c r="P101" s="88" t="str">
        <f t="shared" si="3"/>
        <v/>
      </c>
      <c r="Q101" s="64" t="str">
        <f t="shared" si="4"/>
        <v/>
      </c>
    </row>
    <row r="102" spans="1:17" x14ac:dyDescent="0.3">
      <c r="A102" s="82">
        <v>100</v>
      </c>
      <c r="I102" s="57" t="s">
        <v>75</v>
      </c>
      <c r="J102" s="113"/>
      <c r="K102" s="113"/>
      <c r="L102" s="113"/>
      <c r="P102" s="88" t="str">
        <f t="shared" si="3"/>
        <v/>
      </c>
      <c r="Q102" s="64" t="str">
        <f t="shared" si="4"/>
        <v/>
      </c>
    </row>
    <row r="103" spans="1:17" x14ac:dyDescent="0.3">
      <c r="A103" s="82">
        <v>101</v>
      </c>
      <c r="I103" s="57" t="s">
        <v>75</v>
      </c>
      <c r="J103" s="113"/>
      <c r="K103" s="113"/>
      <c r="L103" s="113"/>
      <c r="P103" s="88" t="str">
        <f t="shared" si="3"/>
        <v/>
      </c>
      <c r="Q103" s="64" t="str">
        <f t="shared" si="4"/>
        <v/>
      </c>
    </row>
    <row r="104" spans="1:17" x14ac:dyDescent="0.3">
      <c r="A104" s="82">
        <v>102</v>
      </c>
      <c r="I104" s="57" t="s">
        <v>75</v>
      </c>
      <c r="J104" s="113"/>
      <c r="K104" s="113"/>
      <c r="L104" s="113"/>
      <c r="P104" s="88" t="str">
        <f t="shared" si="3"/>
        <v/>
      </c>
      <c r="Q104" s="64" t="str">
        <f t="shared" si="4"/>
        <v/>
      </c>
    </row>
    <row r="105" spans="1:17" x14ac:dyDescent="0.3">
      <c r="A105" s="82">
        <v>103</v>
      </c>
      <c r="I105" s="57" t="s">
        <v>75</v>
      </c>
      <c r="J105" s="113"/>
      <c r="K105" s="113"/>
      <c r="L105" s="113"/>
      <c r="P105" s="88" t="str">
        <f t="shared" si="3"/>
        <v/>
      </c>
      <c r="Q105" s="64" t="str">
        <f t="shared" si="4"/>
        <v/>
      </c>
    </row>
    <row r="106" spans="1:17" x14ac:dyDescent="0.3">
      <c r="A106" s="82">
        <v>104</v>
      </c>
      <c r="I106" s="57" t="s">
        <v>75</v>
      </c>
      <c r="J106" s="113"/>
      <c r="K106" s="113"/>
      <c r="L106" s="113"/>
      <c r="P106" s="88" t="str">
        <f t="shared" si="3"/>
        <v/>
      </c>
      <c r="Q106" s="64" t="str">
        <f t="shared" si="4"/>
        <v/>
      </c>
    </row>
    <row r="107" spans="1:17" x14ac:dyDescent="0.3">
      <c r="A107" s="82">
        <v>105</v>
      </c>
      <c r="I107" s="57" t="s">
        <v>75</v>
      </c>
      <c r="J107" s="113"/>
      <c r="K107" s="113"/>
      <c r="L107" s="113"/>
      <c r="P107" s="88" t="str">
        <f t="shared" si="3"/>
        <v/>
      </c>
      <c r="Q107" s="64" t="str">
        <f t="shared" si="4"/>
        <v/>
      </c>
    </row>
    <row r="108" spans="1:17" x14ac:dyDescent="0.3">
      <c r="A108" s="82">
        <v>106</v>
      </c>
      <c r="I108" s="57" t="s">
        <v>75</v>
      </c>
      <c r="J108" s="113"/>
      <c r="K108" s="113"/>
      <c r="L108" s="113"/>
      <c r="P108" s="88" t="str">
        <f t="shared" si="3"/>
        <v/>
      </c>
      <c r="Q108" s="64" t="str">
        <f t="shared" si="4"/>
        <v/>
      </c>
    </row>
    <row r="109" spans="1:17" x14ac:dyDescent="0.3">
      <c r="A109" s="82">
        <v>107</v>
      </c>
      <c r="I109" s="57" t="s">
        <v>75</v>
      </c>
      <c r="J109" s="113"/>
      <c r="K109" s="113"/>
      <c r="L109" s="113"/>
      <c r="P109" s="88" t="str">
        <f t="shared" si="3"/>
        <v/>
      </c>
      <c r="Q109" s="64" t="str">
        <f t="shared" si="4"/>
        <v/>
      </c>
    </row>
    <row r="110" spans="1:17" x14ac:dyDescent="0.3">
      <c r="A110" s="82">
        <v>108</v>
      </c>
      <c r="I110" s="57" t="s">
        <v>75</v>
      </c>
      <c r="J110" s="113"/>
      <c r="K110" s="113"/>
      <c r="L110" s="113"/>
      <c r="P110" s="88" t="str">
        <f t="shared" si="3"/>
        <v/>
      </c>
      <c r="Q110" s="64" t="str">
        <f t="shared" si="4"/>
        <v/>
      </c>
    </row>
    <row r="111" spans="1:17" x14ac:dyDescent="0.3">
      <c r="A111" s="82">
        <v>109</v>
      </c>
      <c r="I111" s="57" t="s">
        <v>75</v>
      </c>
      <c r="J111" s="113"/>
      <c r="K111" s="113"/>
      <c r="L111" s="113"/>
      <c r="P111" s="88" t="str">
        <f t="shared" si="3"/>
        <v/>
      </c>
      <c r="Q111" s="64" t="str">
        <f t="shared" si="4"/>
        <v/>
      </c>
    </row>
    <row r="112" spans="1:17" x14ac:dyDescent="0.3">
      <c r="A112" s="82">
        <v>110</v>
      </c>
      <c r="I112" s="57" t="s">
        <v>75</v>
      </c>
      <c r="J112" s="113"/>
      <c r="K112" s="113"/>
      <c r="L112" s="113"/>
      <c r="P112" s="88" t="str">
        <f t="shared" si="3"/>
        <v/>
      </c>
      <c r="Q112" s="64" t="str">
        <f t="shared" si="4"/>
        <v/>
      </c>
    </row>
    <row r="113" spans="1:17" x14ac:dyDescent="0.3">
      <c r="A113" s="82">
        <v>111</v>
      </c>
      <c r="I113" s="57" t="s">
        <v>75</v>
      </c>
      <c r="J113" s="113"/>
      <c r="K113" s="113"/>
      <c r="L113" s="113"/>
      <c r="P113" s="88" t="str">
        <f t="shared" si="3"/>
        <v/>
      </c>
      <c r="Q113" s="64" t="str">
        <f t="shared" si="4"/>
        <v/>
      </c>
    </row>
    <row r="114" spans="1:17" x14ac:dyDescent="0.3">
      <c r="A114" s="82">
        <v>112</v>
      </c>
      <c r="I114" s="57" t="s">
        <v>75</v>
      </c>
      <c r="J114" s="113"/>
      <c r="K114" s="113"/>
      <c r="L114" s="113"/>
      <c r="P114" s="88" t="str">
        <f t="shared" si="3"/>
        <v/>
      </c>
      <c r="Q114" s="64" t="str">
        <f t="shared" si="4"/>
        <v/>
      </c>
    </row>
    <row r="115" spans="1:17" x14ac:dyDescent="0.3">
      <c r="A115" s="82">
        <v>113</v>
      </c>
      <c r="I115" s="57" t="s">
        <v>75</v>
      </c>
      <c r="J115" s="113"/>
      <c r="K115" s="113"/>
      <c r="L115" s="113"/>
      <c r="P115" s="88" t="str">
        <f t="shared" si="3"/>
        <v/>
      </c>
      <c r="Q115" s="64" t="str">
        <f t="shared" si="4"/>
        <v/>
      </c>
    </row>
    <row r="116" spans="1:17" x14ac:dyDescent="0.3">
      <c r="A116" s="82">
        <v>114</v>
      </c>
      <c r="I116" s="57" t="s">
        <v>75</v>
      </c>
      <c r="J116" s="113"/>
      <c r="K116" s="113"/>
      <c r="L116" s="113"/>
      <c r="P116" s="88" t="str">
        <f t="shared" si="3"/>
        <v/>
      </c>
      <c r="Q116" s="64" t="str">
        <f t="shared" si="4"/>
        <v/>
      </c>
    </row>
    <row r="117" spans="1:17" x14ac:dyDescent="0.3">
      <c r="A117" s="82">
        <v>115</v>
      </c>
      <c r="I117" s="57" t="s">
        <v>75</v>
      </c>
      <c r="J117" s="113"/>
      <c r="K117" s="113"/>
      <c r="L117" s="113"/>
      <c r="P117" s="88" t="str">
        <f t="shared" si="3"/>
        <v/>
      </c>
      <c r="Q117" s="64" t="str">
        <f t="shared" si="4"/>
        <v/>
      </c>
    </row>
    <row r="118" spans="1:17" x14ac:dyDescent="0.3">
      <c r="A118" s="82">
        <v>116</v>
      </c>
      <c r="I118" s="57" t="s">
        <v>75</v>
      </c>
      <c r="J118" s="113"/>
      <c r="K118" s="113"/>
      <c r="L118" s="113"/>
      <c r="P118" s="88" t="str">
        <f t="shared" si="3"/>
        <v/>
      </c>
      <c r="Q118" s="64" t="str">
        <f t="shared" si="4"/>
        <v/>
      </c>
    </row>
    <row r="119" spans="1:17" x14ac:dyDescent="0.3">
      <c r="A119" s="82">
        <v>117</v>
      </c>
      <c r="I119" s="57" t="s">
        <v>75</v>
      </c>
      <c r="J119" s="113"/>
      <c r="K119" s="113"/>
      <c r="L119" s="113"/>
      <c r="P119" s="88" t="str">
        <f t="shared" si="3"/>
        <v/>
      </c>
      <c r="Q119" s="64" t="str">
        <f t="shared" si="4"/>
        <v/>
      </c>
    </row>
    <row r="120" spans="1:17" x14ac:dyDescent="0.3">
      <c r="A120" s="82">
        <v>118</v>
      </c>
      <c r="I120" s="57" t="s">
        <v>75</v>
      </c>
      <c r="J120" s="113"/>
      <c r="K120" s="113"/>
      <c r="L120" s="113"/>
      <c r="P120" s="88" t="str">
        <f t="shared" si="3"/>
        <v/>
      </c>
      <c r="Q120" s="64" t="str">
        <f t="shared" si="4"/>
        <v/>
      </c>
    </row>
    <row r="121" spans="1:17" x14ac:dyDescent="0.3">
      <c r="A121" s="82">
        <v>119</v>
      </c>
      <c r="I121" s="57" t="s">
        <v>75</v>
      </c>
      <c r="J121" s="113"/>
      <c r="K121" s="113"/>
      <c r="L121" s="113"/>
      <c r="P121" s="88" t="str">
        <f t="shared" si="3"/>
        <v/>
      </c>
      <c r="Q121" s="64" t="str">
        <f t="shared" si="4"/>
        <v/>
      </c>
    </row>
    <row r="122" spans="1:17" x14ac:dyDescent="0.3">
      <c r="A122" s="82">
        <v>120</v>
      </c>
      <c r="I122" s="57" t="s">
        <v>75</v>
      </c>
      <c r="J122" s="113"/>
      <c r="K122" s="113"/>
      <c r="L122" s="113"/>
      <c r="P122" s="88" t="str">
        <f t="shared" si="3"/>
        <v/>
      </c>
      <c r="Q122" s="64" t="str">
        <f t="shared" si="4"/>
        <v/>
      </c>
    </row>
    <row r="123" spans="1:17" x14ac:dyDescent="0.3">
      <c r="A123" s="82">
        <v>121</v>
      </c>
      <c r="I123" s="57" t="s">
        <v>75</v>
      </c>
      <c r="J123" s="113"/>
      <c r="K123" s="113"/>
      <c r="L123" s="113"/>
      <c r="P123" s="88" t="str">
        <f t="shared" si="3"/>
        <v/>
      </c>
      <c r="Q123" s="64" t="str">
        <f t="shared" si="4"/>
        <v/>
      </c>
    </row>
    <row r="124" spans="1:17" x14ac:dyDescent="0.3">
      <c r="A124" s="82">
        <v>122</v>
      </c>
      <c r="I124" s="57" t="s">
        <v>75</v>
      </c>
      <c r="J124" s="113"/>
      <c r="K124" s="113"/>
      <c r="L124" s="113"/>
      <c r="P124" s="88" t="str">
        <f t="shared" si="3"/>
        <v/>
      </c>
      <c r="Q124" s="64" t="str">
        <f t="shared" si="4"/>
        <v/>
      </c>
    </row>
    <row r="125" spans="1:17" x14ac:dyDescent="0.3">
      <c r="A125" s="82">
        <v>123</v>
      </c>
      <c r="I125" s="57" t="s">
        <v>75</v>
      </c>
      <c r="J125" s="113"/>
      <c r="K125" s="113"/>
      <c r="L125" s="113"/>
      <c r="P125" s="88" t="str">
        <f t="shared" si="3"/>
        <v/>
      </c>
      <c r="Q125" s="64" t="str">
        <f t="shared" si="4"/>
        <v/>
      </c>
    </row>
    <row r="126" spans="1:17" x14ac:dyDescent="0.3">
      <c r="A126" s="82">
        <v>124</v>
      </c>
      <c r="I126" s="57" t="s">
        <v>75</v>
      </c>
      <c r="J126" s="113"/>
      <c r="K126" s="113"/>
      <c r="L126" s="113"/>
      <c r="P126" s="88" t="str">
        <f t="shared" si="3"/>
        <v/>
      </c>
      <c r="Q126" s="64" t="str">
        <f t="shared" si="4"/>
        <v/>
      </c>
    </row>
    <row r="127" spans="1:17" x14ac:dyDescent="0.3">
      <c r="A127" s="82">
        <v>125</v>
      </c>
      <c r="I127" s="57" t="s">
        <v>75</v>
      </c>
      <c r="J127" s="113"/>
      <c r="K127" s="113"/>
      <c r="L127" s="113"/>
      <c r="P127" s="88" t="str">
        <f t="shared" si="3"/>
        <v/>
      </c>
      <c r="Q127" s="64" t="str">
        <f t="shared" si="4"/>
        <v/>
      </c>
    </row>
    <row r="128" spans="1:17" x14ac:dyDescent="0.3">
      <c r="A128" s="82">
        <v>126</v>
      </c>
      <c r="I128" s="57" t="s">
        <v>75</v>
      </c>
      <c r="J128" s="113"/>
      <c r="K128" s="113"/>
      <c r="L128" s="113"/>
      <c r="P128" s="88" t="str">
        <f t="shared" si="3"/>
        <v/>
      </c>
      <c r="Q128" s="64" t="str">
        <f t="shared" si="4"/>
        <v/>
      </c>
    </row>
    <row r="129" spans="1:17" x14ac:dyDescent="0.3">
      <c r="A129" s="82">
        <v>127</v>
      </c>
      <c r="I129" s="57" t="s">
        <v>75</v>
      </c>
      <c r="J129" s="113"/>
      <c r="K129" s="113"/>
      <c r="L129" s="113"/>
      <c r="P129" s="88" t="str">
        <f t="shared" si="3"/>
        <v/>
      </c>
      <c r="Q129" s="64" t="str">
        <f t="shared" si="4"/>
        <v/>
      </c>
    </row>
    <row r="130" spans="1:17" x14ac:dyDescent="0.3">
      <c r="A130" s="82">
        <v>128</v>
      </c>
      <c r="I130" s="57" t="s">
        <v>75</v>
      </c>
      <c r="J130" s="113"/>
      <c r="K130" s="113"/>
      <c r="L130" s="113"/>
      <c r="P130" s="88" t="str">
        <f t="shared" si="3"/>
        <v/>
      </c>
      <c r="Q130" s="64" t="str">
        <f t="shared" si="4"/>
        <v/>
      </c>
    </row>
    <row r="131" spans="1:17" x14ac:dyDescent="0.3">
      <c r="A131" s="82">
        <v>129</v>
      </c>
      <c r="I131" s="57" t="s">
        <v>75</v>
      </c>
      <c r="J131" s="113"/>
      <c r="K131" s="113"/>
      <c r="L131" s="113"/>
      <c r="P131" s="88" t="str">
        <f t="shared" si="3"/>
        <v/>
      </c>
      <c r="Q131" s="64" t="str">
        <f t="shared" si="4"/>
        <v/>
      </c>
    </row>
    <row r="132" spans="1:17" x14ac:dyDescent="0.3">
      <c r="A132" s="82">
        <v>130</v>
      </c>
      <c r="I132" s="57" t="s">
        <v>75</v>
      </c>
      <c r="J132" s="113"/>
      <c r="K132" s="113"/>
      <c r="L132" s="113"/>
      <c r="P132" s="88" t="str">
        <f t="shared" ref="P132:P190" si="5">IF(O132="","",LEFT(O132,10)*(-1))</f>
        <v/>
      </c>
      <c r="Q132" s="64" t="str">
        <f t="shared" si="4"/>
        <v/>
      </c>
    </row>
    <row r="133" spans="1:17" x14ac:dyDescent="0.3">
      <c r="A133" s="82">
        <v>131</v>
      </c>
      <c r="I133" s="57" t="s">
        <v>75</v>
      </c>
      <c r="J133" s="113"/>
      <c r="K133" s="113"/>
      <c r="L133" s="113"/>
      <c r="P133" s="88" t="str">
        <f t="shared" si="5"/>
        <v/>
      </c>
      <c r="Q133" s="64" t="str">
        <f t="shared" si="4"/>
        <v/>
      </c>
    </row>
    <row r="134" spans="1:17" x14ac:dyDescent="0.3">
      <c r="A134" s="82">
        <v>132</v>
      </c>
      <c r="I134" s="57" t="s">
        <v>75</v>
      </c>
      <c r="J134" s="113"/>
      <c r="K134" s="113"/>
      <c r="L134" s="113"/>
      <c r="P134" s="88" t="str">
        <f t="shared" si="5"/>
        <v/>
      </c>
      <c r="Q134" s="64" t="str">
        <f t="shared" si="4"/>
        <v/>
      </c>
    </row>
    <row r="135" spans="1:17" x14ac:dyDescent="0.3">
      <c r="A135" s="82">
        <v>133</v>
      </c>
      <c r="I135" s="57" t="s">
        <v>75</v>
      </c>
      <c r="J135" s="113"/>
      <c r="K135" s="113"/>
      <c r="L135" s="113"/>
      <c r="P135" s="88" t="str">
        <f t="shared" si="5"/>
        <v/>
      </c>
      <c r="Q135" s="64" t="str">
        <f t="shared" si="4"/>
        <v/>
      </c>
    </row>
    <row r="136" spans="1:17" x14ac:dyDescent="0.3">
      <c r="A136" s="82">
        <v>134</v>
      </c>
      <c r="I136" s="57" t="s">
        <v>75</v>
      </c>
      <c r="J136" s="113"/>
      <c r="K136" s="113"/>
      <c r="L136" s="113"/>
      <c r="P136" s="88" t="str">
        <f t="shared" si="5"/>
        <v/>
      </c>
      <c r="Q136" s="64" t="str">
        <f t="shared" si="4"/>
        <v/>
      </c>
    </row>
    <row r="137" spans="1:17" x14ac:dyDescent="0.3">
      <c r="A137" s="82">
        <v>135</v>
      </c>
      <c r="I137" s="57" t="s">
        <v>75</v>
      </c>
      <c r="J137" s="113"/>
      <c r="K137" s="113"/>
      <c r="L137" s="113"/>
      <c r="P137" s="88" t="str">
        <f t="shared" si="5"/>
        <v/>
      </c>
      <c r="Q137" s="64" t="str">
        <f t="shared" si="4"/>
        <v/>
      </c>
    </row>
    <row r="138" spans="1:17" x14ac:dyDescent="0.3">
      <c r="A138" s="82">
        <v>136</v>
      </c>
      <c r="I138" s="57" t="s">
        <v>75</v>
      </c>
      <c r="J138" s="113"/>
      <c r="K138" s="113"/>
      <c r="L138" s="113"/>
      <c r="P138" s="88" t="str">
        <f t="shared" si="5"/>
        <v/>
      </c>
      <c r="Q138" s="64" t="str">
        <f t="shared" si="4"/>
        <v/>
      </c>
    </row>
    <row r="139" spans="1:17" x14ac:dyDescent="0.3">
      <c r="A139" s="82">
        <v>137</v>
      </c>
      <c r="I139" s="57" t="s">
        <v>75</v>
      </c>
      <c r="J139" s="113"/>
      <c r="K139" s="113"/>
      <c r="L139" s="113"/>
      <c r="P139" s="88" t="str">
        <f t="shared" si="5"/>
        <v/>
      </c>
      <c r="Q139" s="64" t="str">
        <f t="shared" si="4"/>
        <v/>
      </c>
    </row>
    <row r="140" spans="1:17" x14ac:dyDescent="0.3">
      <c r="A140" s="82">
        <v>138</v>
      </c>
      <c r="I140" s="57" t="s">
        <v>75</v>
      </c>
      <c r="J140" s="113"/>
      <c r="K140" s="113"/>
      <c r="L140" s="113"/>
      <c r="P140" s="88" t="str">
        <f t="shared" si="5"/>
        <v/>
      </c>
      <c r="Q140" s="64" t="str">
        <f t="shared" si="4"/>
        <v/>
      </c>
    </row>
    <row r="141" spans="1:17" x14ac:dyDescent="0.3">
      <c r="A141" s="82">
        <v>139</v>
      </c>
      <c r="I141" s="57" t="s">
        <v>75</v>
      </c>
      <c r="J141" s="113"/>
      <c r="K141" s="113"/>
      <c r="L141" s="113"/>
      <c r="P141" s="88" t="str">
        <f t="shared" si="5"/>
        <v/>
      </c>
      <c r="Q141" s="64" t="str">
        <f t="shared" si="4"/>
        <v/>
      </c>
    </row>
    <row r="142" spans="1:17" x14ac:dyDescent="0.3">
      <c r="A142" s="82">
        <v>140</v>
      </c>
      <c r="I142" s="57" t="s">
        <v>75</v>
      </c>
      <c r="J142" s="113"/>
      <c r="K142" s="113"/>
      <c r="L142" s="113"/>
      <c r="P142" s="88" t="str">
        <f t="shared" si="5"/>
        <v/>
      </c>
      <c r="Q142" s="64" t="str">
        <f t="shared" si="4"/>
        <v/>
      </c>
    </row>
    <row r="143" spans="1:17" x14ac:dyDescent="0.3">
      <c r="A143" s="82">
        <v>141</v>
      </c>
      <c r="I143" s="57" t="s">
        <v>75</v>
      </c>
      <c r="J143" s="113"/>
      <c r="K143" s="113"/>
      <c r="L143" s="113"/>
      <c r="P143" s="88" t="str">
        <f t="shared" si="5"/>
        <v/>
      </c>
      <c r="Q143" s="64" t="str">
        <f t="shared" si="4"/>
        <v/>
      </c>
    </row>
    <row r="144" spans="1:17" x14ac:dyDescent="0.3">
      <c r="A144" s="82">
        <v>142</v>
      </c>
      <c r="I144" s="57" t="s">
        <v>75</v>
      </c>
      <c r="J144" s="113"/>
      <c r="K144" s="113"/>
      <c r="L144" s="113"/>
      <c r="P144" s="88" t="str">
        <f t="shared" si="5"/>
        <v/>
      </c>
      <c r="Q144" s="64" t="str">
        <f t="shared" si="4"/>
        <v/>
      </c>
    </row>
    <row r="145" spans="1:17" x14ac:dyDescent="0.3">
      <c r="A145" s="82">
        <v>143</v>
      </c>
      <c r="I145" s="57" t="s">
        <v>75</v>
      </c>
      <c r="J145" s="113"/>
      <c r="K145" s="113"/>
      <c r="L145" s="113"/>
      <c r="P145" s="88" t="str">
        <f t="shared" si="5"/>
        <v/>
      </c>
      <c r="Q145" s="64" t="str">
        <f t="shared" si="4"/>
        <v/>
      </c>
    </row>
    <row r="146" spans="1:17" x14ac:dyDescent="0.3">
      <c r="A146" s="82">
        <v>144</v>
      </c>
      <c r="I146" s="57" t="s">
        <v>75</v>
      </c>
      <c r="J146" s="113"/>
      <c r="K146" s="113"/>
      <c r="L146" s="113"/>
      <c r="P146" s="88" t="str">
        <f t="shared" si="5"/>
        <v/>
      </c>
      <c r="Q146" s="64" t="str">
        <f t="shared" si="4"/>
        <v/>
      </c>
    </row>
    <row r="147" spans="1:17" x14ac:dyDescent="0.3">
      <c r="A147" s="82">
        <v>145</v>
      </c>
      <c r="I147" s="57" t="s">
        <v>75</v>
      </c>
      <c r="J147" s="113"/>
      <c r="K147" s="113"/>
      <c r="L147" s="113"/>
      <c r="P147" s="88" t="str">
        <f t="shared" si="5"/>
        <v/>
      </c>
      <c r="Q147" s="64" t="str">
        <f t="shared" si="4"/>
        <v/>
      </c>
    </row>
    <row r="148" spans="1:17" x14ac:dyDescent="0.3">
      <c r="A148" s="82">
        <v>146</v>
      </c>
      <c r="I148" s="57" t="s">
        <v>75</v>
      </c>
      <c r="J148" s="113"/>
      <c r="K148" s="113"/>
      <c r="L148" s="113"/>
      <c r="P148" s="88" t="str">
        <f t="shared" si="5"/>
        <v/>
      </c>
      <c r="Q148" s="64" t="str">
        <f t="shared" si="4"/>
        <v/>
      </c>
    </row>
    <row r="149" spans="1:17" x14ac:dyDescent="0.3">
      <c r="A149" s="82">
        <v>147</v>
      </c>
      <c r="I149" s="57" t="s">
        <v>75</v>
      </c>
      <c r="J149" s="113"/>
      <c r="K149" s="113"/>
      <c r="L149" s="113"/>
      <c r="P149" s="88" t="str">
        <f t="shared" si="5"/>
        <v/>
      </c>
      <c r="Q149" s="64" t="str">
        <f t="shared" si="4"/>
        <v/>
      </c>
    </row>
    <row r="150" spans="1:17" x14ac:dyDescent="0.3">
      <c r="A150" s="82">
        <v>148</v>
      </c>
      <c r="I150" s="57" t="s">
        <v>75</v>
      </c>
      <c r="J150" s="113"/>
      <c r="K150" s="113"/>
      <c r="L150" s="113"/>
      <c r="P150" s="88" t="str">
        <f t="shared" si="5"/>
        <v/>
      </c>
      <c r="Q150" s="64" t="str">
        <f t="shared" ref="Q150:Q190" si="6">IF(P150="","",
IF(P150&lt;=0,"Not Due",
IF(P150&lt;=30,"1-30 Days",
IF(P150&lt;=60,"31-60 Days",
"&gt;60 Days"))))</f>
        <v/>
      </c>
    </row>
    <row r="151" spans="1:17" x14ac:dyDescent="0.3">
      <c r="A151" s="82">
        <v>149</v>
      </c>
      <c r="I151" s="57" t="s">
        <v>75</v>
      </c>
      <c r="J151" s="113"/>
      <c r="K151" s="113"/>
      <c r="L151" s="113"/>
      <c r="P151" s="88" t="str">
        <f t="shared" si="5"/>
        <v/>
      </c>
      <c r="Q151" s="64" t="str">
        <f t="shared" si="6"/>
        <v/>
      </c>
    </row>
    <row r="152" spans="1:17" x14ac:dyDescent="0.3">
      <c r="A152" s="82">
        <v>150</v>
      </c>
      <c r="I152" s="57" t="s">
        <v>75</v>
      </c>
      <c r="J152" s="113"/>
      <c r="K152" s="113"/>
      <c r="L152" s="113"/>
      <c r="P152" s="88" t="str">
        <f t="shared" si="5"/>
        <v/>
      </c>
      <c r="Q152" s="64" t="str">
        <f t="shared" si="6"/>
        <v/>
      </c>
    </row>
    <row r="153" spans="1:17" x14ac:dyDescent="0.3">
      <c r="A153" s="82">
        <v>151</v>
      </c>
      <c r="I153" s="57" t="s">
        <v>75</v>
      </c>
      <c r="J153" s="113"/>
      <c r="K153" s="113"/>
      <c r="L153" s="113"/>
      <c r="P153" s="88" t="str">
        <f t="shared" si="5"/>
        <v/>
      </c>
      <c r="Q153" s="64" t="str">
        <f t="shared" si="6"/>
        <v/>
      </c>
    </row>
    <row r="154" spans="1:17" x14ac:dyDescent="0.3">
      <c r="A154" s="82">
        <v>152</v>
      </c>
      <c r="I154" s="57" t="s">
        <v>75</v>
      </c>
      <c r="J154" s="113"/>
      <c r="K154" s="113"/>
      <c r="L154" s="113"/>
      <c r="P154" s="88" t="str">
        <f t="shared" si="5"/>
        <v/>
      </c>
      <c r="Q154" s="64" t="str">
        <f t="shared" si="6"/>
        <v/>
      </c>
    </row>
    <row r="155" spans="1:17" x14ac:dyDescent="0.3">
      <c r="A155" s="82">
        <v>153</v>
      </c>
      <c r="I155" s="57" t="s">
        <v>75</v>
      </c>
      <c r="J155" s="113"/>
      <c r="K155" s="113"/>
      <c r="L155" s="113"/>
      <c r="P155" s="88" t="str">
        <f t="shared" si="5"/>
        <v/>
      </c>
      <c r="Q155" s="64" t="str">
        <f t="shared" si="6"/>
        <v/>
      </c>
    </row>
    <row r="156" spans="1:17" x14ac:dyDescent="0.3">
      <c r="A156" s="82">
        <v>154</v>
      </c>
      <c r="I156" s="57" t="s">
        <v>75</v>
      </c>
      <c r="J156" s="113"/>
      <c r="K156" s="113"/>
      <c r="L156" s="113"/>
      <c r="P156" s="88" t="str">
        <f t="shared" si="5"/>
        <v/>
      </c>
      <c r="Q156" s="64" t="str">
        <f t="shared" si="6"/>
        <v/>
      </c>
    </row>
    <row r="157" spans="1:17" x14ac:dyDescent="0.3">
      <c r="A157" s="82">
        <v>155</v>
      </c>
      <c r="I157" s="57" t="s">
        <v>75</v>
      </c>
      <c r="J157" s="113"/>
      <c r="K157" s="113"/>
      <c r="L157" s="113"/>
      <c r="P157" s="88" t="str">
        <f t="shared" si="5"/>
        <v/>
      </c>
      <c r="Q157" s="64" t="str">
        <f t="shared" si="6"/>
        <v/>
      </c>
    </row>
    <row r="158" spans="1:17" x14ac:dyDescent="0.3">
      <c r="A158" s="82">
        <v>156</v>
      </c>
      <c r="I158" s="57" t="s">
        <v>75</v>
      </c>
      <c r="J158" s="113"/>
      <c r="K158" s="113"/>
      <c r="L158" s="113"/>
      <c r="P158" s="88" t="str">
        <f t="shared" si="5"/>
        <v/>
      </c>
      <c r="Q158" s="64" t="str">
        <f t="shared" si="6"/>
        <v/>
      </c>
    </row>
    <row r="159" spans="1:17" x14ac:dyDescent="0.3">
      <c r="A159" s="82">
        <v>157</v>
      </c>
      <c r="I159" s="57" t="s">
        <v>75</v>
      </c>
      <c r="J159" s="113"/>
      <c r="K159" s="113"/>
      <c r="L159" s="113"/>
      <c r="P159" s="88" t="str">
        <f t="shared" si="5"/>
        <v/>
      </c>
      <c r="Q159" s="64" t="str">
        <f t="shared" si="6"/>
        <v/>
      </c>
    </row>
    <row r="160" spans="1:17" x14ac:dyDescent="0.3">
      <c r="A160" s="82">
        <v>158</v>
      </c>
      <c r="I160" s="57" t="s">
        <v>75</v>
      </c>
      <c r="J160" s="113"/>
      <c r="K160" s="113"/>
      <c r="L160" s="113"/>
      <c r="P160" s="88" t="str">
        <f t="shared" si="5"/>
        <v/>
      </c>
      <c r="Q160" s="64" t="str">
        <f t="shared" si="6"/>
        <v/>
      </c>
    </row>
    <row r="161" spans="1:17" x14ac:dyDescent="0.3">
      <c r="A161" s="82">
        <v>159</v>
      </c>
      <c r="I161" s="57" t="s">
        <v>75</v>
      </c>
      <c r="J161" s="113"/>
      <c r="K161" s="113"/>
      <c r="L161" s="113"/>
      <c r="P161" s="88" t="str">
        <f t="shared" si="5"/>
        <v/>
      </c>
      <c r="Q161" s="64" t="str">
        <f t="shared" si="6"/>
        <v/>
      </c>
    </row>
    <row r="162" spans="1:17" x14ac:dyDescent="0.3">
      <c r="A162" s="82">
        <v>160</v>
      </c>
      <c r="I162" s="57" t="s">
        <v>75</v>
      </c>
      <c r="J162" s="113"/>
      <c r="K162" s="113"/>
      <c r="L162" s="113"/>
      <c r="P162" s="88" t="str">
        <f t="shared" si="5"/>
        <v/>
      </c>
      <c r="Q162" s="64" t="str">
        <f t="shared" si="6"/>
        <v/>
      </c>
    </row>
    <row r="163" spans="1:17" x14ac:dyDescent="0.3">
      <c r="A163" s="82">
        <v>161</v>
      </c>
      <c r="I163" s="57" t="s">
        <v>75</v>
      </c>
      <c r="J163" s="113"/>
      <c r="K163" s="113"/>
      <c r="L163" s="113"/>
      <c r="P163" s="88" t="str">
        <f t="shared" si="5"/>
        <v/>
      </c>
      <c r="Q163" s="64" t="str">
        <f t="shared" si="6"/>
        <v/>
      </c>
    </row>
    <row r="164" spans="1:17" x14ac:dyDescent="0.3">
      <c r="A164" s="82">
        <v>162</v>
      </c>
      <c r="I164" s="57" t="s">
        <v>75</v>
      </c>
      <c r="J164" s="113"/>
      <c r="K164" s="113"/>
      <c r="L164" s="113"/>
      <c r="P164" s="88" t="str">
        <f t="shared" si="5"/>
        <v/>
      </c>
      <c r="Q164" s="64" t="str">
        <f t="shared" si="6"/>
        <v/>
      </c>
    </row>
    <row r="165" spans="1:17" x14ac:dyDescent="0.3">
      <c r="A165" s="82">
        <v>163</v>
      </c>
      <c r="I165" s="57" t="s">
        <v>75</v>
      </c>
      <c r="J165" s="113"/>
      <c r="K165" s="113"/>
      <c r="L165" s="113"/>
      <c r="P165" s="88" t="str">
        <f t="shared" si="5"/>
        <v/>
      </c>
      <c r="Q165" s="64" t="str">
        <f t="shared" si="6"/>
        <v/>
      </c>
    </row>
    <row r="166" spans="1:17" x14ac:dyDescent="0.3">
      <c r="A166" s="82">
        <v>164</v>
      </c>
      <c r="I166" s="57" t="s">
        <v>75</v>
      </c>
      <c r="J166" s="113"/>
      <c r="K166" s="113"/>
      <c r="L166" s="113"/>
      <c r="P166" s="88" t="str">
        <f t="shared" si="5"/>
        <v/>
      </c>
      <c r="Q166" s="64" t="str">
        <f t="shared" si="6"/>
        <v/>
      </c>
    </row>
    <row r="167" spans="1:17" x14ac:dyDescent="0.3">
      <c r="A167" s="82">
        <v>165</v>
      </c>
      <c r="I167" s="57" t="s">
        <v>75</v>
      </c>
      <c r="J167" s="113"/>
      <c r="K167" s="113"/>
      <c r="L167" s="113"/>
      <c r="P167" s="88" t="str">
        <f t="shared" si="5"/>
        <v/>
      </c>
      <c r="Q167" s="64" t="str">
        <f t="shared" si="6"/>
        <v/>
      </c>
    </row>
    <row r="168" spans="1:17" x14ac:dyDescent="0.3">
      <c r="A168" s="82">
        <v>166</v>
      </c>
      <c r="I168" s="57" t="s">
        <v>75</v>
      </c>
      <c r="J168" s="113"/>
      <c r="K168" s="113"/>
      <c r="L168" s="113"/>
      <c r="P168" s="88" t="str">
        <f t="shared" si="5"/>
        <v/>
      </c>
      <c r="Q168" s="64" t="str">
        <f t="shared" si="6"/>
        <v/>
      </c>
    </row>
    <row r="169" spans="1:17" x14ac:dyDescent="0.3">
      <c r="A169" s="82">
        <v>167</v>
      </c>
      <c r="I169" s="57" t="s">
        <v>75</v>
      </c>
      <c r="J169" s="113"/>
      <c r="K169" s="113"/>
      <c r="L169" s="113"/>
      <c r="P169" s="88" t="str">
        <f t="shared" si="5"/>
        <v/>
      </c>
      <c r="Q169" s="64" t="str">
        <f t="shared" si="6"/>
        <v/>
      </c>
    </row>
    <row r="170" spans="1:17" x14ac:dyDescent="0.3">
      <c r="A170" s="82">
        <v>168</v>
      </c>
      <c r="I170" s="57" t="s">
        <v>75</v>
      </c>
      <c r="J170" s="113"/>
      <c r="K170" s="113"/>
      <c r="L170" s="113"/>
      <c r="P170" s="88" t="str">
        <f t="shared" si="5"/>
        <v/>
      </c>
      <c r="Q170" s="64" t="str">
        <f t="shared" si="6"/>
        <v/>
      </c>
    </row>
    <row r="171" spans="1:17" x14ac:dyDescent="0.3">
      <c r="A171" s="82">
        <v>169</v>
      </c>
      <c r="I171" s="57" t="s">
        <v>75</v>
      </c>
      <c r="J171" s="113"/>
      <c r="K171" s="113"/>
      <c r="L171" s="113"/>
      <c r="P171" s="88" t="str">
        <f t="shared" si="5"/>
        <v/>
      </c>
      <c r="Q171" s="64" t="str">
        <f t="shared" si="6"/>
        <v/>
      </c>
    </row>
    <row r="172" spans="1:17" x14ac:dyDescent="0.3">
      <c r="A172" s="82">
        <v>170</v>
      </c>
      <c r="I172" s="57" t="s">
        <v>75</v>
      </c>
      <c r="J172" s="113"/>
      <c r="K172" s="113"/>
      <c r="L172" s="113"/>
      <c r="P172" s="88" t="str">
        <f t="shared" si="5"/>
        <v/>
      </c>
      <c r="Q172" s="64" t="str">
        <f t="shared" si="6"/>
        <v/>
      </c>
    </row>
    <row r="173" spans="1:17" x14ac:dyDescent="0.3">
      <c r="A173" s="82">
        <v>171</v>
      </c>
      <c r="I173" s="57" t="s">
        <v>75</v>
      </c>
      <c r="J173" s="113"/>
      <c r="K173" s="113"/>
      <c r="L173" s="113"/>
      <c r="P173" s="88" t="str">
        <f t="shared" si="5"/>
        <v/>
      </c>
      <c r="Q173" s="64" t="str">
        <f t="shared" si="6"/>
        <v/>
      </c>
    </row>
    <row r="174" spans="1:17" x14ac:dyDescent="0.3">
      <c r="A174" s="82">
        <v>172</v>
      </c>
      <c r="I174" s="57" t="s">
        <v>75</v>
      </c>
      <c r="J174" s="113"/>
      <c r="K174" s="113"/>
      <c r="L174" s="113"/>
      <c r="P174" s="88" t="str">
        <f t="shared" si="5"/>
        <v/>
      </c>
      <c r="Q174" s="64" t="str">
        <f t="shared" si="6"/>
        <v/>
      </c>
    </row>
    <row r="175" spans="1:17" x14ac:dyDescent="0.3">
      <c r="A175" s="82">
        <v>173</v>
      </c>
      <c r="I175" s="57" t="s">
        <v>75</v>
      </c>
      <c r="J175" s="113"/>
      <c r="K175" s="113"/>
      <c r="L175" s="113"/>
      <c r="P175" s="88" t="str">
        <f t="shared" si="5"/>
        <v/>
      </c>
      <c r="Q175" s="64" t="str">
        <f t="shared" si="6"/>
        <v/>
      </c>
    </row>
    <row r="176" spans="1:17" x14ac:dyDescent="0.3">
      <c r="A176" s="82">
        <v>174</v>
      </c>
      <c r="I176" s="57" t="s">
        <v>75</v>
      </c>
      <c r="J176" s="113"/>
      <c r="K176" s="113"/>
      <c r="L176" s="113"/>
      <c r="P176" s="88" t="str">
        <f t="shared" si="5"/>
        <v/>
      </c>
      <c r="Q176" s="64" t="str">
        <f t="shared" si="6"/>
        <v/>
      </c>
    </row>
    <row r="177" spans="1:17" x14ac:dyDescent="0.3">
      <c r="A177" s="82">
        <v>175</v>
      </c>
      <c r="I177" s="57" t="s">
        <v>75</v>
      </c>
      <c r="J177" s="113"/>
      <c r="K177" s="113"/>
      <c r="L177" s="113"/>
      <c r="P177" s="88" t="str">
        <f t="shared" si="5"/>
        <v/>
      </c>
      <c r="Q177" s="64" t="str">
        <f t="shared" si="6"/>
        <v/>
      </c>
    </row>
    <row r="178" spans="1:17" x14ac:dyDescent="0.3">
      <c r="A178" s="82">
        <v>176</v>
      </c>
      <c r="I178" s="57" t="s">
        <v>75</v>
      </c>
      <c r="J178" s="113"/>
      <c r="K178" s="113"/>
      <c r="L178" s="113"/>
      <c r="P178" s="88" t="str">
        <f t="shared" si="5"/>
        <v/>
      </c>
      <c r="Q178" s="64" t="str">
        <f t="shared" si="6"/>
        <v/>
      </c>
    </row>
    <row r="179" spans="1:17" x14ac:dyDescent="0.3">
      <c r="A179" s="82">
        <v>177</v>
      </c>
      <c r="I179" s="57" t="s">
        <v>75</v>
      </c>
      <c r="J179" s="113"/>
      <c r="K179" s="113"/>
      <c r="L179" s="113"/>
      <c r="P179" s="88" t="str">
        <f t="shared" si="5"/>
        <v/>
      </c>
      <c r="Q179" s="64" t="str">
        <f t="shared" si="6"/>
        <v/>
      </c>
    </row>
    <row r="180" spans="1:17" x14ac:dyDescent="0.3">
      <c r="A180" s="82">
        <v>178</v>
      </c>
      <c r="I180" s="57" t="s">
        <v>75</v>
      </c>
      <c r="J180" s="113"/>
      <c r="K180" s="113"/>
      <c r="L180" s="113"/>
      <c r="P180" s="88" t="str">
        <f t="shared" si="5"/>
        <v/>
      </c>
      <c r="Q180" s="64" t="str">
        <f t="shared" si="6"/>
        <v/>
      </c>
    </row>
    <row r="181" spans="1:17" x14ac:dyDescent="0.3">
      <c r="A181" s="82">
        <v>179</v>
      </c>
      <c r="I181" s="57" t="s">
        <v>75</v>
      </c>
      <c r="J181" s="113"/>
      <c r="K181" s="113"/>
      <c r="L181" s="113"/>
      <c r="P181" s="88" t="str">
        <f t="shared" si="5"/>
        <v/>
      </c>
      <c r="Q181" s="64" t="str">
        <f t="shared" si="6"/>
        <v/>
      </c>
    </row>
    <row r="182" spans="1:17" x14ac:dyDescent="0.3">
      <c r="A182" s="82">
        <v>180</v>
      </c>
      <c r="I182" s="57" t="s">
        <v>75</v>
      </c>
      <c r="J182" s="113"/>
      <c r="K182" s="113"/>
      <c r="L182" s="113"/>
      <c r="P182" s="88" t="str">
        <f t="shared" si="5"/>
        <v/>
      </c>
      <c r="Q182" s="64" t="str">
        <f t="shared" si="6"/>
        <v/>
      </c>
    </row>
    <row r="183" spans="1:17" x14ac:dyDescent="0.3">
      <c r="A183" s="82">
        <v>181</v>
      </c>
      <c r="I183" s="57" t="s">
        <v>75</v>
      </c>
      <c r="J183" s="113"/>
      <c r="K183" s="113"/>
      <c r="L183" s="113"/>
      <c r="P183" s="88" t="str">
        <f t="shared" si="5"/>
        <v/>
      </c>
      <c r="Q183" s="64" t="str">
        <f t="shared" si="6"/>
        <v/>
      </c>
    </row>
    <row r="184" spans="1:17" x14ac:dyDescent="0.3">
      <c r="A184" s="82">
        <v>182</v>
      </c>
      <c r="I184" s="57" t="s">
        <v>75</v>
      </c>
      <c r="J184" s="113"/>
      <c r="K184" s="113"/>
      <c r="L184" s="113"/>
      <c r="P184" s="88" t="str">
        <f t="shared" si="5"/>
        <v/>
      </c>
      <c r="Q184" s="64" t="str">
        <f t="shared" si="6"/>
        <v/>
      </c>
    </row>
    <row r="185" spans="1:17" x14ac:dyDescent="0.3">
      <c r="A185" s="82">
        <v>183</v>
      </c>
      <c r="I185" s="57" t="s">
        <v>75</v>
      </c>
      <c r="P185" s="88" t="str">
        <f t="shared" si="5"/>
        <v/>
      </c>
      <c r="Q185" s="64" t="str">
        <f t="shared" si="6"/>
        <v/>
      </c>
    </row>
    <row r="186" spans="1:17" x14ac:dyDescent="0.3">
      <c r="A186" s="82">
        <v>184</v>
      </c>
      <c r="I186" s="57" t="s">
        <v>75</v>
      </c>
      <c r="P186" s="88" t="str">
        <f t="shared" si="5"/>
        <v/>
      </c>
      <c r="Q186" s="64" t="str">
        <f t="shared" si="6"/>
        <v/>
      </c>
    </row>
    <row r="187" spans="1:17" x14ac:dyDescent="0.3">
      <c r="A187" s="82">
        <v>185</v>
      </c>
      <c r="I187" s="57" t="s">
        <v>75</v>
      </c>
      <c r="P187" s="88" t="str">
        <f t="shared" si="5"/>
        <v/>
      </c>
      <c r="Q187" s="64" t="str">
        <f t="shared" si="6"/>
        <v/>
      </c>
    </row>
    <row r="188" spans="1:17" x14ac:dyDescent="0.3">
      <c r="A188" s="82">
        <v>186</v>
      </c>
      <c r="I188" s="57" t="s">
        <v>75</v>
      </c>
      <c r="P188" s="88" t="str">
        <f t="shared" si="5"/>
        <v/>
      </c>
      <c r="Q188" s="64" t="str">
        <f t="shared" si="6"/>
        <v/>
      </c>
    </row>
    <row r="189" spans="1:17" x14ac:dyDescent="0.3">
      <c r="A189" s="82">
        <v>187</v>
      </c>
      <c r="I189" s="57" t="s">
        <v>75</v>
      </c>
      <c r="P189" s="88" t="str">
        <f t="shared" si="5"/>
        <v/>
      </c>
      <c r="Q189" s="64" t="str">
        <f t="shared" si="6"/>
        <v/>
      </c>
    </row>
    <row r="190" spans="1:17" x14ac:dyDescent="0.3">
      <c r="A190" s="82">
        <v>188</v>
      </c>
      <c r="I190" s="57" t="s">
        <v>75</v>
      </c>
      <c r="P190" s="88" t="str">
        <f t="shared" si="5"/>
        <v/>
      </c>
      <c r="Q190" s="64" t="str">
        <f t="shared" si="6"/>
        <v/>
      </c>
    </row>
  </sheetData>
  <mergeCells count="1">
    <mergeCell ref="S8:S9"/>
  </mergeCells>
  <dataValidations count="3">
    <dataValidation type="list" allowBlank="1" showInputMessage="1" showErrorMessage="1" sqref="I3:I190" xr:uid="{F5E53483-A20D-4E87-A9B5-B5471B3B3EB6}">
      <formula1>"High, Medium, Low"</formula1>
    </dataValidation>
    <dataValidation type="list" allowBlank="1" showInputMessage="1" showErrorMessage="1" sqref="M3:M95" xr:uid="{7AD3DA34-5D1C-46B7-9FE3-97057E856F82}">
      <formula1>"Pending, InProgress, Completed, Closed"</formula1>
    </dataValidation>
    <dataValidation type="list" allowBlank="1" showInputMessage="1" showErrorMessage="1" sqref="H3" xr:uid="{24EEDC37-3D93-4164-A346-7969457134EC}">
      <formula1>"Issue, Modification, Information, Change Request, Quotation"</formula1>
    </dataValidation>
  </dataValidations>
  <hyperlinks>
    <hyperlink ref="A1" location="'All clients'!A1" display="&lt;---" xr:uid="{5E3580A9-6BD2-481B-ABBA-5F77B6698F3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49D99-A143-4620-8CED-F19E275CE78C}">
  <dimension ref="A1:V190"/>
  <sheetViews>
    <sheetView topLeftCell="G5" workbookViewId="0">
      <selection activeCell="W9" sqref="W9"/>
    </sheetView>
  </sheetViews>
  <sheetFormatPr defaultRowHeight="15.6" x14ac:dyDescent="0.3"/>
  <cols>
    <col min="2" max="2" width="12.59765625" customWidth="1"/>
    <col min="3" max="3" width="11.796875" customWidth="1"/>
    <col min="4" max="4" width="16.796875" customWidth="1"/>
    <col min="5" max="5" width="10.19921875" customWidth="1"/>
    <col min="6" max="6" width="17.69921875" customWidth="1"/>
    <col min="7" max="7" width="32.09765625" customWidth="1"/>
    <col min="10" max="10" width="13.796875" customWidth="1"/>
    <col min="11" max="11" width="14.09765625" bestFit="1" customWidth="1"/>
    <col min="12" max="12" width="14.796875" customWidth="1"/>
    <col min="13" max="13" width="9.8984375" customWidth="1"/>
    <col min="14" max="14" width="12.296875" customWidth="1"/>
    <col min="15" max="15" width="14.296875" customWidth="1"/>
    <col min="16" max="16" width="8.796875" style="62"/>
    <col min="17" max="17" width="9.3984375" style="62" customWidth="1"/>
    <col min="19" max="22" width="12.59765625" customWidth="1"/>
  </cols>
  <sheetData>
    <row r="1" spans="1:22" x14ac:dyDescent="0.3">
      <c r="A1" s="45" t="s">
        <v>48</v>
      </c>
      <c r="B1" s="46" t="s">
        <v>49</v>
      </c>
      <c r="C1" s="46">
        <f>T7</f>
        <v>9</v>
      </c>
      <c r="D1" s="47" t="s">
        <v>50</v>
      </c>
      <c r="E1" s="48">
        <f>SUM(T3:T4)</f>
        <v>3</v>
      </c>
      <c r="F1" s="49" t="s">
        <v>51</v>
      </c>
      <c r="G1" s="50">
        <f>SUM(T5:T6)</f>
        <v>6</v>
      </c>
      <c r="H1" s="51"/>
      <c r="I1" s="51"/>
      <c r="J1" s="51"/>
      <c r="K1" s="51"/>
      <c r="L1" s="51"/>
      <c r="M1" s="51"/>
      <c r="N1" s="51"/>
      <c r="O1" s="51"/>
    </row>
    <row r="2" spans="1:22" ht="27.6" x14ac:dyDescent="0.3">
      <c r="A2" s="54" t="s">
        <v>52</v>
      </c>
      <c r="B2" s="54" t="s">
        <v>53</v>
      </c>
      <c r="C2" s="54" t="s">
        <v>54</v>
      </c>
      <c r="D2" s="54" t="s">
        <v>55</v>
      </c>
      <c r="E2" s="54" t="s">
        <v>56</v>
      </c>
      <c r="F2" s="54" t="s">
        <v>57</v>
      </c>
      <c r="G2" s="54" t="s">
        <v>58</v>
      </c>
      <c r="H2" s="54" t="s">
        <v>59</v>
      </c>
      <c r="I2" s="54" t="s">
        <v>60</v>
      </c>
      <c r="J2" s="54" t="s">
        <v>61</v>
      </c>
      <c r="K2" s="54" t="s">
        <v>62</v>
      </c>
      <c r="L2" s="54" t="s">
        <v>63</v>
      </c>
      <c r="M2" s="54" t="s">
        <v>64</v>
      </c>
      <c r="N2" s="54" t="s">
        <v>65</v>
      </c>
      <c r="O2" s="54" t="s">
        <v>66</v>
      </c>
      <c r="P2" s="54" t="s">
        <v>67</v>
      </c>
      <c r="Q2" s="54" t="s">
        <v>68</v>
      </c>
    </row>
    <row r="3" spans="1:22" ht="55.2" x14ac:dyDescent="0.3">
      <c r="A3" s="92">
        <v>1</v>
      </c>
      <c r="B3" s="93" t="s">
        <v>1198</v>
      </c>
      <c r="C3" s="93" t="s">
        <v>70</v>
      </c>
      <c r="D3" s="93" t="s">
        <v>1010</v>
      </c>
      <c r="E3" s="93" t="s">
        <v>361</v>
      </c>
      <c r="F3" s="93" t="s">
        <v>1199</v>
      </c>
      <c r="G3" s="93" t="s">
        <v>1200</v>
      </c>
      <c r="H3" s="93" t="s">
        <v>74</v>
      </c>
      <c r="I3" s="57" t="s">
        <v>75</v>
      </c>
      <c r="J3" s="108">
        <v>45840.42083333333</v>
      </c>
      <c r="K3" s="108">
        <v>45929.661805555559</v>
      </c>
      <c r="L3" s="108">
        <v>46086.381944444445</v>
      </c>
      <c r="M3" s="93" t="s">
        <v>76</v>
      </c>
      <c r="N3" s="59" t="str">
        <f>IF(ISBLANK(J3),"",IF(OR(M3="Completed",M3="Closed"),"",IF(H3="Issue",IF(I3="High",WORKDAY(J3,2,DATA!A2:A30),IF(I3="Medium",WORKDAY(J3,14,DATA!A2:A30),IF(OR(I3="Low"),WORKDAY(J3,30,DATA!A2:A30),""))),
"")
))</f>
        <v/>
      </c>
      <c r="O3" s="60" t="str">
        <f ca="1">IF(OR(ISBLANK(#REF!), M3="Completed", M3="Closed", H3&lt;&gt;"Issue"), "",
   (NETWORKDAYS.INTL(TODAY(), N3, 1, DATA!A2:A30) - 1))</f>
        <v/>
      </c>
      <c r="P3" s="78" t="str">
        <f ca="1">IF(O3="","",LEFT(O3,10)*(-1))</f>
        <v/>
      </c>
      <c r="Q3" s="62" t="str">
        <f ca="1">IF(P3="","",
IF(P3&lt;=0,"Not Due",
IF(P3&lt;=30,"1-30 Days",
IF(P3&lt;=60,"31-60 Days",
"&gt;60 Days"))))</f>
        <v/>
      </c>
      <c r="S3" s="63" t="s">
        <v>77</v>
      </c>
      <c r="T3" s="64">
        <f>COUNTIF(M3:M299, "Pending")</f>
        <v>2</v>
      </c>
    </row>
    <row r="4" spans="1:22" ht="27.6" x14ac:dyDescent="0.3">
      <c r="A4" s="92">
        <v>2</v>
      </c>
      <c r="B4" s="93" t="s">
        <v>1201</v>
      </c>
      <c r="C4" s="93" t="s">
        <v>70</v>
      </c>
      <c r="D4" s="93" t="s">
        <v>1010</v>
      </c>
      <c r="E4" s="93" t="s">
        <v>361</v>
      </c>
      <c r="F4" s="93" t="s">
        <v>1202</v>
      </c>
      <c r="G4" s="93" t="s">
        <v>1203</v>
      </c>
      <c r="H4" s="93" t="s">
        <v>74</v>
      </c>
      <c r="I4" s="57" t="s">
        <v>75</v>
      </c>
      <c r="J4" s="108">
        <v>45842.796527777777</v>
      </c>
      <c r="K4" s="108">
        <v>45929.661111111112</v>
      </c>
      <c r="L4" s="108">
        <v>46086.384027777778</v>
      </c>
      <c r="M4" s="93" t="s">
        <v>76</v>
      </c>
      <c r="N4" s="59" t="str">
        <f>IF(ISBLANK(J4),"",IF(OR(M4="Completed",M4="Closed"),"",IF(H4="Issue",IF(I4="High",WORKDAY(J4,2,DATA!A3:A31),IF(I4="Medium",WORKDAY(J4,14,DATA!A3:A31),IF(OR(I4="Low"),WORKDAY(J4,30,DATA!A3:A31),""))),
"")
))</f>
        <v/>
      </c>
      <c r="O4" s="60" t="str">
        <f ca="1">IF(OR(ISBLANK(#REF!), M4="Completed", M4="Closed", H4&lt;&gt;"Issue"), "",
   (NETWORKDAYS.INTL(TODAY(), N4, 1, DATA!A3:A31) - 1))</f>
        <v/>
      </c>
      <c r="P4" s="78" t="str">
        <f t="shared" ref="P4:P67" ca="1" si="0">IF(O4="","",LEFT(O4,10)*(-1))</f>
        <v/>
      </c>
      <c r="Q4" s="62" t="str">
        <f t="shared" ref="Q4:Q67" ca="1" si="1">IF(P4="","",
IF(P4&lt;=0,"Not Due",
IF(P4&lt;=30,"1-30 Days",
IF(P4&lt;=60,"31-60 Days",
"&gt;60 Days"))))</f>
        <v/>
      </c>
      <c r="S4" s="63" t="s">
        <v>80</v>
      </c>
      <c r="T4" s="64">
        <f>COUNTIF(M3:M299, "InProgress")</f>
        <v>1</v>
      </c>
    </row>
    <row r="5" spans="1:22" ht="55.2" x14ac:dyDescent="0.3">
      <c r="A5" s="93">
        <v>3</v>
      </c>
      <c r="B5" s="93" t="s">
        <v>1204</v>
      </c>
      <c r="C5" s="93" t="s">
        <v>70</v>
      </c>
      <c r="D5" s="93" t="s">
        <v>199</v>
      </c>
      <c r="E5" s="93" t="s">
        <v>361</v>
      </c>
      <c r="F5" s="93" t="s">
        <v>1205</v>
      </c>
      <c r="G5" s="93" t="s">
        <v>1206</v>
      </c>
      <c r="H5" s="93" t="s">
        <v>74</v>
      </c>
      <c r="I5" s="57" t="s">
        <v>75</v>
      </c>
      <c r="J5" s="108">
        <v>45853.681944444441</v>
      </c>
      <c r="K5" s="108">
        <v>46071.632638888892</v>
      </c>
      <c r="L5" s="108">
        <v>46086.385416666664</v>
      </c>
      <c r="M5" s="93" t="s">
        <v>76</v>
      </c>
      <c r="N5" s="59" t="str">
        <f>IF(ISBLANK(J5),"",IF(OR(M5="Completed",M5="Closed"),"",IF(H5="Issue",IF(I5="High",WORKDAY(J5,2,DATA!A4:A32),IF(I5="Medium",WORKDAY(J5,14,DATA!A4:A32),IF(OR(I5="Low"),WORKDAY(J5,30,DATA!A4:A32),""))),
"")
))</f>
        <v/>
      </c>
      <c r="O5" s="60" t="str">
        <f ca="1">IF(OR(ISBLANK(#REF!), M5="Completed", M5="Closed", H5&lt;&gt;"Issue"), "",
   (NETWORKDAYS.INTL(TODAY(), N5, 1, DATA!A4:A32) - 1))</f>
        <v/>
      </c>
      <c r="P5" s="78" t="str">
        <f t="shared" ca="1" si="0"/>
        <v/>
      </c>
      <c r="Q5" s="62" t="str">
        <f t="shared" ca="1" si="1"/>
        <v/>
      </c>
      <c r="S5" s="65" t="s">
        <v>85</v>
      </c>
      <c r="T5" s="64">
        <f>COUNTIF(M3:M299, "Completed")</f>
        <v>0</v>
      </c>
    </row>
    <row r="6" spans="1:22" ht="41.4" x14ac:dyDescent="0.3">
      <c r="A6" s="93">
        <v>4</v>
      </c>
      <c r="B6" s="93" t="s">
        <v>1207</v>
      </c>
      <c r="C6" s="93" t="s">
        <v>70</v>
      </c>
      <c r="D6" s="93" t="s">
        <v>1010</v>
      </c>
      <c r="E6" s="93" t="s">
        <v>361</v>
      </c>
      <c r="F6" s="93" t="s">
        <v>1208</v>
      </c>
      <c r="G6" s="93" t="s">
        <v>1209</v>
      </c>
      <c r="H6" s="93" t="s">
        <v>74</v>
      </c>
      <c r="I6" s="57" t="s">
        <v>75</v>
      </c>
      <c r="J6" s="108">
        <v>45873.72152777778</v>
      </c>
      <c r="K6" s="108">
        <v>45929.660416666666</v>
      </c>
      <c r="L6" s="108">
        <v>46086.400000000001</v>
      </c>
      <c r="M6" s="93" t="s">
        <v>76</v>
      </c>
      <c r="N6" s="59" t="str">
        <f>IF(ISBLANK(J6),"",IF(OR(M6="Completed",M6="Closed"),"",IF(H6="Issue",IF(I6="High",WORKDAY(J6,2,DATA!A5:A33),IF(I6="Medium",WORKDAY(J6,14,DATA!A5:A33),IF(OR(I6="Low"),WORKDAY(J6,30,DATA!A5:A33),""))),
"")
))</f>
        <v/>
      </c>
      <c r="O6" s="60" t="str">
        <f ca="1">IF(OR(ISBLANK(#REF!), M6="Completed", M6="Closed", H6&lt;&gt;"Issue"), "",
   (NETWORKDAYS.INTL(TODAY(), N6, 1, DATA!A5:A33) - 1))</f>
        <v/>
      </c>
      <c r="P6" s="78" t="str">
        <f t="shared" ca="1" si="0"/>
        <v/>
      </c>
      <c r="Q6" s="62" t="str">
        <f t="shared" ca="1" si="1"/>
        <v/>
      </c>
      <c r="S6" s="65" t="s">
        <v>76</v>
      </c>
      <c r="T6" s="64">
        <f>COUNTIF(M3:M299, "Closed")</f>
        <v>6</v>
      </c>
    </row>
    <row r="7" spans="1:22" ht="207" x14ac:dyDescent="0.3">
      <c r="A7" s="93">
        <v>5</v>
      </c>
      <c r="B7" s="93" t="s">
        <v>1210</v>
      </c>
      <c r="C7" s="93" t="s">
        <v>70</v>
      </c>
      <c r="D7" s="93" t="s">
        <v>1010</v>
      </c>
      <c r="E7" s="93" t="s">
        <v>361</v>
      </c>
      <c r="F7" s="93" t="s">
        <v>1211</v>
      </c>
      <c r="G7" s="93" t="s">
        <v>1212</v>
      </c>
      <c r="H7" s="93" t="s">
        <v>74</v>
      </c>
      <c r="I7" s="57" t="s">
        <v>75</v>
      </c>
      <c r="J7" s="108">
        <v>45961.681250000001</v>
      </c>
      <c r="K7" s="109"/>
      <c r="L7" s="109"/>
      <c r="M7" s="93" t="s">
        <v>566</v>
      </c>
      <c r="N7" s="59">
        <f>IF(ISBLANK(J7),"",IF(OR(M7="Completed",M7="Closed"),"",IF(H7="Issue",IF(I7="High",WORKDAY(J7,2,DATA!A6:A34),IF(I7="Medium",WORKDAY(J7,14,DATA!A6:A34),IF(OR(I7="Low"),WORKDAY(J7,30,DATA!A6:A34),""))),
"")
))</f>
        <v>45981</v>
      </c>
      <c r="O7" s="60">
        <f ca="1">IF(OR(ISBLANK(#REF!), M7="Completed", M7="Closed", H7&lt;&gt;"Issue"), "",
   (NETWORKDAYS.INTL(TODAY(), N7, 1, DATA!A6:A34) - 1))</f>
        <v>-169</v>
      </c>
      <c r="P7" s="78">
        <f t="shared" ca="1" si="0"/>
        <v>169</v>
      </c>
      <c r="Q7" s="62" t="str">
        <f t="shared" ca="1" si="1"/>
        <v>&gt;60 Days</v>
      </c>
      <c r="S7" s="76" t="s">
        <v>49</v>
      </c>
      <c r="T7" s="64">
        <f>SUM(T3:T6)</f>
        <v>9</v>
      </c>
    </row>
    <row r="8" spans="1:22" ht="27.6" x14ac:dyDescent="0.3">
      <c r="A8" s="93">
        <v>6</v>
      </c>
      <c r="B8" s="93" t="s">
        <v>1213</v>
      </c>
      <c r="C8" s="93" t="s">
        <v>70</v>
      </c>
      <c r="D8" s="93" t="s">
        <v>1010</v>
      </c>
      <c r="E8" s="93" t="s">
        <v>361</v>
      </c>
      <c r="F8" s="93" t="s">
        <v>1214</v>
      </c>
      <c r="G8" s="93" t="s">
        <v>1215</v>
      </c>
      <c r="H8" s="93" t="s">
        <v>74</v>
      </c>
      <c r="I8" s="57" t="s">
        <v>75</v>
      </c>
      <c r="J8" s="108">
        <v>45994.845138888886</v>
      </c>
      <c r="K8" s="108">
        <v>46022.479861111111</v>
      </c>
      <c r="L8" s="108">
        <v>46086.402777777781</v>
      </c>
      <c r="M8" s="93" t="s">
        <v>76</v>
      </c>
      <c r="N8" s="59" t="str">
        <f>IF(ISBLANK(J8),"",IF(OR(M8="Completed",M8="Closed"),"",IF(H8="Issue",IF(I8="High",WORKDAY(J8,2,DATA!A7:A35),IF(I8="Medium",WORKDAY(J8,14,DATA!A7:A35),IF(OR(I8="Low"),WORKDAY(J8,30,DATA!A7:A35),""))),
"")
))</f>
        <v/>
      </c>
      <c r="O8" s="60" t="str">
        <f ca="1">IF(OR(ISBLANK(#REF!), M8="Completed", M8="Closed", H8&lt;&gt;"Issue"), "",
   (NETWORKDAYS.INTL(TODAY(), N8, 1, DATA!A7:A35) - 1))</f>
        <v/>
      </c>
      <c r="P8" s="78" t="str">
        <f t="shared" ca="1" si="0"/>
        <v/>
      </c>
      <c r="Q8" s="62" t="str">
        <f t="shared" ca="1" si="1"/>
        <v/>
      </c>
      <c r="S8" s="139" t="s">
        <v>66</v>
      </c>
      <c r="T8" s="90" t="s">
        <v>94</v>
      </c>
      <c r="U8" s="90" t="s">
        <v>95</v>
      </c>
      <c r="V8" s="90" t="s">
        <v>96</v>
      </c>
    </row>
    <row r="9" spans="1:22" ht="151.80000000000001" x14ac:dyDescent="0.3">
      <c r="A9" s="93">
        <v>7</v>
      </c>
      <c r="B9" s="93" t="s">
        <v>1216</v>
      </c>
      <c r="C9" s="79"/>
      <c r="D9" s="93" t="s">
        <v>1010</v>
      </c>
      <c r="E9" s="93" t="s">
        <v>361</v>
      </c>
      <c r="F9" s="93" t="s">
        <v>1217</v>
      </c>
      <c r="G9" s="93" t="s">
        <v>1218</v>
      </c>
      <c r="H9" s="93" t="s">
        <v>74</v>
      </c>
      <c r="I9" s="57" t="s">
        <v>75</v>
      </c>
      <c r="J9" s="108">
        <v>46002.522222222222</v>
      </c>
      <c r="K9" s="109"/>
      <c r="L9" s="109"/>
      <c r="M9" s="93" t="s">
        <v>77</v>
      </c>
      <c r="N9" s="59">
        <f>IF(ISBLANK(J9),"",IF(OR(M9="Completed",M9="Closed"),"",IF(H9="Issue",IF(I9="High",WORKDAY(J9,2,DATA!A8:A36),IF(I9="Medium",WORKDAY(J9,14,DATA!A8:A36),IF(OR(I9="Low"),WORKDAY(J9,30,DATA!A8:A36),""))),
"")
))</f>
        <v>46022</v>
      </c>
      <c r="O9" s="60">
        <f ca="1">IF(OR(ISBLANK(#REF!), M9="Completed", M9="Closed", H9&lt;&gt;"Issue"), "",
   (NETWORKDAYS.INTL(TODAY(), N9, 1, DATA!A8:A36) - 1))</f>
        <v>-142</v>
      </c>
      <c r="P9" s="78">
        <f t="shared" ca="1" si="0"/>
        <v>142</v>
      </c>
      <c r="Q9" s="62" t="str">
        <f t="shared" ca="1" si="1"/>
        <v>&gt;60 Days</v>
      </c>
      <c r="S9" s="139"/>
      <c r="T9" s="70">
        <f ca="1">COUNTIFS(P3:P277,"&gt;=1",P3:P277,"&lt;=30")</f>
        <v>0</v>
      </c>
      <c r="U9" s="70">
        <f ca="1">COUNTIFS(P3:P277,"&gt;=31",P3:P277,"&lt;=60")</f>
        <v>0</v>
      </c>
      <c r="V9" s="70">
        <f ca="1">COUNTIFS(P3:P277,"&gt;60")</f>
        <v>3</v>
      </c>
    </row>
    <row r="10" spans="1:22" ht="55.2" x14ac:dyDescent="0.3">
      <c r="A10" s="93">
        <v>8</v>
      </c>
      <c r="B10" s="93" t="s">
        <v>1219</v>
      </c>
      <c r="C10" s="93" t="s">
        <v>70</v>
      </c>
      <c r="D10" s="93" t="s">
        <v>1010</v>
      </c>
      <c r="E10" s="93" t="s">
        <v>361</v>
      </c>
      <c r="F10" s="93" t="s">
        <v>1220</v>
      </c>
      <c r="G10" s="93" t="s">
        <v>1221</v>
      </c>
      <c r="H10" s="93" t="s">
        <v>74</v>
      </c>
      <c r="I10" s="57" t="s">
        <v>75</v>
      </c>
      <c r="J10" s="108">
        <v>46043.742361111108</v>
      </c>
      <c r="K10" s="108">
        <v>46078.683333333334</v>
      </c>
      <c r="L10" s="108">
        <v>46078.683333333334</v>
      </c>
      <c r="M10" s="93" t="s">
        <v>76</v>
      </c>
      <c r="N10" s="59" t="str">
        <f>IF(ISBLANK(J10),"",IF(OR(M10="Completed",M10="Closed"),"",IF(H10="Issue",IF(I10="High",WORKDAY(J10,2,DATA!A9:A37),IF(I10="Medium",WORKDAY(J10,14,DATA!A9:A37),IF(OR(I10="Low"),WORKDAY(J10,30,DATA!A9:A37),""))),
"")
))</f>
        <v/>
      </c>
      <c r="O10" s="60" t="str">
        <f ca="1">IF(OR(ISBLANK(#REF!), M10="Completed", M10="Closed", H10&lt;&gt;"Issue"), "",
   (NETWORKDAYS.INTL(TODAY(), N10, 1, DATA!A9:A37) - 1))</f>
        <v/>
      </c>
      <c r="P10" s="78" t="str">
        <f t="shared" ca="1" si="0"/>
        <v/>
      </c>
      <c r="Q10" s="62" t="str">
        <f t="shared" ca="1" si="1"/>
        <v/>
      </c>
    </row>
    <row r="11" spans="1:22" ht="207" x14ac:dyDescent="0.3">
      <c r="A11" s="93">
        <v>9</v>
      </c>
      <c r="B11" s="93" t="s">
        <v>1222</v>
      </c>
      <c r="C11" s="79"/>
      <c r="D11" s="93" t="s">
        <v>1223</v>
      </c>
      <c r="E11" s="93" t="s">
        <v>361</v>
      </c>
      <c r="F11" s="93" t="s">
        <v>1224</v>
      </c>
      <c r="G11" s="93" t="s">
        <v>1225</v>
      </c>
      <c r="H11" s="93" t="s">
        <v>74</v>
      </c>
      <c r="I11" s="57" t="s">
        <v>75</v>
      </c>
      <c r="J11" s="108">
        <v>46118.624305555553</v>
      </c>
      <c r="K11" s="109"/>
      <c r="L11" s="109"/>
      <c r="M11" s="93" t="s">
        <v>77</v>
      </c>
      <c r="N11" s="59">
        <f>IF(ISBLANK(J11),"",IF(OR(M11="Completed",M11="Closed"),"",IF(H11="Issue",IF(I11="High",WORKDAY(J11,2,DATA!A10:A38),IF(I11="Medium",WORKDAY(J11,14,DATA!A10:A38),IF(OR(I11="Low"),WORKDAY(J11,30,DATA!A10:A38),""))),
"")
))</f>
        <v>46136</v>
      </c>
      <c r="O11" s="60">
        <f ca="1">IF(OR(ISBLANK(#REF!), M11="Completed", M11="Closed", H11&lt;&gt;"Issue"), "",
   (NETWORKDAYS.INTL(TODAY(), N11, 1, DATA!A10:A38) - 1))</f>
        <v>-63</v>
      </c>
      <c r="P11" s="78">
        <f t="shared" ca="1" si="0"/>
        <v>63</v>
      </c>
      <c r="Q11" s="62" t="str">
        <f t="shared" ca="1" si="1"/>
        <v>&gt;60 Days</v>
      </c>
    </row>
    <row r="12" spans="1:22" x14ac:dyDescent="0.3">
      <c r="A12" s="57"/>
      <c r="B12" s="57"/>
      <c r="C12" s="57"/>
      <c r="D12" s="57"/>
      <c r="E12" s="57"/>
      <c r="F12" s="57"/>
      <c r="G12" s="57"/>
      <c r="H12" s="57"/>
      <c r="I12" s="57" t="s">
        <v>75</v>
      </c>
      <c r="J12" s="100"/>
      <c r="K12" s="100"/>
      <c r="L12" s="100"/>
      <c r="M12" s="57"/>
      <c r="N12" s="59" t="str">
        <f>IF(ISBLANK(J12),"",IF(OR(M12="Completed",M12="Closed"),"",IF(H12="Issue",IF(I12="High",WORKDAY(J12,2,DATA!A11:A39),IF(I12="Medium",WORKDAY(J12,14,DATA!A11:A39),IF(OR(I12="Low"),WORKDAY(J12,30,DATA!A11:A39),""))),
"")
))</f>
        <v/>
      </c>
      <c r="O12" s="60" t="str">
        <f ca="1">IF(OR(ISBLANK(#REF!), M12="Completed", M12="Closed", H12&lt;&gt;"Issue"), "",
   (NETWORKDAYS.INTL(TODAY(), N12, 1, DATA!A11:A39) - 1))</f>
        <v/>
      </c>
      <c r="P12" s="78" t="str">
        <f t="shared" ca="1" si="0"/>
        <v/>
      </c>
      <c r="Q12" s="62" t="str">
        <f t="shared" ca="1" si="1"/>
        <v/>
      </c>
    </row>
    <row r="13" spans="1:22" x14ac:dyDescent="0.3">
      <c r="A13" s="57"/>
      <c r="B13" s="57"/>
      <c r="C13" s="57"/>
      <c r="D13" s="57"/>
      <c r="E13" s="57"/>
      <c r="F13" s="57"/>
      <c r="G13" s="57"/>
      <c r="H13" s="57"/>
      <c r="I13" s="57" t="s">
        <v>75</v>
      </c>
      <c r="J13" s="100"/>
      <c r="K13" s="100"/>
      <c r="L13" s="100"/>
      <c r="M13" s="57"/>
      <c r="N13" s="59" t="str">
        <f>IF(ISBLANK(J13),"",IF(OR(M13="Completed",M13="Closed"),"",IF(H13="Issue",IF(I13="High",WORKDAY(J13,2,DATA!A12:A40),IF(I13="Medium",WORKDAY(J13,14,DATA!A12:A40),IF(OR(I13="Low"),WORKDAY(J13,30,DATA!A12:A40),""))),
"")
))</f>
        <v/>
      </c>
      <c r="O13" s="60" t="str">
        <f ca="1">IF(OR(ISBLANK(#REF!), M13="Completed", M13="Closed", H13&lt;&gt;"Issue"), "",
   (NETWORKDAYS.INTL(TODAY(), N13, 1, DATA!A12:A40) - 1))</f>
        <v/>
      </c>
      <c r="P13" s="78" t="str">
        <f t="shared" ca="1" si="0"/>
        <v/>
      </c>
      <c r="Q13" s="62" t="str">
        <f t="shared" ca="1" si="1"/>
        <v/>
      </c>
    </row>
    <row r="14" spans="1:22" x14ac:dyDescent="0.3">
      <c r="A14" s="57"/>
      <c r="B14" s="57"/>
      <c r="C14" s="57"/>
      <c r="D14" s="57"/>
      <c r="E14" s="57"/>
      <c r="F14" s="57"/>
      <c r="G14" s="57"/>
      <c r="H14" s="57"/>
      <c r="I14" s="57" t="s">
        <v>75</v>
      </c>
      <c r="J14" s="100"/>
      <c r="K14" s="100"/>
      <c r="L14" s="100"/>
      <c r="M14" s="57"/>
      <c r="N14" s="59" t="str">
        <f>IF(ISBLANK(J14),"",IF(OR(M14="Completed",M14="Closed"),"",IF(H14="Issue",IF(I14="High",WORKDAY(J14,2,DATA!A13:A41),IF(I14="Medium",WORKDAY(J14,14,DATA!A13:A41),IF(OR(I14="Low"),WORKDAY(J14,30,DATA!A13:A41),""))),
"")
))</f>
        <v/>
      </c>
      <c r="O14" s="60" t="str">
        <f ca="1">IF(OR(ISBLANK(#REF!), M14="Completed", M14="Closed", H14&lt;&gt;"Issue"), "",
   (NETWORKDAYS.INTL(TODAY(), N14, 1, DATA!A13:A41) - 1))</f>
        <v/>
      </c>
      <c r="P14" s="78" t="str">
        <f t="shared" ca="1" si="0"/>
        <v/>
      </c>
      <c r="Q14" s="62" t="str">
        <f t="shared" ca="1" si="1"/>
        <v/>
      </c>
    </row>
    <row r="15" spans="1:22" x14ac:dyDescent="0.3">
      <c r="A15" s="57"/>
      <c r="B15" s="57"/>
      <c r="C15" s="57"/>
      <c r="D15" s="57"/>
      <c r="E15" s="57"/>
      <c r="F15" s="57"/>
      <c r="G15" s="57"/>
      <c r="H15" s="57"/>
      <c r="I15" s="57" t="s">
        <v>75</v>
      </c>
      <c r="J15" s="100"/>
      <c r="K15" s="101"/>
      <c r="L15" s="101"/>
      <c r="M15" s="57"/>
      <c r="N15" s="59" t="str">
        <f>IF(ISBLANK(J15),"",IF(OR(M15="Completed",M15="Closed"),"",IF(H15="Issue",IF(I15="High",WORKDAY(J15,2,DATA!A14:A42),IF(I15="Medium",WORKDAY(J15,14,DATA!A14:A42),IF(OR(I15="Low"),WORKDAY(J15,30,DATA!A14:A42),""))),
"")
))</f>
        <v/>
      </c>
      <c r="O15" s="60" t="str">
        <f ca="1">IF(OR(ISBLANK(#REF!), M15="Completed", M15="Closed", H15&lt;&gt;"Issue"), "",
   (NETWORKDAYS.INTL(TODAY(), N15, 1, DATA!A14:A42) - 1))</f>
        <v/>
      </c>
      <c r="P15" s="78" t="str">
        <f t="shared" ca="1" si="0"/>
        <v/>
      </c>
      <c r="Q15" s="62" t="str">
        <f t="shared" ca="1" si="1"/>
        <v/>
      </c>
    </row>
    <row r="16" spans="1:22" x14ac:dyDescent="0.3">
      <c r="A16" s="57"/>
      <c r="B16" s="57"/>
      <c r="C16" s="57"/>
      <c r="D16" s="57"/>
      <c r="E16" s="57"/>
      <c r="F16" s="57"/>
      <c r="G16" s="57"/>
      <c r="H16" s="57"/>
      <c r="I16" s="57" t="s">
        <v>75</v>
      </c>
      <c r="J16" s="100"/>
      <c r="K16" s="100"/>
      <c r="L16" s="100"/>
      <c r="M16" s="57"/>
      <c r="N16" s="59" t="str">
        <f>IF(ISBLANK(J16),"",IF(OR(M16="Completed",M16="Closed"),"",IF(H16="Issue",IF(I16="High",WORKDAY(J16,2,DATA!A15:A43),IF(I16="Medium",WORKDAY(J16,14,DATA!A15:A43),IF(OR(I16="Low"),WORKDAY(J16,30,DATA!A15:A43),""))),
"")
))</f>
        <v/>
      </c>
      <c r="O16" s="60" t="str">
        <f ca="1">IF(OR(ISBLANK(#REF!), M16="Completed", M16="Closed", H16&lt;&gt;"Issue"), "",
   (NETWORKDAYS.INTL(TODAY(), N16, 1, DATA!A15:A43) - 1))</f>
        <v/>
      </c>
      <c r="P16" s="78" t="str">
        <f t="shared" ca="1" si="0"/>
        <v/>
      </c>
      <c r="Q16" s="62" t="str">
        <f t="shared" ca="1" si="1"/>
        <v/>
      </c>
    </row>
    <row r="17" spans="1:17" x14ac:dyDescent="0.3">
      <c r="A17" s="57"/>
      <c r="B17" s="57"/>
      <c r="C17" s="57"/>
      <c r="D17" s="57"/>
      <c r="E17" s="57"/>
      <c r="F17" s="57"/>
      <c r="G17" s="57"/>
      <c r="H17" s="57"/>
      <c r="I17" s="57" t="s">
        <v>75</v>
      </c>
      <c r="J17" s="100"/>
      <c r="K17" s="100"/>
      <c r="L17" s="100"/>
      <c r="M17" s="57"/>
      <c r="N17" s="59" t="str">
        <f>IF(ISBLANK(J17),"",IF(OR(M17="Completed",M17="Closed"),"",IF(H17="Issue",IF(I17="High",WORKDAY(J17,2,DATA!A16:A44),IF(I17="Medium",WORKDAY(J17,14,DATA!A16:A44),IF(OR(I17="Low"),WORKDAY(J17,30,DATA!A16:A44),""))),
"")
))</f>
        <v/>
      </c>
      <c r="O17" s="60" t="str">
        <f ca="1">IF(OR(ISBLANK(#REF!), M17="Completed", M17="Closed", H17&lt;&gt;"Issue"), "",
   (NETWORKDAYS.INTL(TODAY(), N17, 1, DATA!A16:A44) - 1))</f>
        <v/>
      </c>
      <c r="P17" s="78" t="str">
        <f t="shared" ca="1" si="0"/>
        <v/>
      </c>
      <c r="Q17" s="62" t="str">
        <f t="shared" ca="1" si="1"/>
        <v/>
      </c>
    </row>
    <row r="18" spans="1:17" x14ac:dyDescent="0.3">
      <c r="A18" s="57"/>
      <c r="B18" s="57"/>
      <c r="C18" s="57"/>
      <c r="D18" s="57"/>
      <c r="E18" s="57"/>
      <c r="F18" s="57"/>
      <c r="G18" s="57"/>
      <c r="H18" s="57"/>
      <c r="I18" s="57" t="s">
        <v>75</v>
      </c>
      <c r="J18" s="100"/>
      <c r="K18" s="101"/>
      <c r="L18" s="101"/>
      <c r="M18" s="57"/>
      <c r="N18" s="59" t="str">
        <f>IF(ISBLANK(J18),"",IF(OR(M18="Completed",M18="Closed"),"",IF(H18="Issue",IF(I18="High",WORKDAY(J18,2,DATA!A17:A45),IF(I18="Medium",WORKDAY(J18,14,DATA!A17:A45),IF(OR(I18="Low"),WORKDAY(J18,30,DATA!A17:A45),""))),
"")
))</f>
        <v/>
      </c>
      <c r="O18" s="60" t="str">
        <f ca="1">IF(OR(ISBLANK(#REF!), M18="Completed", M18="Closed", H18&lt;&gt;"Issue"), "",
   (NETWORKDAYS.INTL(TODAY(), N18, 1, DATA!A17:A45) - 1))</f>
        <v/>
      </c>
      <c r="P18" s="78" t="str">
        <f t="shared" ca="1" si="0"/>
        <v/>
      </c>
      <c r="Q18" s="62" t="str">
        <f t="shared" ca="1" si="1"/>
        <v/>
      </c>
    </row>
    <row r="19" spans="1:17" x14ac:dyDescent="0.3">
      <c r="A19" s="57"/>
      <c r="B19" s="57"/>
      <c r="C19" s="57"/>
      <c r="D19" s="57"/>
      <c r="E19" s="57"/>
      <c r="F19" s="57"/>
      <c r="G19" s="57"/>
      <c r="H19" s="57"/>
      <c r="I19" s="57" t="s">
        <v>75</v>
      </c>
      <c r="J19" s="100"/>
      <c r="K19" s="100"/>
      <c r="L19" s="100"/>
      <c r="M19" s="57"/>
      <c r="N19" s="59" t="str">
        <f>IF(ISBLANK(J19),"",IF(OR(M19="Completed",M19="Closed"),"",IF(H19="Issue",IF(I19="High",WORKDAY(J19,2,DATA!A18:A46),IF(I19="Medium",WORKDAY(J19,14,DATA!A18:A46),IF(OR(I19="Low"),WORKDAY(J19,30,DATA!A18:A46),""))),
"")
))</f>
        <v/>
      </c>
      <c r="O19" s="60" t="str">
        <f ca="1">IF(OR(ISBLANK(#REF!), M19="Completed", M19="Closed", H19&lt;&gt;"Issue"), "",
   (NETWORKDAYS.INTL(TODAY(), N19, 1, DATA!A18:A46) - 1))</f>
        <v/>
      </c>
      <c r="P19" s="78" t="str">
        <f t="shared" ca="1" si="0"/>
        <v/>
      </c>
      <c r="Q19" s="62" t="str">
        <f t="shared" ca="1" si="1"/>
        <v/>
      </c>
    </row>
    <row r="20" spans="1:17" x14ac:dyDescent="0.3">
      <c r="A20" s="57"/>
      <c r="B20" s="57"/>
      <c r="C20" s="57"/>
      <c r="D20" s="57"/>
      <c r="E20" s="57"/>
      <c r="F20" s="57"/>
      <c r="G20" s="57"/>
      <c r="H20" s="57"/>
      <c r="I20" s="57" t="s">
        <v>75</v>
      </c>
      <c r="J20" s="100"/>
      <c r="K20" s="100"/>
      <c r="L20" s="100"/>
      <c r="M20" s="57"/>
      <c r="N20" s="59" t="str">
        <f>IF(ISBLANK(J20),"",IF(OR(M20="Completed",M20="Closed"),"",IF(H20="Issue",IF(I20="High",WORKDAY(J20,2,DATA!A19:A47),IF(I20="Medium",WORKDAY(J20,14,DATA!A19:A47),IF(OR(I20="Low"),WORKDAY(J20,30,DATA!A19:A47),""))),
"")
))</f>
        <v/>
      </c>
      <c r="O20" s="60" t="str">
        <f ca="1">IF(OR(ISBLANK(#REF!), M20="Completed", M20="Closed", H20&lt;&gt;"Issue"), "",
   (NETWORKDAYS.INTL(TODAY(), N20, 1, DATA!A19:A47) - 1))</f>
        <v/>
      </c>
      <c r="P20" s="78" t="str">
        <f t="shared" ca="1" si="0"/>
        <v/>
      </c>
      <c r="Q20" s="62" t="str">
        <f t="shared" ca="1" si="1"/>
        <v/>
      </c>
    </row>
    <row r="21" spans="1:17" x14ac:dyDescent="0.3">
      <c r="A21" s="57"/>
      <c r="B21" s="57"/>
      <c r="C21" s="57"/>
      <c r="D21" s="57"/>
      <c r="E21" s="57"/>
      <c r="F21" s="57"/>
      <c r="G21" s="57"/>
      <c r="H21" s="57"/>
      <c r="I21" s="57" t="s">
        <v>75</v>
      </c>
      <c r="J21" s="100"/>
      <c r="K21" s="100"/>
      <c r="L21" s="100"/>
      <c r="M21" s="57"/>
      <c r="N21" s="59" t="str">
        <f>IF(ISBLANK(J21),"",IF(OR(M21="Completed",M21="Closed"),"",IF(H21="Issue",IF(I21="High",WORKDAY(J21,2,DATA!A20:A48),IF(I21="Medium",WORKDAY(J21,14,DATA!A20:A48),IF(OR(I21="Low"),WORKDAY(J21,30,DATA!A20:A48),""))),
"")
))</f>
        <v/>
      </c>
      <c r="O21" s="60" t="str">
        <f ca="1">IF(OR(ISBLANK(#REF!), M21="Completed", M21="Closed", H21&lt;&gt;"Issue"), "",
   (NETWORKDAYS.INTL(TODAY(), N21, 1, DATA!A20:A48) - 1))</f>
        <v/>
      </c>
      <c r="P21" s="78" t="str">
        <f t="shared" ca="1" si="0"/>
        <v/>
      </c>
      <c r="Q21" s="62" t="str">
        <f t="shared" ca="1" si="1"/>
        <v/>
      </c>
    </row>
    <row r="22" spans="1:17" x14ac:dyDescent="0.3">
      <c r="A22" s="57"/>
      <c r="B22" s="57"/>
      <c r="C22" s="57"/>
      <c r="D22" s="57"/>
      <c r="E22" s="57"/>
      <c r="F22" s="57"/>
      <c r="G22" s="57"/>
      <c r="H22" s="57"/>
      <c r="I22" s="57" t="s">
        <v>75</v>
      </c>
      <c r="J22" s="100"/>
      <c r="K22" s="101"/>
      <c r="L22" s="101"/>
      <c r="M22" s="57"/>
      <c r="N22" s="59" t="str">
        <f>IF(ISBLANK(J22),"",IF(OR(M22="Completed",M22="Closed"),"",IF(H22="Issue",IF(I22="High",WORKDAY(J22,2,DATA!A21:A49),IF(I22="Medium",WORKDAY(J22,14,DATA!A21:A49),IF(OR(I22="Low"),WORKDAY(J22,30,DATA!A21:A49),""))),
"")
))</f>
        <v/>
      </c>
      <c r="O22" s="60" t="str">
        <f ca="1">IF(OR(ISBLANK(#REF!), M22="Completed", M22="Closed", H22&lt;&gt;"Issue"), "",
   (NETWORKDAYS.INTL(TODAY(), N22, 1, DATA!A21:A49) - 1))</f>
        <v/>
      </c>
      <c r="P22" s="78" t="str">
        <f t="shared" ca="1" si="0"/>
        <v/>
      </c>
      <c r="Q22" s="62" t="str">
        <f t="shared" ca="1" si="1"/>
        <v/>
      </c>
    </row>
    <row r="23" spans="1:17" x14ac:dyDescent="0.3">
      <c r="A23" s="57"/>
      <c r="B23" s="57"/>
      <c r="C23" s="57"/>
      <c r="D23" s="57"/>
      <c r="E23" s="57"/>
      <c r="F23" s="57"/>
      <c r="G23" s="57"/>
      <c r="H23" s="57"/>
      <c r="I23" s="57" t="s">
        <v>75</v>
      </c>
      <c r="J23" s="100"/>
      <c r="K23" s="101"/>
      <c r="L23" s="101"/>
      <c r="M23" s="57"/>
      <c r="N23" s="59" t="str">
        <f>IF(ISBLANK(J23),"",IF(OR(M23="Completed",M23="Closed"),"",IF(H23="Issue",IF(I23="High",WORKDAY(J23,2,DATA!A22:A50),IF(I23="Medium",WORKDAY(J23,14,DATA!A22:A50),IF(OR(I23="Low"),WORKDAY(J23,30,DATA!A22:A50),""))),
"")
))</f>
        <v/>
      </c>
      <c r="O23" s="60" t="str">
        <f ca="1">IF(OR(ISBLANK(#REF!), M23="Completed", M23="Closed", H23&lt;&gt;"Issue"), "",
   (NETWORKDAYS.INTL(TODAY(), N23, 1, DATA!A22:A50) - 1))</f>
        <v/>
      </c>
      <c r="P23" s="78" t="str">
        <f t="shared" ca="1" si="0"/>
        <v/>
      </c>
      <c r="Q23" s="62" t="str">
        <f t="shared" ca="1" si="1"/>
        <v/>
      </c>
    </row>
    <row r="24" spans="1:17" x14ac:dyDescent="0.3">
      <c r="A24" s="57"/>
      <c r="B24" s="57"/>
      <c r="C24" s="57"/>
      <c r="D24" s="57"/>
      <c r="E24" s="57"/>
      <c r="F24" s="57"/>
      <c r="G24" s="57"/>
      <c r="H24" s="57"/>
      <c r="I24" s="57" t="s">
        <v>75</v>
      </c>
      <c r="J24" s="100"/>
      <c r="K24" s="101"/>
      <c r="L24" s="101"/>
      <c r="M24" s="57"/>
      <c r="N24" s="59" t="str">
        <f>IF(ISBLANK(J24),"",IF(OR(M24="Completed",M24="Closed"),"",IF(H24="Issue",IF(I24="High",WORKDAY(J24,2,DATA!A23:A51),IF(I24="Medium",WORKDAY(J24,14,DATA!A23:A51),IF(OR(I24="Low"),WORKDAY(J24,30,DATA!A23:A51),""))),
"")
))</f>
        <v/>
      </c>
      <c r="O24" s="60" t="str">
        <f ca="1">IF(OR(ISBLANK(#REF!), M24="Completed", M24="Closed", H24&lt;&gt;"Issue"), "",
   (NETWORKDAYS.INTL(TODAY(), N24, 1, DATA!A23:A51) - 1))</f>
        <v/>
      </c>
      <c r="P24" s="78" t="str">
        <f t="shared" ca="1" si="0"/>
        <v/>
      </c>
      <c r="Q24" s="62" t="str">
        <f t="shared" ca="1" si="1"/>
        <v/>
      </c>
    </row>
    <row r="25" spans="1:17" x14ac:dyDescent="0.3">
      <c r="A25" s="57"/>
      <c r="B25" s="57"/>
      <c r="C25" s="57"/>
      <c r="D25" s="57"/>
      <c r="E25" s="57"/>
      <c r="F25" s="57"/>
      <c r="G25" s="57"/>
      <c r="H25" s="57"/>
      <c r="I25" s="57" t="s">
        <v>75</v>
      </c>
      <c r="J25" s="100"/>
      <c r="K25" s="100"/>
      <c r="L25" s="100"/>
      <c r="M25" s="57"/>
      <c r="N25" s="59" t="str">
        <f>IF(ISBLANK(J25),"",IF(OR(M25="Completed",M25="Closed"),"",IF(H25="Issue",IF(I25="High",WORKDAY(J25,2,DATA!A24:A52),IF(I25="Medium",WORKDAY(J25,14,DATA!A24:A52),IF(OR(I25="Low"),WORKDAY(J25,30,DATA!A24:A52),""))),
"")
))</f>
        <v/>
      </c>
      <c r="O25" s="60" t="str">
        <f ca="1">IF(OR(ISBLANK(#REF!), M25="Completed", M25="Closed", H25&lt;&gt;"Issue"), "",
   (NETWORKDAYS.INTL(TODAY(), N25, 1, DATA!A24:A52) - 1))</f>
        <v/>
      </c>
      <c r="P25" s="78" t="str">
        <f t="shared" ca="1" si="0"/>
        <v/>
      </c>
      <c r="Q25" s="62" t="str">
        <f t="shared" ca="1" si="1"/>
        <v/>
      </c>
    </row>
    <row r="26" spans="1:17" x14ac:dyDescent="0.3">
      <c r="A26" s="57"/>
      <c r="B26" s="57"/>
      <c r="C26" s="57"/>
      <c r="D26" s="57"/>
      <c r="E26" s="57"/>
      <c r="F26" s="57"/>
      <c r="G26" s="57"/>
      <c r="H26" s="57"/>
      <c r="I26" s="57" t="s">
        <v>75</v>
      </c>
      <c r="J26" s="100"/>
      <c r="K26" s="101"/>
      <c r="L26" s="101"/>
      <c r="M26" s="57"/>
      <c r="N26" s="59" t="str">
        <f>IF(ISBLANK(J26),"",IF(OR(M26="Completed",M26="Closed"),"",IF(H26="Issue",IF(I26="High",WORKDAY(J26,2,DATA!A25:A53),IF(I26="Medium",WORKDAY(J26,14,DATA!A25:A53),IF(OR(I26="Low"),WORKDAY(J26,30,DATA!A25:A53),""))),
"")
))</f>
        <v/>
      </c>
      <c r="O26" s="60" t="str">
        <f ca="1">IF(OR(ISBLANK(#REF!), M26="Completed", M26="Closed", H26&lt;&gt;"Issue"), "",
   (NETWORKDAYS.INTL(TODAY(), N26, 1, DATA!A25:A53) - 1))</f>
        <v/>
      </c>
      <c r="P26" s="78" t="str">
        <f t="shared" ca="1" si="0"/>
        <v/>
      </c>
      <c r="Q26" s="62" t="str">
        <f t="shared" ca="1" si="1"/>
        <v/>
      </c>
    </row>
    <row r="27" spans="1:17" x14ac:dyDescent="0.3">
      <c r="A27" s="57"/>
      <c r="B27" s="57"/>
      <c r="C27" s="57"/>
      <c r="D27" s="57"/>
      <c r="E27" s="57"/>
      <c r="F27" s="57"/>
      <c r="G27" s="57"/>
      <c r="H27" s="57"/>
      <c r="I27" s="57" t="s">
        <v>75</v>
      </c>
      <c r="J27" s="100"/>
      <c r="K27" s="100"/>
      <c r="L27" s="100"/>
      <c r="M27" s="57"/>
      <c r="N27" s="59" t="str">
        <f>IF(ISBLANK(J27),"",IF(OR(M27="Completed",M27="Closed"),"",IF(H27="Issue",IF(I27="High",WORKDAY(J27,2,DATA!A26:A54),IF(I27="Medium",WORKDAY(J27,14,DATA!A26:A54),IF(OR(I27="Low"),WORKDAY(J27,30,DATA!A26:A54),""))),
"")
))</f>
        <v/>
      </c>
      <c r="O27" s="60" t="str">
        <f ca="1">IF(OR(ISBLANK(#REF!), M27="Completed", M27="Closed", H27&lt;&gt;"Issue"), "",
   (NETWORKDAYS.INTL(TODAY(), N27, 1, DATA!A26:A54) - 1))</f>
        <v/>
      </c>
      <c r="P27" s="78" t="str">
        <f t="shared" ca="1" si="0"/>
        <v/>
      </c>
      <c r="Q27" s="62" t="str">
        <f t="shared" ca="1" si="1"/>
        <v/>
      </c>
    </row>
    <row r="28" spans="1:17" x14ac:dyDescent="0.3">
      <c r="A28" s="57"/>
      <c r="B28" s="57"/>
      <c r="C28" s="57"/>
      <c r="D28" s="57"/>
      <c r="E28" s="57"/>
      <c r="F28" s="57"/>
      <c r="G28" s="57"/>
      <c r="H28" s="57"/>
      <c r="I28" s="57" t="s">
        <v>75</v>
      </c>
      <c r="J28" s="100"/>
      <c r="K28" s="100"/>
      <c r="L28" s="100"/>
      <c r="M28" s="57"/>
      <c r="N28" s="59" t="str">
        <f>IF(ISBLANK(J28),"",IF(OR(M28="Completed",M28="Closed"),"",IF(H28="Issue",IF(I28="High",WORKDAY(J28,2,DATA!A27:A55),IF(I28="Medium",WORKDAY(J28,14,DATA!A27:A55),IF(OR(I28="Low"),WORKDAY(J28,30,DATA!A27:A55),""))),
"")
))</f>
        <v/>
      </c>
      <c r="O28" s="60" t="str">
        <f ca="1">IF(OR(ISBLANK(#REF!), M28="Completed", M28="Closed", H28&lt;&gt;"Issue"), "",
   (NETWORKDAYS.INTL(TODAY(), N28, 1, DATA!A27:A55) - 1))</f>
        <v/>
      </c>
      <c r="P28" s="78" t="str">
        <f t="shared" ca="1" si="0"/>
        <v/>
      </c>
      <c r="Q28" s="62" t="str">
        <f t="shared" ca="1" si="1"/>
        <v/>
      </c>
    </row>
    <row r="29" spans="1:17" x14ac:dyDescent="0.3">
      <c r="A29" s="57"/>
      <c r="B29" s="57"/>
      <c r="C29" s="57"/>
      <c r="D29" s="57"/>
      <c r="E29" s="57"/>
      <c r="F29" s="57"/>
      <c r="G29" s="57"/>
      <c r="H29" s="57"/>
      <c r="I29" s="57" t="s">
        <v>75</v>
      </c>
      <c r="J29" s="100"/>
      <c r="K29" s="100"/>
      <c r="L29" s="100"/>
      <c r="M29" s="57"/>
      <c r="N29" s="59" t="str">
        <f>IF(ISBLANK(J29),"",IF(OR(M29="Completed",M29="Closed"),"",IF(H29="Issue",IF(I29="High",WORKDAY(J29,2,DATA!A28:A56),IF(I29="Medium",WORKDAY(J29,14,DATA!A28:A56),IF(OR(I29="Low"),WORKDAY(J29,30,DATA!A28:A56),""))),
"")
))</f>
        <v/>
      </c>
      <c r="O29" s="60" t="str">
        <f ca="1">IF(OR(ISBLANK(#REF!), M29="Completed", M29="Closed", H29&lt;&gt;"Issue"), "",
   (NETWORKDAYS.INTL(TODAY(), N29, 1, DATA!A28:A56) - 1))</f>
        <v/>
      </c>
      <c r="P29" s="78" t="str">
        <f t="shared" ca="1" si="0"/>
        <v/>
      </c>
      <c r="Q29" s="62" t="str">
        <f t="shared" ca="1" si="1"/>
        <v/>
      </c>
    </row>
    <row r="30" spans="1:17" x14ac:dyDescent="0.3">
      <c r="A30" s="57"/>
      <c r="B30" s="57"/>
      <c r="C30" s="57"/>
      <c r="D30" s="57"/>
      <c r="E30" s="57"/>
      <c r="F30" s="57"/>
      <c r="G30" s="57"/>
      <c r="H30" s="57"/>
      <c r="I30" s="57" t="s">
        <v>75</v>
      </c>
      <c r="J30" s="100"/>
      <c r="K30" s="100"/>
      <c r="L30" s="100"/>
      <c r="M30" s="57"/>
      <c r="N30" s="59" t="str">
        <f>IF(ISBLANK(J30),"",IF(OR(M30="Completed",M30="Closed"),"",IF(H30="Issue",IF(I30="High",WORKDAY(J30,2,DATA!A29:A57),IF(I30="Medium",WORKDAY(J30,14,DATA!A29:A57),IF(OR(I30="Low"),WORKDAY(J30,30,DATA!A29:A57),""))),
"")
))</f>
        <v/>
      </c>
      <c r="O30" s="60" t="str">
        <f ca="1">IF(OR(ISBLANK(#REF!), M30="Completed", M30="Closed", H30&lt;&gt;"Issue"), "",
   (NETWORKDAYS.INTL(TODAY(), N30, 1, DATA!A29:A57) - 1))</f>
        <v/>
      </c>
      <c r="P30" s="78" t="str">
        <f t="shared" ca="1" si="0"/>
        <v/>
      </c>
      <c r="Q30" s="62" t="str">
        <f t="shared" ca="1" si="1"/>
        <v/>
      </c>
    </row>
    <row r="31" spans="1:17" x14ac:dyDescent="0.3">
      <c r="A31" s="57"/>
      <c r="B31" s="57"/>
      <c r="C31" s="57"/>
      <c r="D31" s="57"/>
      <c r="E31" s="57"/>
      <c r="F31" s="57"/>
      <c r="G31" s="57"/>
      <c r="H31" s="57"/>
      <c r="I31" s="57" t="s">
        <v>75</v>
      </c>
      <c r="J31" s="100"/>
      <c r="K31" s="101"/>
      <c r="L31" s="101"/>
      <c r="M31" s="57"/>
      <c r="N31" s="59" t="str">
        <f>IF(ISBLANK(J31),"",IF(OR(M31="Completed",M31="Closed"),"",IF(H31="Issue",IF(I31="High",WORKDAY(J31,2,DATA!A30:A58),IF(I31="Medium",WORKDAY(J31,14,DATA!A30:A58),IF(OR(I31="Low"),WORKDAY(J31,30,DATA!A30:A58),""))),
"")
))</f>
        <v/>
      </c>
      <c r="O31" s="60" t="str">
        <f ca="1">IF(OR(ISBLANK(#REF!), M31="Completed", M31="Closed", H31&lt;&gt;"Issue"), "",
   (NETWORKDAYS.INTL(TODAY(), N31, 1, DATA!A30:A58) - 1))</f>
        <v/>
      </c>
      <c r="P31" s="78" t="str">
        <f t="shared" ca="1" si="0"/>
        <v/>
      </c>
      <c r="Q31" s="62" t="str">
        <f t="shared" ca="1" si="1"/>
        <v/>
      </c>
    </row>
    <row r="32" spans="1:17" x14ac:dyDescent="0.3">
      <c r="A32" s="57"/>
      <c r="B32" s="57"/>
      <c r="C32" s="57"/>
      <c r="D32" s="57"/>
      <c r="E32" s="57"/>
      <c r="F32" s="57"/>
      <c r="G32" s="57"/>
      <c r="H32" s="57"/>
      <c r="I32" s="57" t="s">
        <v>75</v>
      </c>
      <c r="J32" s="100"/>
      <c r="K32" s="100"/>
      <c r="L32" s="100"/>
      <c r="M32" s="57"/>
      <c r="N32" s="59" t="str">
        <f>IF(ISBLANK(J32),"",IF(OR(M32="Completed",M32="Closed"),"",IF(H32="Issue",IF(I32="High",WORKDAY(J32,2,DATA!A31:A59),IF(I32="Medium",WORKDAY(J32,14,DATA!A31:A59),IF(OR(I32="Low"),WORKDAY(J32,30,DATA!A31:A59),""))),
"")
))</f>
        <v/>
      </c>
      <c r="O32" s="60" t="str">
        <f ca="1">IF(OR(ISBLANK(#REF!), M32="Completed", M32="Closed", H32&lt;&gt;"Issue"), "",
   (NETWORKDAYS.INTL(TODAY(), N32, 1, DATA!A31:A59) - 1))</f>
        <v/>
      </c>
      <c r="P32" s="78" t="str">
        <f t="shared" ca="1" si="0"/>
        <v/>
      </c>
      <c r="Q32" s="62" t="str">
        <f t="shared" ca="1" si="1"/>
        <v/>
      </c>
    </row>
    <row r="33" spans="1:17" x14ac:dyDescent="0.3">
      <c r="A33" s="57"/>
      <c r="B33" s="57"/>
      <c r="C33" s="57"/>
      <c r="D33" s="57"/>
      <c r="E33" s="57"/>
      <c r="F33" s="57"/>
      <c r="G33" s="57"/>
      <c r="H33" s="57"/>
      <c r="I33" s="57" t="s">
        <v>75</v>
      </c>
      <c r="J33" s="100"/>
      <c r="K33" s="101"/>
      <c r="L33" s="101"/>
      <c r="M33" s="57"/>
      <c r="N33" s="59" t="str">
        <f>IF(ISBLANK(J33),"",IF(OR(M33="Completed",M33="Closed"),"",IF(H33="Issue",IF(I33="High",WORKDAY(J33,2,DATA!A32:A60),IF(I33="Medium",WORKDAY(J33,14,DATA!A32:A60),IF(OR(I33="Low"),WORKDAY(J33,30,DATA!A32:A60),""))),
"")
))</f>
        <v/>
      </c>
      <c r="O33" s="60" t="str">
        <f ca="1">IF(OR(ISBLANK(#REF!), M33="Completed", M33="Closed", H33&lt;&gt;"Issue"), "",
   (NETWORKDAYS.INTL(TODAY(), N33, 1, DATA!A32:A60) - 1))</f>
        <v/>
      </c>
      <c r="P33" s="78" t="str">
        <f t="shared" ca="1" si="0"/>
        <v/>
      </c>
      <c r="Q33" s="62" t="str">
        <f t="shared" ca="1" si="1"/>
        <v/>
      </c>
    </row>
    <row r="34" spans="1:17" x14ac:dyDescent="0.3">
      <c r="A34" s="57"/>
      <c r="B34" s="57"/>
      <c r="C34" s="57"/>
      <c r="D34" s="57"/>
      <c r="E34" s="57"/>
      <c r="F34" s="57"/>
      <c r="G34" s="57"/>
      <c r="H34" s="57"/>
      <c r="I34" s="57" t="s">
        <v>75</v>
      </c>
      <c r="J34" s="100"/>
      <c r="K34" s="100"/>
      <c r="L34" s="100"/>
      <c r="M34" s="57"/>
      <c r="N34" s="59" t="str">
        <f>IF(ISBLANK(J34),"",IF(OR(M34="Completed",M34="Closed"),"",IF(H34="Issue",IF(I34="High",WORKDAY(J34,2,DATA!A33:A61),IF(I34="Medium",WORKDAY(J34,14,DATA!A33:A61),IF(OR(I34="Low"),WORKDAY(J34,30,DATA!A33:A61),""))),
"")
))</f>
        <v/>
      </c>
      <c r="O34" s="60" t="str">
        <f ca="1">IF(OR(ISBLANK(#REF!), M34="Completed", M34="Closed", H34&lt;&gt;"Issue"), "",
   (NETWORKDAYS.INTL(TODAY(), N34, 1, DATA!A33:A61) - 1))</f>
        <v/>
      </c>
      <c r="P34" s="78" t="str">
        <f t="shared" ca="1" si="0"/>
        <v/>
      </c>
      <c r="Q34" s="62" t="str">
        <f t="shared" ca="1" si="1"/>
        <v/>
      </c>
    </row>
    <row r="35" spans="1:17" x14ac:dyDescent="0.3">
      <c r="A35" s="57"/>
      <c r="B35" s="57"/>
      <c r="C35" s="57"/>
      <c r="D35" s="57"/>
      <c r="E35" s="57"/>
      <c r="F35" s="57"/>
      <c r="G35" s="57"/>
      <c r="H35" s="57"/>
      <c r="I35" s="57" t="s">
        <v>75</v>
      </c>
      <c r="J35" s="100"/>
      <c r="K35" s="101"/>
      <c r="L35" s="101"/>
      <c r="M35" s="57"/>
      <c r="N35" s="59" t="str">
        <f>IF(ISBLANK(J35),"",IF(OR(M35="Completed",M35="Closed"),"",IF(H35="Issue",IF(I35="High",WORKDAY(J35,2,DATA!A34:A62),IF(I35="Medium",WORKDAY(J35,14,DATA!A34:A62),IF(OR(I35="Low"),WORKDAY(J35,30,DATA!A34:A62),""))),
"")
))</f>
        <v/>
      </c>
      <c r="O35" s="60" t="str">
        <f ca="1">IF(OR(ISBLANK(#REF!), M35="Completed", M35="Closed", H35&lt;&gt;"Issue"), "",
   (NETWORKDAYS.INTL(TODAY(), N35, 1, DATA!A34:A62) - 1))</f>
        <v/>
      </c>
      <c r="P35" s="78" t="str">
        <f t="shared" ca="1" si="0"/>
        <v/>
      </c>
      <c r="Q35" s="62" t="str">
        <f t="shared" ca="1" si="1"/>
        <v/>
      </c>
    </row>
    <row r="36" spans="1:17" x14ac:dyDescent="0.3">
      <c r="A36" s="57"/>
      <c r="B36" s="57"/>
      <c r="C36" s="57"/>
      <c r="D36" s="57"/>
      <c r="E36" s="57"/>
      <c r="F36" s="57"/>
      <c r="G36" s="57"/>
      <c r="H36" s="57"/>
      <c r="I36" s="57" t="s">
        <v>75</v>
      </c>
      <c r="J36" s="100"/>
      <c r="K36" s="101"/>
      <c r="L36" s="101"/>
      <c r="M36" s="57"/>
      <c r="N36" s="59" t="str">
        <f>IF(ISBLANK(J36),"",IF(OR(M36="Completed",M36="Closed"),"",IF(H36="Issue",IF(I36="High",WORKDAY(J36,2,DATA!A35:A63),IF(I36="Medium",WORKDAY(J36,14,DATA!A35:A63),IF(OR(I36="Low"),WORKDAY(J36,30,DATA!A35:A63),""))),
"")
))</f>
        <v/>
      </c>
      <c r="O36" s="60" t="str">
        <f ca="1">IF(OR(ISBLANK(#REF!), M36="Completed", M36="Closed", H36&lt;&gt;"Issue"), "",
   (NETWORKDAYS.INTL(TODAY(), N36, 1, DATA!A35:A63) - 1))</f>
        <v/>
      </c>
      <c r="P36" s="78" t="str">
        <f t="shared" ca="1" si="0"/>
        <v/>
      </c>
      <c r="Q36" s="62" t="str">
        <f t="shared" ca="1" si="1"/>
        <v/>
      </c>
    </row>
    <row r="37" spans="1:17" x14ac:dyDescent="0.3">
      <c r="A37" s="57"/>
      <c r="B37" s="57"/>
      <c r="C37" s="57"/>
      <c r="D37" s="57"/>
      <c r="E37" s="57"/>
      <c r="F37" s="57"/>
      <c r="G37" s="57"/>
      <c r="H37" s="57"/>
      <c r="I37" s="57" t="s">
        <v>75</v>
      </c>
      <c r="J37" s="100"/>
      <c r="K37" s="100"/>
      <c r="L37" s="100"/>
      <c r="M37" s="57"/>
      <c r="N37" s="59" t="str">
        <f>IF(ISBLANK(J37),"",IF(OR(M37="Completed",M37="Closed"),"",IF(H37="Issue",IF(I37="High",WORKDAY(J37,2,DATA!A36:A64),IF(I37="Medium",WORKDAY(J37,14,DATA!A36:A64),IF(OR(I37="Low"),WORKDAY(J37,30,DATA!A36:A64),""))),
"")
))</f>
        <v/>
      </c>
      <c r="O37" s="60" t="str">
        <f ca="1">IF(OR(ISBLANK(#REF!), M37="Completed", M37="Closed", H37&lt;&gt;"Issue"), "",
   (NETWORKDAYS.INTL(TODAY(), N37, 1, DATA!A36:A64) - 1))</f>
        <v/>
      </c>
      <c r="P37" s="78" t="str">
        <f t="shared" ca="1" si="0"/>
        <v/>
      </c>
      <c r="Q37" s="62" t="str">
        <f t="shared" ca="1" si="1"/>
        <v/>
      </c>
    </row>
    <row r="38" spans="1:17" x14ac:dyDescent="0.3">
      <c r="A38" s="57"/>
      <c r="B38" s="57"/>
      <c r="C38" s="57"/>
      <c r="D38" s="57"/>
      <c r="E38" s="57"/>
      <c r="F38" s="57"/>
      <c r="G38" s="57"/>
      <c r="H38" s="57"/>
      <c r="I38" s="57" t="s">
        <v>75</v>
      </c>
      <c r="J38" s="100"/>
      <c r="K38" s="100"/>
      <c r="L38" s="101"/>
      <c r="M38" s="57"/>
      <c r="N38" s="59" t="str">
        <f>IF(ISBLANK(J38),"",IF(OR(M38="Completed",M38="Closed"),"",IF(H38="Issue",IF(I38="High",WORKDAY(J38,2,DATA!A37:A65),IF(I38="Medium",WORKDAY(J38,14,DATA!A37:A65),IF(OR(I38="Low"),WORKDAY(J38,30,DATA!A37:A65),""))),
"")
))</f>
        <v/>
      </c>
      <c r="O38" s="60" t="str">
        <f ca="1">IF(OR(ISBLANK(#REF!), M38="Completed", M38="Closed", H38&lt;&gt;"Issue"), "",
   (NETWORKDAYS.INTL(TODAY(), N38, 1, DATA!A37:A65) - 1))</f>
        <v/>
      </c>
      <c r="P38" s="78" t="str">
        <f t="shared" ca="1" si="0"/>
        <v/>
      </c>
      <c r="Q38" s="62" t="str">
        <f t="shared" ca="1" si="1"/>
        <v/>
      </c>
    </row>
    <row r="39" spans="1:17" x14ac:dyDescent="0.3">
      <c r="A39" s="57"/>
      <c r="B39" s="57"/>
      <c r="C39" s="57"/>
      <c r="D39" s="57"/>
      <c r="E39" s="57"/>
      <c r="F39" s="57"/>
      <c r="G39" s="57"/>
      <c r="H39" s="57"/>
      <c r="I39" s="57" t="s">
        <v>75</v>
      </c>
      <c r="J39" s="100"/>
      <c r="K39" s="101"/>
      <c r="L39" s="101"/>
      <c r="M39" s="57"/>
      <c r="N39" s="59" t="str">
        <f>IF(ISBLANK(J39),"",IF(OR(M39="Completed",M39="Closed"),"",IF(H39="Issue",IF(I39="High",WORKDAY(J39,2,DATA!A38:A66),IF(I39="Medium",WORKDAY(J39,14,DATA!A38:A66),IF(OR(I39="Low"),WORKDAY(J39,30,DATA!A38:A66),""))),
"")
))</f>
        <v/>
      </c>
      <c r="O39" s="60" t="str">
        <f ca="1">IF(OR(ISBLANK(#REF!), M39="Completed", M39="Closed", H39&lt;&gt;"Issue"), "",
   (NETWORKDAYS.INTL(TODAY(), N39, 1, DATA!A38:A66) - 1))</f>
        <v/>
      </c>
      <c r="P39" s="78" t="str">
        <f t="shared" ca="1" si="0"/>
        <v/>
      </c>
      <c r="Q39" s="62" t="str">
        <f t="shared" ca="1" si="1"/>
        <v/>
      </c>
    </row>
    <row r="40" spans="1:17" x14ac:dyDescent="0.3">
      <c r="A40" s="57"/>
      <c r="B40" s="57"/>
      <c r="C40" s="57"/>
      <c r="D40" s="57"/>
      <c r="E40" s="57"/>
      <c r="F40" s="57"/>
      <c r="G40" s="57"/>
      <c r="H40" s="57"/>
      <c r="I40" s="57" t="s">
        <v>75</v>
      </c>
      <c r="J40" s="100"/>
      <c r="K40" s="101"/>
      <c r="L40" s="101"/>
      <c r="M40" s="57"/>
      <c r="N40" s="59" t="str">
        <f>IF(ISBLANK(J40),"",IF(OR(M40="Completed",M40="Closed"),"",IF(H40="Issue",IF(I40="High",WORKDAY(J40,2,DATA!A39:A67),IF(I40="Medium",WORKDAY(J40,14,DATA!A39:A67),IF(OR(I40="Low"),WORKDAY(J40,30,DATA!A39:A67),""))),
"")
))</f>
        <v/>
      </c>
      <c r="O40" s="60" t="str">
        <f ca="1">IF(OR(ISBLANK(#REF!), M40="Completed", M40="Closed", H40&lt;&gt;"Issue"), "",
   (NETWORKDAYS.INTL(TODAY(), N40, 1, DATA!A39:A67) - 1))</f>
        <v/>
      </c>
      <c r="P40" s="78" t="str">
        <f t="shared" ca="1" si="0"/>
        <v/>
      </c>
      <c r="Q40" s="62" t="str">
        <f t="shared" ca="1" si="1"/>
        <v/>
      </c>
    </row>
    <row r="41" spans="1:17" x14ac:dyDescent="0.3">
      <c r="A41" s="57"/>
      <c r="B41" s="57"/>
      <c r="C41" s="57"/>
      <c r="D41" s="57"/>
      <c r="E41" s="57"/>
      <c r="F41" s="57"/>
      <c r="G41" s="57"/>
      <c r="H41" s="57"/>
      <c r="I41" s="57" t="s">
        <v>75</v>
      </c>
      <c r="J41" s="100"/>
      <c r="K41" s="101"/>
      <c r="L41" s="101"/>
      <c r="M41" s="57"/>
      <c r="N41" s="59" t="str">
        <f>IF(ISBLANK(J41),"",IF(OR(M41="Completed",M41="Closed"),"",IF(H41="Issue",IF(I41="High",WORKDAY(J41,2,DATA!A40:A68),IF(I41="Medium",WORKDAY(J41,14,DATA!A40:A68),IF(OR(I41="Low"),WORKDAY(J41,30,DATA!A40:A68),""))),
"")
))</f>
        <v/>
      </c>
      <c r="O41" s="60" t="str">
        <f ca="1">IF(OR(ISBLANK(#REF!), M41="Completed", M41="Closed", H41&lt;&gt;"Issue"), "",
   (NETWORKDAYS.INTL(TODAY(), N41, 1, DATA!A40:A68) - 1))</f>
        <v/>
      </c>
      <c r="P41" s="78" t="str">
        <f t="shared" ca="1" si="0"/>
        <v/>
      </c>
      <c r="Q41" s="62" t="str">
        <f t="shared" ca="1" si="1"/>
        <v/>
      </c>
    </row>
    <row r="42" spans="1:17" x14ac:dyDescent="0.3">
      <c r="A42" s="57"/>
      <c r="B42" s="57"/>
      <c r="C42" s="57"/>
      <c r="D42" s="57"/>
      <c r="E42" s="57"/>
      <c r="F42" s="57"/>
      <c r="G42" s="57"/>
      <c r="H42" s="57"/>
      <c r="I42" s="57" t="s">
        <v>75</v>
      </c>
      <c r="J42" s="100"/>
      <c r="K42" s="101"/>
      <c r="L42" s="101"/>
      <c r="M42" s="57"/>
      <c r="N42" s="59" t="str">
        <f>IF(ISBLANK(J42),"",IF(OR(M42="Completed",M42="Closed"),"",IF(H42="Issue",IF(I42="High",WORKDAY(J42,2,DATA!A41:A69),IF(I42="Medium",WORKDAY(J42,14,DATA!A41:A69),IF(OR(I42="Low"),WORKDAY(J42,30,DATA!A41:A69),""))),
"")
))</f>
        <v/>
      </c>
      <c r="O42" s="60" t="str">
        <f ca="1">IF(OR(ISBLANK(#REF!), M42="Completed", M42="Closed", H42&lt;&gt;"Issue"), "",
   (NETWORKDAYS.INTL(TODAY(), N42, 1, DATA!A41:A69) - 1))</f>
        <v/>
      </c>
      <c r="P42" s="78" t="str">
        <f t="shared" ca="1" si="0"/>
        <v/>
      </c>
      <c r="Q42" s="62" t="str">
        <f t="shared" ca="1" si="1"/>
        <v/>
      </c>
    </row>
    <row r="43" spans="1:17" x14ac:dyDescent="0.3">
      <c r="A43" s="57"/>
      <c r="B43" s="57"/>
      <c r="C43" s="57"/>
      <c r="D43" s="57"/>
      <c r="E43" s="57"/>
      <c r="F43" s="57"/>
      <c r="G43" s="57"/>
      <c r="H43" s="57"/>
      <c r="I43" s="57" t="s">
        <v>75</v>
      </c>
      <c r="J43" s="100"/>
      <c r="K43" s="100"/>
      <c r="L43" s="100"/>
      <c r="M43" s="57"/>
      <c r="N43" s="59" t="str">
        <f>IF(ISBLANK(J43),"",IF(OR(M43="Completed",M43="Closed"),"",IF(H43="Issue",IF(I43="High",WORKDAY(J43,2,DATA!A42:A70),IF(I43="Medium",WORKDAY(J43,14,DATA!A42:A70),IF(OR(I43="Low"),WORKDAY(J43,30,DATA!A42:A70),""))),
"")
))</f>
        <v/>
      </c>
      <c r="O43" s="60" t="str">
        <f ca="1">IF(OR(ISBLANK(#REF!), M43="Completed", M43="Closed", H43&lt;&gt;"Issue"), "",
   (NETWORKDAYS.INTL(TODAY(), N43, 1, DATA!A42:A70) - 1))</f>
        <v/>
      </c>
      <c r="P43" s="78" t="str">
        <f t="shared" ca="1" si="0"/>
        <v/>
      </c>
      <c r="Q43" s="62" t="str">
        <f t="shared" ca="1" si="1"/>
        <v/>
      </c>
    </row>
    <row r="44" spans="1:17" x14ac:dyDescent="0.3">
      <c r="A44" s="57"/>
      <c r="B44" s="57"/>
      <c r="C44" s="57"/>
      <c r="D44" s="57"/>
      <c r="E44" s="57"/>
      <c r="F44" s="57"/>
      <c r="G44" s="57"/>
      <c r="H44" s="57"/>
      <c r="I44" s="57" t="s">
        <v>75</v>
      </c>
      <c r="J44" s="100"/>
      <c r="K44" s="101"/>
      <c r="L44" s="101"/>
      <c r="M44" s="57"/>
      <c r="N44" s="59" t="str">
        <f>IF(ISBLANK(J44),"",IF(OR(M44="Completed",M44="Closed"),"",IF(H44="Issue",IF(I44="High",WORKDAY(J44,2,DATA!A43:A71),IF(I44="Medium",WORKDAY(J44,14,DATA!A43:A71),IF(OR(I44="Low"),WORKDAY(J44,30,DATA!A43:A71),""))),
"")
))</f>
        <v/>
      </c>
      <c r="O44" s="60" t="str">
        <f ca="1">IF(OR(ISBLANK(#REF!), M44="Completed", M44="Closed", H44&lt;&gt;"Issue"), "",
   (NETWORKDAYS.INTL(TODAY(), N44, 1, DATA!A43:A71) - 1))</f>
        <v/>
      </c>
      <c r="P44" s="78" t="str">
        <f t="shared" ca="1" si="0"/>
        <v/>
      </c>
      <c r="Q44" s="62" t="str">
        <f t="shared" ca="1" si="1"/>
        <v/>
      </c>
    </row>
    <row r="45" spans="1:17" x14ac:dyDescent="0.3">
      <c r="A45" s="57"/>
      <c r="B45" s="57"/>
      <c r="C45" s="57"/>
      <c r="D45" s="57"/>
      <c r="E45" s="57"/>
      <c r="F45" s="57"/>
      <c r="G45" s="57"/>
      <c r="H45" s="57"/>
      <c r="I45" s="57" t="s">
        <v>75</v>
      </c>
      <c r="J45" s="100"/>
      <c r="K45" s="100"/>
      <c r="L45" s="100"/>
      <c r="M45" s="57"/>
      <c r="N45" s="59" t="str">
        <f>IF(ISBLANK(J45),"",IF(OR(M45="Completed",M45="Closed"),"",IF(H45="Issue",IF(I45="High",WORKDAY(J45,2,DATA!A44:A72),IF(I45="Medium",WORKDAY(J45,14,DATA!A44:A72),IF(OR(I45="Low"),WORKDAY(J45,30,DATA!A44:A72),""))),
"")
))</f>
        <v/>
      </c>
      <c r="O45" s="60" t="str">
        <f ca="1">IF(OR(ISBLANK(#REF!), M45="Completed", M45="Closed", H45&lt;&gt;"Issue"), "",
   (NETWORKDAYS.INTL(TODAY(), N45, 1, DATA!A44:A72) - 1))</f>
        <v/>
      </c>
      <c r="P45" s="78" t="str">
        <f t="shared" ca="1" si="0"/>
        <v/>
      </c>
      <c r="Q45" s="62" t="str">
        <f t="shared" ca="1" si="1"/>
        <v/>
      </c>
    </row>
    <row r="46" spans="1:17" x14ac:dyDescent="0.3">
      <c r="A46" s="57"/>
      <c r="B46" s="57"/>
      <c r="C46" s="57"/>
      <c r="D46" s="57"/>
      <c r="E46" s="57"/>
      <c r="F46" s="57"/>
      <c r="G46" s="57"/>
      <c r="H46" s="57"/>
      <c r="I46" s="57" t="s">
        <v>75</v>
      </c>
      <c r="J46" s="100"/>
      <c r="K46" s="100"/>
      <c r="L46" s="100"/>
      <c r="M46" s="57"/>
      <c r="N46" s="59" t="str">
        <f>IF(ISBLANK(J46),"",IF(OR(M46="Completed",M46="Closed"),"",IF(H46="Issue",IF(I46="High",WORKDAY(J46,2,DATA!A45:A73),IF(I46="Medium",WORKDAY(J46,14,DATA!A45:A73),IF(OR(I46="Low"),WORKDAY(J46,30,DATA!A45:A73),""))),
"")
))</f>
        <v/>
      </c>
      <c r="O46" s="60" t="str">
        <f ca="1">IF(OR(ISBLANK(#REF!), M46="Completed", M46="Closed", H46&lt;&gt;"Issue"), "",
   (NETWORKDAYS.INTL(TODAY(), N46, 1, DATA!A45:A73) - 1))</f>
        <v/>
      </c>
      <c r="P46" s="78" t="str">
        <f t="shared" ca="1" si="0"/>
        <v/>
      </c>
      <c r="Q46" s="62" t="str">
        <f t="shared" ca="1" si="1"/>
        <v/>
      </c>
    </row>
    <row r="47" spans="1:17" x14ac:dyDescent="0.3">
      <c r="A47" s="57"/>
      <c r="B47" s="57"/>
      <c r="C47" s="57"/>
      <c r="D47" s="57"/>
      <c r="E47" s="57"/>
      <c r="F47" s="57"/>
      <c r="G47" s="57"/>
      <c r="H47" s="57"/>
      <c r="I47" s="57" t="s">
        <v>75</v>
      </c>
      <c r="J47" s="100"/>
      <c r="K47" s="101"/>
      <c r="L47" s="101"/>
      <c r="M47" s="57"/>
      <c r="N47" s="59" t="str">
        <f>IF(ISBLANK(J47),"",IF(OR(M47="Completed",M47="Closed"),"",IF(H47="Issue",IF(I47="High",WORKDAY(J47,2,DATA!A46:A74),IF(I47="Medium",WORKDAY(J47,14,DATA!A46:A74),IF(OR(I47="Low"),WORKDAY(J47,30,DATA!A46:A74),""))),
"")
))</f>
        <v/>
      </c>
      <c r="O47" s="60" t="str">
        <f ca="1">IF(OR(ISBLANK(#REF!), M47="Completed", M47="Closed", H47&lt;&gt;"Issue"), "",
   (NETWORKDAYS.INTL(TODAY(), N47, 1, DATA!A46:A74) - 1))</f>
        <v/>
      </c>
      <c r="P47" s="78" t="str">
        <f t="shared" ca="1" si="0"/>
        <v/>
      </c>
      <c r="Q47" s="62" t="str">
        <f t="shared" ca="1" si="1"/>
        <v/>
      </c>
    </row>
    <row r="48" spans="1:17" x14ac:dyDescent="0.3">
      <c r="A48" s="57"/>
      <c r="B48" s="57"/>
      <c r="C48" s="57"/>
      <c r="D48" s="57"/>
      <c r="E48" s="57"/>
      <c r="F48" s="57"/>
      <c r="G48" s="57"/>
      <c r="H48" s="57"/>
      <c r="I48" s="57" t="s">
        <v>75</v>
      </c>
      <c r="J48" s="100"/>
      <c r="K48" s="101"/>
      <c r="L48" s="101"/>
      <c r="M48" s="57"/>
      <c r="N48" s="59" t="str">
        <f>IF(ISBLANK(J48),"",IF(OR(M48="Completed",M48="Closed"),"",IF(H48="Issue",IF(I48="High",WORKDAY(J48,2,DATA!A47:A75),IF(I48="Medium",WORKDAY(J48,14,DATA!A47:A75),IF(OR(I48="Low"),WORKDAY(J48,30,DATA!A47:A75),""))),
"")
))</f>
        <v/>
      </c>
      <c r="O48" s="60" t="str">
        <f ca="1">IF(OR(ISBLANK(#REF!), M48="Completed", M48="Closed", H48&lt;&gt;"Issue"), "",
   (NETWORKDAYS.INTL(TODAY(), N48, 1, DATA!A47:A75) - 1))</f>
        <v/>
      </c>
      <c r="P48" s="78" t="str">
        <f t="shared" ca="1" si="0"/>
        <v/>
      </c>
      <c r="Q48" s="62" t="str">
        <f t="shared" ca="1" si="1"/>
        <v/>
      </c>
    </row>
    <row r="49" spans="1:17" x14ac:dyDescent="0.3">
      <c r="A49" s="57"/>
      <c r="B49" s="57"/>
      <c r="C49" s="57"/>
      <c r="D49" s="57"/>
      <c r="E49" s="57"/>
      <c r="F49" s="57"/>
      <c r="G49" s="57"/>
      <c r="H49" s="57"/>
      <c r="I49" s="57" t="s">
        <v>75</v>
      </c>
      <c r="J49" s="100"/>
      <c r="K49" s="100"/>
      <c r="L49" s="100"/>
      <c r="M49" s="57"/>
      <c r="N49" s="59" t="str">
        <f>IF(ISBLANK(J49),"",IF(OR(M49="Completed",M49="Closed"),"",IF(H49="Issue",IF(I49="High",WORKDAY(J49,2,DATA!A48:A76),IF(I49="Medium",WORKDAY(J49,14,DATA!A48:A76),IF(OR(I49="Low"),WORKDAY(J49,30,DATA!A48:A76),""))),
"")
))</f>
        <v/>
      </c>
      <c r="O49" s="60" t="str">
        <f ca="1">IF(OR(ISBLANK(#REF!), M49="Completed", M49="Closed", H49&lt;&gt;"Issue"), "",
   (NETWORKDAYS.INTL(TODAY(), N49, 1, DATA!A48:A76) - 1))</f>
        <v/>
      </c>
      <c r="P49" s="78" t="str">
        <f t="shared" ca="1" si="0"/>
        <v/>
      </c>
      <c r="Q49" s="62" t="str">
        <f t="shared" ca="1" si="1"/>
        <v/>
      </c>
    </row>
    <row r="50" spans="1:17" x14ac:dyDescent="0.3">
      <c r="A50" s="57"/>
      <c r="B50" s="57"/>
      <c r="C50" s="57"/>
      <c r="D50" s="57"/>
      <c r="E50" s="57"/>
      <c r="F50" s="57"/>
      <c r="G50" s="57"/>
      <c r="H50" s="57"/>
      <c r="I50" s="57" t="s">
        <v>75</v>
      </c>
      <c r="J50" s="100"/>
      <c r="K50" s="100"/>
      <c r="L50" s="100"/>
      <c r="M50" s="57"/>
      <c r="N50" s="59" t="str">
        <f>IF(ISBLANK(J50),"",IF(OR(M50="Completed",M50="Closed"),"",IF(H50="Issue",IF(I50="High",WORKDAY(J50,2,DATA!A49:A77),IF(I50="Medium",WORKDAY(J50,14,DATA!A49:A77),IF(OR(I50="Low"),WORKDAY(J50,30,DATA!A49:A77),""))),
"")
))</f>
        <v/>
      </c>
      <c r="O50" s="60" t="str">
        <f ca="1">IF(OR(ISBLANK(#REF!), M50="Completed", M50="Closed", H50&lt;&gt;"Issue"), "",
   (NETWORKDAYS.INTL(TODAY(), N50, 1, DATA!A49:A77) - 1))</f>
        <v/>
      </c>
      <c r="P50" s="78" t="str">
        <f t="shared" ca="1" si="0"/>
        <v/>
      </c>
      <c r="Q50" s="62" t="str">
        <f t="shared" ca="1" si="1"/>
        <v/>
      </c>
    </row>
    <row r="51" spans="1:17" x14ac:dyDescent="0.3">
      <c r="A51" s="57"/>
      <c r="B51" s="57"/>
      <c r="C51" s="57"/>
      <c r="D51" s="57"/>
      <c r="E51" s="57"/>
      <c r="F51" s="57"/>
      <c r="G51" s="57"/>
      <c r="H51" s="57"/>
      <c r="I51" s="57" t="s">
        <v>75</v>
      </c>
      <c r="J51" s="100"/>
      <c r="K51" s="100"/>
      <c r="L51" s="100"/>
      <c r="M51" s="57"/>
      <c r="N51" s="59" t="str">
        <f>IF(ISBLANK(J51),"",IF(OR(M51="Completed",M51="Closed"),"",IF(H51="Issue",IF(I51="High",WORKDAY(J51,2,DATA!A50:A78),IF(I51="Medium",WORKDAY(J51,14,DATA!A50:A78),IF(OR(I51="Low"),WORKDAY(J51,30,DATA!A50:A78),""))),
"")
))</f>
        <v/>
      </c>
      <c r="O51" s="60" t="str">
        <f ca="1">IF(OR(ISBLANK(#REF!), M51="Completed", M51="Closed", H51&lt;&gt;"Issue"), "",
   (NETWORKDAYS.INTL(TODAY(), N51, 1, DATA!A50:A78) - 1))</f>
        <v/>
      </c>
      <c r="P51" s="78" t="str">
        <f t="shared" ca="1" si="0"/>
        <v/>
      </c>
      <c r="Q51" s="62" t="str">
        <f t="shared" ca="1" si="1"/>
        <v/>
      </c>
    </row>
    <row r="52" spans="1:17" x14ac:dyDescent="0.3">
      <c r="A52" s="57"/>
      <c r="B52" s="57"/>
      <c r="C52" s="57"/>
      <c r="D52" s="57"/>
      <c r="E52" s="57"/>
      <c r="F52" s="57"/>
      <c r="G52" s="57"/>
      <c r="H52" s="57"/>
      <c r="I52" s="57" t="s">
        <v>75</v>
      </c>
      <c r="J52" s="100"/>
      <c r="K52" s="100"/>
      <c r="L52" s="100"/>
      <c r="M52" s="57"/>
      <c r="N52" s="59" t="str">
        <f>IF(ISBLANK(J52),"",IF(OR(M52="Completed",M52="Closed"),"",IF(H52="Issue",IF(I52="High",WORKDAY(J52,2,DATA!A51:A79),IF(I52="Medium",WORKDAY(J52,14,DATA!A51:A79),IF(OR(I52="Low"),WORKDAY(J52,30,DATA!A51:A79),""))),
"")
))</f>
        <v/>
      </c>
      <c r="O52" s="60" t="str">
        <f ca="1">IF(OR(ISBLANK(#REF!), M52="Completed", M52="Closed", H52&lt;&gt;"Issue"), "",
   (NETWORKDAYS.INTL(TODAY(), N52, 1, DATA!A51:A79) - 1))</f>
        <v/>
      </c>
      <c r="P52" s="78" t="str">
        <f t="shared" ca="1" si="0"/>
        <v/>
      </c>
      <c r="Q52" s="62" t="str">
        <f t="shared" ca="1" si="1"/>
        <v/>
      </c>
    </row>
    <row r="53" spans="1:17" x14ac:dyDescent="0.3">
      <c r="A53" s="57"/>
      <c r="B53" s="57"/>
      <c r="C53" s="57"/>
      <c r="D53" s="57"/>
      <c r="E53" s="57"/>
      <c r="F53" s="57"/>
      <c r="G53" s="57"/>
      <c r="H53" s="57"/>
      <c r="I53" s="57" t="s">
        <v>75</v>
      </c>
      <c r="J53" s="100"/>
      <c r="K53" s="101"/>
      <c r="L53" s="101"/>
      <c r="M53" s="57"/>
      <c r="N53" s="59" t="str">
        <f>IF(ISBLANK(J53),"",IF(OR(M53="Completed",M53="Closed"),"",IF(H53="Issue",IF(I53="High",WORKDAY(J53,2,DATA!A52:A80),IF(I53="Medium",WORKDAY(J53,14,DATA!A52:A80),IF(OR(I53="Low"),WORKDAY(J53,30,DATA!A52:A80),""))),
"")
))</f>
        <v/>
      </c>
      <c r="O53" s="60" t="str">
        <f ca="1">IF(OR(ISBLANK(#REF!), M53="Completed", M53="Closed", H53&lt;&gt;"Issue"), "",
   (NETWORKDAYS.INTL(TODAY(), N53, 1, DATA!A52:A80) - 1))</f>
        <v/>
      </c>
      <c r="P53" s="78" t="str">
        <f t="shared" ca="1" si="0"/>
        <v/>
      </c>
      <c r="Q53" s="62" t="str">
        <f t="shared" ca="1" si="1"/>
        <v/>
      </c>
    </row>
    <row r="54" spans="1:17" x14ac:dyDescent="0.3">
      <c r="A54" s="57"/>
      <c r="B54" s="57"/>
      <c r="C54" s="57"/>
      <c r="D54" s="57"/>
      <c r="E54" s="57"/>
      <c r="F54" s="57"/>
      <c r="G54" s="57"/>
      <c r="H54" s="57"/>
      <c r="I54" s="57" t="s">
        <v>75</v>
      </c>
      <c r="J54" s="100"/>
      <c r="K54" s="100"/>
      <c r="L54" s="100"/>
      <c r="M54" s="57"/>
      <c r="N54" s="59" t="str">
        <f>IF(ISBLANK(J54),"",IF(OR(M54="Completed",M54="Closed"),"",IF(H54="Issue",IF(I54="High",WORKDAY(J54,2,DATA!A53:A81),IF(I54="Medium",WORKDAY(J54,14,DATA!A53:A81),IF(OR(I54="Low"),WORKDAY(J54,30,DATA!A53:A81),""))),
"")
))</f>
        <v/>
      </c>
      <c r="O54" s="60" t="str">
        <f ca="1">IF(OR(ISBLANK(#REF!), M54="Completed", M54="Closed", H54&lt;&gt;"Issue"), "",
   (NETWORKDAYS.INTL(TODAY(), N54, 1, DATA!A53:A81) - 1))</f>
        <v/>
      </c>
      <c r="P54" s="78" t="str">
        <f t="shared" ca="1" si="0"/>
        <v/>
      </c>
      <c r="Q54" s="62" t="str">
        <f t="shared" ca="1" si="1"/>
        <v/>
      </c>
    </row>
    <row r="55" spans="1:17" x14ac:dyDescent="0.3">
      <c r="A55" s="57"/>
      <c r="B55" s="57"/>
      <c r="C55" s="57"/>
      <c r="D55" s="57"/>
      <c r="E55" s="57"/>
      <c r="F55" s="57"/>
      <c r="G55" s="57"/>
      <c r="H55" s="57"/>
      <c r="I55" s="57" t="s">
        <v>75</v>
      </c>
      <c r="J55" s="100"/>
      <c r="K55" s="101"/>
      <c r="L55" s="101"/>
      <c r="M55" s="57"/>
      <c r="N55" s="59" t="str">
        <f>IF(ISBLANK(J55),"",IF(OR(M55="Completed",M55="Closed"),"",IF(H55="Issue",IF(I55="High",WORKDAY(J55,2,DATA!A54:A82),IF(I55="Medium",WORKDAY(J55,14,DATA!A54:A82),IF(OR(I55="Low"),WORKDAY(J55,30,DATA!A54:A82),""))),
"")
))</f>
        <v/>
      </c>
      <c r="O55" s="60" t="str">
        <f ca="1">IF(OR(ISBLANK(#REF!), M55="Completed", M55="Closed", H55&lt;&gt;"Issue"), "",
   (NETWORKDAYS.INTL(TODAY(), N55, 1, DATA!A54:A82) - 1))</f>
        <v/>
      </c>
      <c r="P55" s="78" t="str">
        <f t="shared" ca="1" si="0"/>
        <v/>
      </c>
      <c r="Q55" s="62" t="str">
        <f t="shared" ca="1" si="1"/>
        <v/>
      </c>
    </row>
    <row r="56" spans="1:17" x14ac:dyDescent="0.3">
      <c r="A56" s="57"/>
      <c r="B56" s="57"/>
      <c r="C56" s="57"/>
      <c r="D56" s="57"/>
      <c r="E56" s="57"/>
      <c r="F56" s="57"/>
      <c r="G56" s="57"/>
      <c r="H56" s="57"/>
      <c r="I56" s="57" t="s">
        <v>75</v>
      </c>
      <c r="J56" s="100"/>
      <c r="K56" s="101"/>
      <c r="L56" s="101"/>
      <c r="M56" s="57"/>
      <c r="N56" s="59" t="str">
        <f>IF(ISBLANK(J56),"",IF(OR(M56="Completed",M56="Closed"),"",IF(H56="Issue",IF(I56="High",WORKDAY(J56,2,DATA!A55:A83),IF(I56="Medium",WORKDAY(J56,14,DATA!A55:A83),IF(OR(I56="Low"),WORKDAY(J56,30,DATA!A55:A83),""))),
"")
))</f>
        <v/>
      </c>
      <c r="O56" s="60" t="str">
        <f ca="1">IF(OR(ISBLANK(#REF!), M56="Completed", M56="Closed", H56&lt;&gt;"Issue"), "",
   (NETWORKDAYS.INTL(TODAY(), N56, 1, DATA!A55:A83) - 1))</f>
        <v/>
      </c>
      <c r="P56" s="78" t="str">
        <f t="shared" ca="1" si="0"/>
        <v/>
      </c>
      <c r="Q56" s="62" t="str">
        <f t="shared" ca="1" si="1"/>
        <v/>
      </c>
    </row>
    <row r="57" spans="1:17" x14ac:dyDescent="0.3">
      <c r="A57" s="57"/>
      <c r="B57" s="57"/>
      <c r="C57" s="57"/>
      <c r="D57" s="57"/>
      <c r="E57" s="57"/>
      <c r="F57" s="57"/>
      <c r="G57" s="57"/>
      <c r="H57" s="57"/>
      <c r="I57" s="57" t="s">
        <v>75</v>
      </c>
      <c r="J57" s="100"/>
      <c r="K57" s="101"/>
      <c r="L57" s="101"/>
      <c r="M57" s="57"/>
      <c r="N57" s="59" t="str">
        <f>IF(ISBLANK(J57),"",IF(OR(M57="Completed",M57="Closed"),"",IF(H57="Issue",IF(I57="High",WORKDAY(J57,2,DATA!A56:A84),IF(I57="Medium",WORKDAY(J57,14,DATA!A56:A84),IF(OR(I57="Low"),WORKDAY(J57,30,DATA!A56:A84),""))),
"")
))</f>
        <v/>
      </c>
      <c r="O57" s="60" t="str">
        <f ca="1">IF(OR(ISBLANK(#REF!), M57="Completed", M57="Closed", H57&lt;&gt;"Issue"), "",
   (NETWORKDAYS.INTL(TODAY(), N57, 1, DATA!A56:A84) - 1))</f>
        <v/>
      </c>
      <c r="P57" s="78" t="str">
        <f t="shared" ca="1" si="0"/>
        <v/>
      </c>
      <c r="Q57" s="62" t="str">
        <f t="shared" ca="1" si="1"/>
        <v/>
      </c>
    </row>
    <row r="58" spans="1:17" x14ac:dyDescent="0.3">
      <c r="A58" s="57"/>
      <c r="B58" s="57"/>
      <c r="C58" s="57"/>
      <c r="D58" s="57"/>
      <c r="E58" s="57"/>
      <c r="F58" s="57"/>
      <c r="G58" s="57"/>
      <c r="H58" s="57"/>
      <c r="I58" s="57" t="s">
        <v>75</v>
      </c>
      <c r="J58" s="100"/>
      <c r="K58" s="100"/>
      <c r="L58" s="100"/>
      <c r="M58" s="57"/>
      <c r="N58" s="59" t="str">
        <f>IF(ISBLANK(J58),"",IF(OR(M58="Completed",M58="Closed"),"",IF(H58="Issue",IF(I58="High",WORKDAY(J58,2,DATA!A57:A85),IF(I58="Medium",WORKDAY(J58,14,DATA!A57:A85),IF(OR(I58="Low"),WORKDAY(J58,30,DATA!A57:A85),""))),
"")
))</f>
        <v/>
      </c>
      <c r="O58" s="60" t="str">
        <f ca="1">IF(OR(ISBLANK(#REF!), M58="Completed", M58="Closed", H58&lt;&gt;"Issue"), "",
   (NETWORKDAYS.INTL(TODAY(), N58, 1, DATA!A57:A85) - 1))</f>
        <v/>
      </c>
      <c r="P58" s="78" t="str">
        <f t="shared" ca="1" si="0"/>
        <v/>
      </c>
      <c r="Q58" s="62" t="str">
        <f t="shared" ca="1" si="1"/>
        <v/>
      </c>
    </row>
    <row r="59" spans="1:17" x14ac:dyDescent="0.3">
      <c r="A59" s="57"/>
      <c r="B59" s="57"/>
      <c r="C59" s="57"/>
      <c r="D59" s="57"/>
      <c r="E59" s="57"/>
      <c r="F59" s="57"/>
      <c r="G59" s="57"/>
      <c r="H59" s="57"/>
      <c r="I59" s="57" t="s">
        <v>75</v>
      </c>
      <c r="J59" s="100"/>
      <c r="K59" s="100"/>
      <c r="L59" s="101"/>
      <c r="M59" s="57"/>
      <c r="N59" s="59" t="str">
        <f>IF(ISBLANK(J59),"",IF(OR(M59="Completed",M59="Closed"),"",IF(H59="Issue",IF(I59="High",WORKDAY(J59,2,DATA!A58:A86),IF(I59="Medium",WORKDAY(J59,14,DATA!A58:A86),IF(OR(I59="Low"),WORKDAY(J59,30,DATA!A58:A86),""))),
"")
))</f>
        <v/>
      </c>
      <c r="O59" s="60" t="str">
        <f ca="1">IF(OR(ISBLANK(#REF!), M59="Completed", M59="Closed", H59&lt;&gt;"Issue"), "",
   (NETWORKDAYS.INTL(TODAY(), N59, 1, DATA!A58:A86) - 1))</f>
        <v/>
      </c>
      <c r="P59" s="78" t="str">
        <f t="shared" ca="1" si="0"/>
        <v/>
      </c>
      <c r="Q59" s="62" t="str">
        <f t="shared" ca="1" si="1"/>
        <v/>
      </c>
    </row>
    <row r="60" spans="1:17" x14ac:dyDescent="0.3">
      <c r="A60" s="57"/>
      <c r="B60" s="57"/>
      <c r="C60" s="57"/>
      <c r="D60" s="57"/>
      <c r="E60" s="57"/>
      <c r="F60" s="57"/>
      <c r="G60" s="57"/>
      <c r="H60" s="57"/>
      <c r="I60" s="57" t="s">
        <v>75</v>
      </c>
      <c r="J60" s="100"/>
      <c r="K60" s="101"/>
      <c r="L60" s="101"/>
      <c r="M60" s="57"/>
      <c r="N60" s="59" t="str">
        <f>IF(ISBLANK(J60),"",IF(OR(M60="Completed",M60="Closed"),"",IF(H60="Issue",IF(I60="High",WORKDAY(J60,2,DATA!A59:A87),IF(I60="Medium",WORKDAY(J60,14,DATA!A59:A87),IF(OR(I60="Low"),WORKDAY(J60,30,DATA!A59:A87),""))),
"")
))</f>
        <v/>
      </c>
      <c r="O60" s="60" t="str">
        <f ca="1">IF(OR(ISBLANK(#REF!), M60="Completed", M60="Closed", H60&lt;&gt;"Issue"), "",
   (NETWORKDAYS.INTL(TODAY(), N60, 1, DATA!A59:A87) - 1))</f>
        <v/>
      </c>
      <c r="P60" s="78" t="str">
        <f t="shared" ca="1" si="0"/>
        <v/>
      </c>
      <c r="Q60" s="62" t="str">
        <f t="shared" ca="1" si="1"/>
        <v/>
      </c>
    </row>
    <row r="61" spans="1:17" x14ac:dyDescent="0.3">
      <c r="A61" s="57"/>
      <c r="B61" s="57"/>
      <c r="C61" s="57"/>
      <c r="D61" s="57"/>
      <c r="E61" s="57"/>
      <c r="F61" s="57"/>
      <c r="G61" s="57"/>
      <c r="H61" s="57"/>
      <c r="I61" s="57" t="s">
        <v>75</v>
      </c>
      <c r="J61" s="100"/>
      <c r="K61" s="101"/>
      <c r="L61" s="101"/>
      <c r="M61" s="57"/>
      <c r="N61" s="59" t="str">
        <f>IF(ISBLANK(J61),"",IF(OR(M61="Completed",M61="Closed"),"",IF(H61="Issue",IF(I61="High",WORKDAY(J61,2,DATA!A60:A88),IF(I61="Medium",WORKDAY(J61,14,DATA!A60:A88),IF(OR(I61="Low"),WORKDAY(J61,30,DATA!A60:A88),""))),
"")
))</f>
        <v/>
      </c>
      <c r="O61" s="60" t="str">
        <f ca="1">IF(OR(ISBLANK(#REF!), M61="Completed", M61="Closed", H61&lt;&gt;"Issue"), "",
   (NETWORKDAYS.INTL(TODAY(), N61, 1, DATA!A60:A88) - 1))</f>
        <v/>
      </c>
      <c r="P61" s="78" t="str">
        <f t="shared" ca="1" si="0"/>
        <v/>
      </c>
      <c r="Q61" s="62" t="str">
        <f t="shared" ca="1" si="1"/>
        <v/>
      </c>
    </row>
    <row r="62" spans="1:17" x14ac:dyDescent="0.3">
      <c r="A62" s="57"/>
      <c r="B62" s="57"/>
      <c r="C62" s="57"/>
      <c r="D62" s="57"/>
      <c r="E62" s="57"/>
      <c r="F62" s="57"/>
      <c r="G62" s="57"/>
      <c r="H62" s="57"/>
      <c r="I62" s="57" t="s">
        <v>75</v>
      </c>
      <c r="J62" s="100"/>
      <c r="K62" s="100"/>
      <c r="L62" s="100"/>
      <c r="M62" s="57"/>
      <c r="N62" s="59" t="str">
        <f>IF(ISBLANK(J62),"",IF(OR(M62="Completed",M62="Closed"),"",IF(H62="Issue",IF(I62="High",WORKDAY(J62,2,DATA!A61:A89),IF(I62="Medium",WORKDAY(J62,14,DATA!A61:A89),IF(OR(I62="Low"),WORKDAY(J62,30,DATA!A61:A89),""))),
"")
))</f>
        <v/>
      </c>
      <c r="O62" s="60" t="str">
        <f ca="1">IF(OR(ISBLANK(#REF!), M62="Completed", M62="Closed", H62&lt;&gt;"Issue"), "",
   (NETWORKDAYS.INTL(TODAY(), N62, 1, DATA!A61:A89) - 1))</f>
        <v/>
      </c>
      <c r="P62" s="78" t="str">
        <f t="shared" ca="1" si="0"/>
        <v/>
      </c>
      <c r="Q62" s="62" t="str">
        <f t="shared" ca="1" si="1"/>
        <v/>
      </c>
    </row>
    <row r="63" spans="1:17" x14ac:dyDescent="0.3">
      <c r="A63" s="57"/>
      <c r="B63" s="57"/>
      <c r="C63" s="57"/>
      <c r="D63" s="57"/>
      <c r="E63" s="57"/>
      <c r="F63" s="57"/>
      <c r="G63" s="57"/>
      <c r="H63" s="57"/>
      <c r="I63" s="57" t="s">
        <v>75</v>
      </c>
      <c r="J63" s="100"/>
      <c r="K63" s="101"/>
      <c r="L63" s="101"/>
      <c r="M63" s="57"/>
      <c r="N63" s="59" t="str">
        <f>IF(ISBLANK(J63),"",IF(OR(M63="Completed",M63="Closed"),"",IF(H63="Issue",IF(I63="High",WORKDAY(J63,2,DATA!A62:A90),IF(I63="Medium",WORKDAY(J63,14,DATA!A62:A90),IF(OR(I63="Low"),WORKDAY(J63,30,DATA!A62:A90),""))),
"")
))</f>
        <v/>
      </c>
      <c r="O63" s="60" t="str">
        <f ca="1">IF(OR(ISBLANK(#REF!), M63="Completed", M63="Closed", H63&lt;&gt;"Issue"), "",
   (NETWORKDAYS.INTL(TODAY(), N63, 1, DATA!A62:A90) - 1))</f>
        <v/>
      </c>
      <c r="P63" s="78" t="str">
        <f t="shared" ca="1" si="0"/>
        <v/>
      </c>
      <c r="Q63" s="62" t="str">
        <f t="shared" ca="1" si="1"/>
        <v/>
      </c>
    </row>
    <row r="64" spans="1:17" x14ac:dyDescent="0.3">
      <c r="A64" s="57"/>
      <c r="B64" s="57"/>
      <c r="C64" s="57"/>
      <c r="D64" s="57"/>
      <c r="E64" s="57"/>
      <c r="F64" s="57"/>
      <c r="G64" s="57"/>
      <c r="H64" s="57"/>
      <c r="I64" s="57" t="s">
        <v>75</v>
      </c>
      <c r="J64" s="100"/>
      <c r="K64" s="101"/>
      <c r="L64" s="101"/>
      <c r="M64" s="57"/>
      <c r="N64" s="59" t="str">
        <f>IF(ISBLANK(J64),"",IF(OR(M64="Completed",M64="Closed"),"",IF(H64="Issue",IF(I64="High",WORKDAY(J64,2,DATA!A63:A91),IF(I64="Medium",WORKDAY(J64,14,DATA!A63:A91),IF(OR(I64="Low"),WORKDAY(J64,30,DATA!A63:A91),""))),
"")
))</f>
        <v/>
      </c>
      <c r="O64" s="60" t="str">
        <f ca="1">IF(OR(ISBLANK(#REF!), M64="Completed", M64="Closed", H64&lt;&gt;"Issue"), "",
   (NETWORKDAYS.INTL(TODAY(), N64, 1, DATA!A63:A91) - 1))</f>
        <v/>
      </c>
      <c r="P64" s="78" t="str">
        <f t="shared" ca="1" si="0"/>
        <v/>
      </c>
      <c r="Q64" s="62" t="str">
        <f t="shared" ca="1" si="1"/>
        <v/>
      </c>
    </row>
    <row r="65" spans="1:17" x14ac:dyDescent="0.3">
      <c r="A65" s="57"/>
      <c r="B65" s="57"/>
      <c r="C65" s="57"/>
      <c r="D65" s="57"/>
      <c r="E65" s="57"/>
      <c r="F65" s="57"/>
      <c r="G65" s="57"/>
      <c r="H65" s="57"/>
      <c r="I65" s="57" t="s">
        <v>75</v>
      </c>
      <c r="J65" s="100"/>
      <c r="K65" s="100"/>
      <c r="L65" s="100"/>
      <c r="M65" s="57"/>
      <c r="N65" s="59" t="str">
        <f>IF(ISBLANK(J65),"",IF(OR(M65="Completed",M65="Closed"),"",IF(H65="Issue",IF(I65="High",WORKDAY(J65,2,DATA!A64:A92),IF(I65="Medium",WORKDAY(J65,14,DATA!A64:A92),IF(OR(I65="Low"),WORKDAY(J65,30,DATA!A64:A92),""))),
"")
))</f>
        <v/>
      </c>
      <c r="O65" s="60" t="str">
        <f ca="1">IF(OR(ISBLANK(#REF!), M65="Completed", M65="Closed", H65&lt;&gt;"Issue"), "",
   (NETWORKDAYS.INTL(TODAY(), N65, 1, DATA!A64:A92) - 1))</f>
        <v/>
      </c>
      <c r="P65" s="78" t="str">
        <f t="shared" ca="1" si="0"/>
        <v/>
      </c>
      <c r="Q65" s="62" t="str">
        <f t="shared" ca="1" si="1"/>
        <v/>
      </c>
    </row>
    <row r="66" spans="1:17" x14ac:dyDescent="0.3">
      <c r="A66" s="57"/>
      <c r="B66" s="57"/>
      <c r="C66" s="57"/>
      <c r="D66" s="57"/>
      <c r="E66" s="57"/>
      <c r="F66" s="57"/>
      <c r="G66" s="57"/>
      <c r="H66" s="57"/>
      <c r="I66" s="57" t="s">
        <v>75</v>
      </c>
      <c r="J66" s="100"/>
      <c r="K66" s="101"/>
      <c r="L66" s="101"/>
      <c r="M66" s="57"/>
      <c r="N66" s="59" t="str">
        <f>IF(ISBLANK(J66),"",IF(OR(M66="Completed",M66="Closed"),"",IF(H66="Issue",IF(I66="High",WORKDAY(J66,2,DATA!A65:A93),IF(I66="Medium",WORKDAY(J66,14,DATA!A65:A93),IF(OR(I66="Low"),WORKDAY(J66,30,DATA!A65:A93),""))),
"")
))</f>
        <v/>
      </c>
      <c r="O66" s="60" t="str">
        <f ca="1">IF(OR(ISBLANK(#REF!), M66="Completed", M66="Closed", H66&lt;&gt;"Issue"), "",
   (NETWORKDAYS.INTL(TODAY(), N66, 1, DATA!A65:A93) - 1))</f>
        <v/>
      </c>
      <c r="P66" s="78" t="str">
        <f t="shared" ca="1" si="0"/>
        <v/>
      </c>
      <c r="Q66" s="62" t="str">
        <f t="shared" ca="1" si="1"/>
        <v/>
      </c>
    </row>
    <row r="67" spans="1:17" x14ac:dyDescent="0.3">
      <c r="A67" s="57"/>
      <c r="B67" s="57"/>
      <c r="C67" s="57"/>
      <c r="D67" s="57"/>
      <c r="E67" s="57"/>
      <c r="F67" s="57"/>
      <c r="G67" s="57"/>
      <c r="H67" s="57"/>
      <c r="I67" s="57" t="s">
        <v>75</v>
      </c>
      <c r="J67" s="100"/>
      <c r="K67" s="100"/>
      <c r="L67" s="100"/>
      <c r="M67" s="57"/>
      <c r="N67" s="59" t="str">
        <f>IF(ISBLANK(J67),"",IF(OR(M67="Completed",M67="Closed"),"",IF(H67="Issue",IF(I67="High",WORKDAY(J67,2,DATA!A66:A94),IF(I67="Medium",WORKDAY(J67,14,DATA!A66:A94),IF(OR(I67="Low"),WORKDAY(J67,30,DATA!A66:A94),""))),
"")
))</f>
        <v/>
      </c>
      <c r="O67" s="60" t="str">
        <f ca="1">IF(OR(ISBLANK(#REF!), M67="Completed", M67="Closed", H67&lt;&gt;"Issue"), "",
   (NETWORKDAYS.INTL(TODAY(), N67, 1, DATA!A66:A94) - 1))</f>
        <v/>
      </c>
      <c r="P67" s="78" t="str">
        <f t="shared" ca="1" si="0"/>
        <v/>
      </c>
      <c r="Q67" s="62" t="str">
        <f t="shared" ca="1" si="1"/>
        <v/>
      </c>
    </row>
    <row r="68" spans="1:17" x14ac:dyDescent="0.3">
      <c r="A68" s="57"/>
      <c r="B68" s="57"/>
      <c r="C68" s="57"/>
      <c r="D68" s="57"/>
      <c r="E68" s="57"/>
      <c r="F68" s="57"/>
      <c r="G68" s="57"/>
      <c r="H68" s="57"/>
      <c r="I68" s="57" t="s">
        <v>75</v>
      </c>
      <c r="J68" s="100"/>
      <c r="K68" s="101"/>
      <c r="L68" s="101"/>
      <c r="M68" s="57"/>
      <c r="N68" s="59" t="str">
        <f>IF(ISBLANK(J68),"",IF(OR(M68="Completed",M68="Closed"),"",IF(H68="Issue",IF(I68="High",WORKDAY(J68,2,DATA!A67:A95),IF(I68="Medium",WORKDAY(J68,14,DATA!A67:A95),IF(OR(I68="Low"),WORKDAY(J68,30,DATA!A67:A95),""))),
"")
))</f>
        <v/>
      </c>
      <c r="O68" s="60" t="str">
        <f ca="1">IF(OR(ISBLANK(#REF!), M68="Completed", M68="Closed", H68&lt;&gt;"Issue"), "",
   (NETWORKDAYS.INTL(TODAY(), N68, 1, DATA!A67:A95) - 1))</f>
        <v/>
      </c>
      <c r="P68" s="78" t="str">
        <f t="shared" ref="P68:P131" ca="1" si="2">IF(O68="","",LEFT(O68,10)*(-1))</f>
        <v/>
      </c>
      <c r="Q68" s="62" t="str">
        <f t="shared" ref="Q68:Q131" ca="1" si="3">IF(P68="","",
IF(P68&lt;=0,"Not Due",
IF(P68&lt;=30,"1-30 Days",
IF(P68&lt;=60,"31-60 Days",
"&gt;60 Days"))))</f>
        <v/>
      </c>
    </row>
    <row r="69" spans="1:17" x14ac:dyDescent="0.3">
      <c r="A69" s="57"/>
      <c r="B69" s="57"/>
      <c r="C69" s="57"/>
      <c r="D69" s="57"/>
      <c r="E69" s="57"/>
      <c r="F69" s="57"/>
      <c r="G69" s="57"/>
      <c r="H69" s="57"/>
      <c r="I69" s="57" t="s">
        <v>75</v>
      </c>
      <c r="J69" s="100"/>
      <c r="K69" s="100"/>
      <c r="L69" s="100"/>
      <c r="M69" s="57"/>
      <c r="N69" s="59" t="str">
        <f>IF(ISBLANK(J69),"",IF(OR(M69="Completed",M69="Closed"),"",IF(H69="Issue",IF(I69="High",WORKDAY(J69,2,DATA!A68:A96),IF(I69="Medium",WORKDAY(J69,14,DATA!A68:A96),IF(OR(I69="Low"),WORKDAY(J69,30,DATA!A68:A96),""))),
"")
))</f>
        <v/>
      </c>
      <c r="O69" s="60" t="str">
        <f ca="1">IF(OR(ISBLANK(#REF!), M69="Completed", M69="Closed", H69&lt;&gt;"Issue"), "",
   (NETWORKDAYS.INTL(TODAY(), N69, 1, DATA!A68:A96) - 1))</f>
        <v/>
      </c>
      <c r="P69" s="78" t="str">
        <f t="shared" ca="1" si="2"/>
        <v/>
      </c>
      <c r="Q69" s="62" t="str">
        <f t="shared" ca="1" si="3"/>
        <v/>
      </c>
    </row>
    <row r="70" spans="1:17" x14ac:dyDescent="0.3">
      <c r="A70" s="57"/>
      <c r="B70" s="57"/>
      <c r="C70" s="57"/>
      <c r="D70" s="57"/>
      <c r="E70" s="57"/>
      <c r="F70" s="57"/>
      <c r="G70" s="57"/>
      <c r="H70" s="57"/>
      <c r="I70" s="57" t="s">
        <v>75</v>
      </c>
      <c r="J70" s="100"/>
      <c r="K70" s="100"/>
      <c r="L70" s="100"/>
      <c r="M70" s="57"/>
      <c r="N70" s="59" t="str">
        <f>IF(ISBLANK(J70),"",IF(OR(M70="Completed",M70="Closed"),"",IF(H70="Issue",IF(I70="High",WORKDAY(J70,2,DATA!A69:A97),IF(I70="Medium",WORKDAY(J70,14,DATA!A69:A97),IF(OR(I70="Low"),WORKDAY(J70,30,DATA!A69:A97),""))),
"")
))</f>
        <v/>
      </c>
      <c r="O70" s="60" t="str">
        <f ca="1">IF(OR(ISBLANK(#REF!), M70="Completed", M70="Closed", H70&lt;&gt;"Issue"), "",
   (NETWORKDAYS.INTL(TODAY(), N70, 1, DATA!A69:A97) - 1))</f>
        <v/>
      </c>
      <c r="P70" s="78" t="str">
        <f t="shared" ca="1" si="2"/>
        <v/>
      </c>
      <c r="Q70" s="62" t="str">
        <f t="shared" ca="1" si="3"/>
        <v/>
      </c>
    </row>
    <row r="71" spans="1:17" x14ac:dyDescent="0.3">
      <c r="A71" s="57"/>
      <c r="B71" s="57"/>
      <c r="C71" s="57"/>
      <c r="D71" s="57"/>
      <c r="E71" s="57"/>
      <c r="F71" s="57"/>
      <c r="G71" s="57"/>
      <c r="H71" s="57"/>
      <c r="I71" s="57" t="s">
        <v>75</v>
      </c>
      <c r="J71" s="100"/>
      <c r="K71" s="100"/>
      <c r="L71" s="100"/>
      <c r="M71" s="57"/>
      <c r="N71" s="59" t="str">
        <f>IF(ISBLANK(J71),"",IF(OR(M71="Completed",M71="Closed"),"",IF(H71="Issue",IF(I71="High",WORKDAY(J71,2,DATA!A70:A98),IF(I71="Medium",WORKDAY(J71,14,DATA!A70:A98),IF(OR(I71="Low"),WORKDAY(J71,30,DATA!A70:A98),""))),
"")
))</f>
        <v/>
      </c>
      <c r="O71" s="60" t="str">
        <f ca="1">IF(OR(ISBLANK(#REF!), M71="Completed", M71="Closed", H71&lt;&gt;"Issue"), "",
   (NETWORKDAYS.INTL(TODAY(), N71, 1, DATA!A70:A98) - 1))</f>
        <v/>
      </c>
      <c r="P71" s="78" t="str">
        <f t="shared" ca="1" si="2"/>
        <v/>
      </c>
      <c r="Q71" s="62" t="str">
        <f t="shared" ca="1" si="3"/>
        <v/>
      </c>
    </row>
    <row r="72" spans="1:17" x14ac:dyDescent="0.3">
      <c r="A72" s="57"/>
      <c r="B72" s="57"/>
      <c r="C72" s="57"/>
      <c r="D72" s="57"/>
      <c r="E72" s="57"/>
      <c r="F72" s="57"/>
      <c r="G72" s="57"/>
      <c r="H72" s="57"/>
      <c r="I72" s="57" t="s">
        <v>75</v>
      </c>
      <c r="J72" s="100"/>
      <c r="K72" s="101"/>
      <c r="L72" s="101"/>
      <c r="M72" s="57"/>
      <c r="N72" s="59" t="str">
        <f>IF(ISBLANK(J72),"",IF(OR(M72="Completed",M72="Closed"),"",IF(H72="Issue",IF(I72="High",WORKDAY(J72,2,DATA!A71:A99),IF(I72="Medium",WORKDAY(J72,14,DATA!A71:A99),IF(OR(I72="Low"),WORKDAY(J72,30,DATA!A71:A99),""))),
"")
))</f>
        <v/>
      </c>
      <c r="O72" s="60" t="str">
        <f ca="1">IF(OR(ISBLANK(#REF!), M72="Completed", M72="Closed", H72&lt;&gt;"Issue"), "",
   (NETWORKDAYS.INTL(TODAY(), N72, 1, DATA!A71:A99) - 1))</f>
        <v/>
      </c>
      <c r="P72" s="78" t="str">
        <f t="shared" ca="1" si="2"/>
        <v/>
      </c>
      <c r="Q72" s="62" t="str">
        <f t="shared" ca="1" si="3"/>
        <v/>
      </c>
    </row>
    <row r="73" spans="1:17" x14ac:dyDescent="0.3">
      <c r="A73" s="57"/>
      <c r="B73" s="57"/>
      <c r="C73" s="57"/>
      <c r="D73" s="57"/>
      <c r="E73" s="57"/>
      <c r="F73" s="57"/>
      <c r="G73" s="57"/>
      <c r="H73" s="57"/>
      <c r="I73" s="57" t="s">
        <v>75</v>
      </c>
      <c r="J73" s="100"/>
      <c r="K73" s="101"/>
      <c r="L73" s="101"/>
      <c r="M73" s="57"/>
      <c r="N73" s="59" t="str">
        <f>IF(ISBLANK(J73),"",IF(OR(M73="Completed",M73="Closed"),"",IF(H73="Issue",IF(I73="High",WORKDAY(J73,2,DATA!A72:A100),IF(I73="Medium",WORKDAY(J73,14,DATA!A72:A100),IF(OR(I73="Low"),WORKDAY(J73,30,DATA!A72:A100),""))),
"")
))</f>
        <v/>
      </c>
      <c r="O73" s="60" t="str">
        <f ca="1">IF(OR(ISBLANK(#REF!), M73="Completed", M73="Closed", H73&lt;&gt;"Issue"), "",
   (NETWORKDAYS.INTL(TODAY(), N73, 1, DATA!A72:A100) - 1))</f>
        <v/>
      </c>
      <c r="P73" s="78" t="str">
        <f t="shared" ca="1" si="2"/>
        <v/>
      </c>
      <c r="Q73" s="62" t="str">
        <f t="shared" ca="1" si="3"/>
        <v/>
      </c>
    </row>
    <row r="74" spans="1:17" x14ac:dyDescent="0.3">
      <c r="A74" s="57"/>
      <c r="B74" s="57"/>
      <c r="C74" s="57"/>
      <c r="D74" s="57"/>
      <c r="E74" s="57"/>
      <c r="F74" s="57"/>
      <c r="G74" s="57"/>
      <c r="H74" s="57"/>
      <c r="I74" s="57" t="s">
        <v>75</v>
      </c>
      <c r="J74" s="100"/>
      <c r="K74" s="100"/>
      <c r="L74" s="100"/>
      <c r="M74" s="57"/>
      <c r="N74" s="59" t="str">
        <f>IF(ISBLANK(J74),"",IF(OR(M74="Completed",M74="Closed"),"",IF(H74="Issue",IF(I74="High",WORKDAY(J74,2,DATA!A73:A101),IF(I74="Medium",WORKDAY(J74,14,DATA!A73:A101),IF(OR(I74="Low"),WORKDAY(J74,30,DATA!A73:A101),""))),
"")
))</f>
        <v/>
      </c>
      <c r="O74" s="60" t="str">
        <f ca="1">IF(OR(ISBLANK(#REF!), M74="Completed", M74="Closed", H74&lt;&gt;"Issue"), "",
   (NETWORKDAYS.INTL(TODAY(), N74, 1, DATA!A73:A101) - 1))</f>
        <v/>
      </c>
      <c r="P74" s="78" t="str">
        <f t="shared" ca="1" si="2"/>
        <v/>
      </c>
      <c r="Q74" s="62" t="str">
        <f t="shared" ca="1" si="3"/>
        <v/>
      </c>
    </row>
    <row r="75" spans="1:17" x14ac:dyDescent="0.3">
      <c r="A75" s="57"/>
      <c r="B75" s="57"/>
      <c r="C75" s="57"/>
      <c r="D75" s="57"/>
      <c r="E75" s="57"/>
      <c r="F75" s="57"/>
      <c r="G75" s="57"/>
      <c r="H75" s="57"/>
      <c r="I75" s="57" t="s">
        <v>75</v>
      </c>
      <c r="J75" s="100"/>
      <c r="K75" s="101"/>
      <c r="L75" s="101"/>
      <c r="M75" s="57"/>
      <c r="N75" s="59" t="str">
        <f>IF(ISBLANK(J75),"",IF(OR(M75="Completed",M75="Closed"),"",IF(H75="Issue",IF(I75="High",WORKDAY(J75,2,DATA!A74:A102),IF(I75="Medium",WORKDAY(J75,14,DATA!A74:A102),IF(OR(I75="Low"),WORKDAY(J75,30,DATA!A74:A102),""))),
"")
))</f>
        <v/>
      </c>
      <c r="O75" s="60" t="str">
        <f ca="1">IF(OR(ISBLANK(#REF!), M75="Completed", M75="Closed", H75&lt;&gt;"Issue"), "",
   (NETWORKDAYS.INTL(TODAY(), N75, 1, DATA!A74:A102) - 1))</f>
        <v/>
      </c>
      <c r="P75" s="78" t="str">
        <f t="shared" ca="1" si="2"/>
        <v/>
      </c>
      <c r="Q75" s="62" t="str">
        <f t="shared" ca="1" si="3"/>
        <v/>
      </c>
    </row>
    <row r="76" spans="1:17" x14ac:dyDescent="0.3">
      <c r="A76" s="57"/>
      <c r="B76" s="57"/>
      <c r="C76" s="57"/>
      <c r="D76" s="57"/>
      <c r="E76" s="57"/>
      <c r="F76" s="57"/>
      <c r="G76" s="57"/>
      <c r="H76" s="57"/>
      <c r="I76" s="57" t="s">
        <v>75</v>
      </c>
      <c r="J76" s="100"/>
      <c r="K76" s="101"/>
      <c r="L76" s="101"/>
      <c r="M76" s="57"/>
      <c r="N76" s="59" t="str">
        <f>IF(ISBLANK(J76),"",IF(OR(M76="Completed",M76="Closed"),"",IF(H76="Issue",IF(I76="High",WORKDAY(J76,2,DATA!A75:A103),IF(I76="Medium",WORKDAY(J76,14,DATA!A75:A103),IF(OR(I76="Low"),WORKDAY(J76,30,DATA!A75:A103),""))),
"")
))</f>
        <v/>
      </c>
      <c r="O76" s="60" t="str">
        <f ca="1">IF(OR(ISBLANK(#REF!), M76="Completed", M76="Closed", H76&lt;&gt;"Issue"), "",
   (NETWORKDAYS.INTL(TODAY(), N76, 1, DATA!A75:A103) - 1))</f>
        <v/>
      </c>
      <c r="P76" s="78" t="str">
        <f t="shared" ca="1" si="2"/>
        <v/>
      </c>
      <c r="Q76" s="62" t="str">
        <f t="shared" ca="1" si="3"/>
        <v/>
      </c>
    </row>
    <row r="77" spans="1:17" x14ac:dyDescent="0.3">
      <c r="A77" s="57"/>
      <c r="B77" s="57"/>
      <c r="C77" s="57"/>
      <c r="D77" s="57"/>
      <c r="E77" s="57"/>
      <c r="F77" s="57"/>
      <c r="G77" s="57"/>
      <c r="H77" s="57"/>
      <c r="I77" s="57" t="s">
        <v>75</v>
      </c>
      <c r="J77" s="100"/>
      <c r="K77" s="100"/>
      <c r="L77" s="101"/>
      <c r="M77" s="57"/>
      <c r="N77" s="59" t="str">
        <f>IF(ISBLANK(J77),"",IF(OR(M77="Completed",M77="Closed"),"",IF(H77="Issue",IF(I77="High",WORKDAY(J77,2,DATA!A76:A104),IF(I77="Medium",WORKDAY(J77,14,DATA!A76:A104),IF(OR(I77="Low"),WORKDAY(J77,30,DATA!A76:A104),""))),
"")
))</f>
        <v/>
      </c>
      <c r="O77" s="60" t="str">
        <f ca="1">IF(OR(ISBLANK(#REF!), M77="Completed", M77="Closed", H77&lt;&gt;"Issue"), "",
   (NETWORKDAYS.INTL(TODAY(), N77, 1, DATA!A76:A104) - 1))</f>
        <v/>
      </c>
      <c r="P77" s="78" t="str">
        <f t="shared" ca="1" si="2"/>
        <v/>
      </c>
      <c r="Q77" s="62" t="str">
        <f t="shared" ca="1" si="3"/>
        <v/>
      </c>
    </row>
    <row r="78" spans="1:17" x14ac:dyDescent="0.3">
      <c r="A78" s="57"/>
      <c r="B78" s="57"/>
      <c r="C78" s="57"/>
      <c r="D78" s="57"/>
      <c r="E78" s="57"/>
      <c r="F78" s="57"/>
      <c r="G78" s="57"/>
      <c r="H78" s="57"/>
      <c r="I78" s="57" t="s">
        <v>75</v>
      </c>
      <c r="J78" s="100"/>
      <c r="K78" s="100"/>
      <c r="L78" s="100"/>
      <c r="M78" s="57"/>
      <c r="N78" s="59" t="str">
        <f>IF(ISBLANK(J78),"",IF(OR(M78="Completed",M78="Closed"),"",IF(H78="Issue",IF(I78="High",WORKDAY(J78,2,DATA!A77:A105),IF(I78="Medium",WORKDAY(J78,14,DATA!A77:A105),IF(OR(I78="Low"),WORKDAY(J78,30,DATA!A77:A105),""))),
"")
))</f>
        <v/>
      </c>
      <c r="O78" s="60" t="str">
        <f ca="1">IF(OR(ISBLANK(#REF!), M78="Completed", M78="Closed", H78&lt;&gt;"Issue"), "",
   (NETWORKDAYS.INTL(TODAY(), N78, 1, DATA!A77:A105) - 1))</f>
        <v/>
      </c>
      <c r="P78" s="78" t="str">
        <f t="shared" ca="1" si="2"/>
        <v/>
      </c>
      <c r="Q78" s="62" t="str">
        <f t="shared" ca="1" si="3"/>
        <v/>
      </c>
    </row>
    <row r="79" spans="1:17" x14ac:dyDescent="0.3">
      <c r="A79" s="57"/>
      <c r="B79" s="57"/>
      <c r="C79" s="57"/>
      <c r="D79" s="57"/>
      <c r="E79" s="57"/>
      <c r="F79" s="57"/>
      <c r="G79" s="57"/>
      <c r="H79" s="57"/>
      <c r="I79" s="57" t="s">
        <v>75</v>
      </c>
      <c r="J79" s="100"/>
      <c r="K79" s="100"/>
      <c r="L79" s="100"/>
      <c r="M79" s="57"/>
      <c r="N79" s="59" t="str">
        <f>IF(ISBLANK(J79),"",IF(OR(M79="Completed",M79="Closed"),"",IF(H79="Issue",IF(I79="High",WORKDAY(J79,2,DATA!A78:A106),IF(I79="Medium",WORKDAY(J79,14,DATA!A78:A106),IF(OR(I79="Low"),WORKDAY(J79,30,DATA!A78:A106),""))),
"")
))</f>
        <v/>
      </c>
      <c r="O79" s="60" t="str">
        <f ca="1">IF(OR(ISBLANK(#REF!), M79="Completed", M79="Closed", H79&lt;&gt;"Issue"), "",
   (NETWORKDAYS.INTL(TODAY(), N79, 1, DATA!A78:A106) - 1))</f>
        <v/>
      </c>
      <c r="P79" s="78" t="str">
        <f t="shared" ca="1" si="2"/>
        <v/>
      </c>
      <c r="Q79" s="62" t="str">
        <f t="shared" ca="1" si="3"/>
        <v/>
      </c>
    </row>
    <row r="80" spans="1:17" x14ac:dyDescent="0.3">
      <c r="A80" s="57"/>
      <c r="B80" s="57"/>
      <c r="C80" s="57"/>
      <c r="D80" s="57"/>
      <c r="E80" s="57"/>
      <c r="F80" s="57"/>
      <c r="G80" s="57"/>
      <c r="H80" s="57"/>
      <c r="I80" s="57" t="s">
        <v>75</v>
      </c>
      <c r="J80" s="100"/>
      <c r="K80" s="100"/>
      <c r="L80" s="100"/>
      <c r="M80" s="57"/>
      <c r="N80" s="59" t="str">
        <f>IF(ISBLANK(J80),"",IF(OR(M80="Completed",M80="Closed"),"",IF(H80="Issue",IF(I80="High",WORKDAY(J80,2,DATA!A79:A107),IF(I80="Medium",WORKDAY(J80,14,DATA!A79:A107),IF(OR(I80="Low"),WORKDAY(J80,30,DATA!A79:A107),""))),
"")
))</f>
        <v/>
      </c>
      <c r="O80" s="60" t="str">
        <f ca="1">IF(OR(ISBLANK(#REF!), M80="Completed", M80="Closed", H80&lt;&gt;"Issue"), "",
   (NETWORKDAYS.INTL(TODAY(), N80, 1, DATA!A79:A107) - 1))</f>
        <v/>
      </c>
      <c r="P80" s="78" t="str">
        <f t="shared" ca="1" si="2"/>
        <v/>
      </c>
      <c r="Q80" s="62" t="str">
        <f t="shared" ca="1" si="3"/>
        <v/>
      </c>
    </row>
    <row r="81" spans="1:17" x14ac:dyDescent="0.3">
      <c r="A81" s="57"/>
      <c r="B81" s="57"/>
      <c r="C81" s="57"/>
      <c r="D81" s="57"/>
      <c r="E81" s="57"/>
      <c r="F81" s="57"/>
      <c r="G81" s="57"/>
      <c r="H81" s="57"/>
      <c r="I81" s="57" t="s">
        <v>75</v>
      </c>
      <c r="J81" s="100"/>
      <c r="K81" s="100"/>
      <c r="L81" s="101"/>
      <c r="M81" s="57"/>
      <c r="N81" s="59" t="str">
        <f>IF(ISBLANK(J81),"",IF(OR(M81="Completed",M81="Closed"),"",IF(H81="Issue",IF(I81="High",WORKDAY(J81,2,DATA!A80:A108),IF(I81="Medium",WORKDAY(J81,14,DATA!A80:A108),IF(OR(I81="Low"),WORKDAY(J81,30,DATA!A80:A108),""))),
"")
))</f>
        <v/>
      </c>
      <c r="O81" s="60" t="str">
        <f ca="1">IF(OR(ISBLANK(#REF!), M81="Completed", M81="Closed", H81&lt;&gt;"Issue"), "",
   (NETWORKDAYS.INTL(TODAY(), N81, 1, DATA!A80:A108) - 1))</f>
        <v/>
      </c>
      <c r="P81" s="78" t="str">
        <f t="shared" ca="1" si="2"/>
        <v/>
      </c>
      <c r="Q81" s="62" t="str">
        <f t="shared" ca="1" si="3"/>
        <v/>
      </c>
    </row>
    <row r="82" spans="1:17" x14ac:dyDescent="0.3">
      <c r="A82" s="57"/>
      <c r="B82" s="57"/>
      <c r="C82" s="57"/>
      <c r="D82" s="57"/>
      <c r="E82" s="57"/>
      <c r="F82" s="57"/>
      <c r="G82" s="57"/>
      <c r="H82" s="57"/>
      <c r="I82" s="57" t="s">
        <v>75</v>
      </c>
      <c r="J82" s="100"/>
      <c r="K82" s="100"/>
      <c r="L82" s="100"/>
      <c r="M82" s="57"/>
      <c r="N82" s="59" t="str">
        <f>IF(ISBLANK(J82),"",IF(OR(M82="Completed",M82="Closed"),"",IF(H82="Issue",IF(I82="High",WORKDAY(J82,2,DATA!A81:A109),IF(I82="Medium",WORKDAY(J82,14,DATA!A81:A109),IF(OR(I82="Low"),WORKDAY(J82,30,DATA!A81:A109),""))),
"")
))</f>
        <v/>
      </c>
      <c r="O82" s="60" t="str">
        <f ca="1">IF(OR(ISBLANK(#REF!), M82="Completed", M82="Closed", H82&lt;&gt;"Issue"), "",
   (NETWORKDAYS.INTL(TODAY(), N82, 1, DATA!A81:A109) - 1))</f>
        <v/>
      </c>
      <c r="P82" s="78" t="str">
        <f t="shared" ca="1" si="2"/>
        <v/>
      </c>
      <c r="Q82" s="62" t="str">
        <f t="shared" ca="1" si="3"/>
        <v/>
      </c>
    </row>
    <row r="83" spans="1:17" x14ac:dyDescent="0.3">
      <c r="A83" s="57"/>
      <c r="B83" s="57"/>
      <c r="C83" s="57"/>
      <c r="D83" s="57"/>
      <c r="E83" s="57"/>
      <c r="F83" s="57"/>
      <c r="G83" s="57"/>
      <c r="H83" s="57"/>
      <c r="I83" s="57" t="s">
        <v>75</v>
      </c>
      <c r="J83" s="100"/>
      <c r="K83" s="101"/>
      <c r="L83" s="101"/>
      <c r="M83" s="57"/>
      <c r="N83" s="59" t="str">
        <f>IF(ISBLANK(J83),"",IF(OR(M83="Completed",M83="Closed"),"",IF(H83="Issue",IF(I83="High",WORKDAY(J83,2,DATA!A82:A110),IF(I83="Medium",WORKDAY(J83,14,DATA!A82:A110),IF(OR(I83="Low"),WORKDAY(J83,30,DATA!A82:A110),""))),
"")
))</f>
        <v/>
      </c>
      <c r="O83" s="60" t="str">
        <f ca="1">IF(OR(ISBLANK(#REF!), M83="Completed", M83="Closed", H83&lt;&gt;"Issue"), "",
   (NETWORKDAYS.INTL(TODAY(), N83, 1, DATA!A82:A110) - 1))</f>
        <v/>
      </c>
      <c r="P83" s="78" t="str">
        <f t="shared" ca="1" si="2"/>
        <v/>
      </c>
      <c r="Q83" s="62" t="str">
        <f t="shared" ca="1" si="3"/>
        <v/>
      </c>
    </row>
    <row r="84" spans="1:17" x14ac:dyDescent="0.3">
      <c r="A84" s="57"/>
      <c r="B84" s="57"/>
      <c r="C84" s="57"/>
      <c r="D84" s="57"/>
      <c r="E84" s="57"/>
      <c r="F84" s="57"/>
      <c r="G84" s="57"/>
      <c r="H84" s="57"/>
      <c r="I84" s="57" t="s">
        <v>75</v>
      </c>
      <c r="J84" s="100"/>
      <c r="K84" s="101"/>
      <c r="L84" s="101"/>
      <c r="M84" s="57"/>
      <c r="N84" s="59" t="str">
        <f>IF(ISBLANK(J84),"",IF(OR(M84="Completed",M84="Closed"),"",IF(H84="Issue",IF(I84="High",WORKDAY(J84,2,DATA!A83:A111),IF(I84="Medium",WORKDAY(J84,14,DATA!A83:A111),IF(OR(I84="Low"),WORKDAY(J84,30,DATA!A83:A111),""))),
"")
))</f>
        <v/>
      </c>
      <c r="O84" s="60" t="str">
        <f ca="1">IF(OR(ISBLANK(#REF!), M84="Completed", M84="Closed", H84&lt;&gt;"Issue"), "",
   (NETWORKDAYS.INTL(TODAY(), N84, 1, DATA!A83:A111) - 1))</f>
        <v/>
      </c>
      <c r="P84" s="78" t="str">
        <f t="shared" ca="1" si="2"/>
        <v/>
      </c>
      <c r="Q84" s="62" t="str">
        <f t="shared" ca="1" si="3"/>
        <v/>
      </c>
    </row>
    <row r="85" spans="1:17" x14ac:dyDescent="0.3">
      <c r="A85" s="57"/>
      <c r="B85" s="57"/>
      <c r="C85" s="57"/>
      <c r="D85" s="57"/>
      <c r="E85" s="57"/>
      <c r="F85" s="57"/>
      <c r="G85" s="57"/>
      <c r="H85" s="57"/>
      <c r="I85" s="57" t="s">
        <v>75</v>
      </c>
      <c r="J85" s="100"/>
      <c r="K85" s="101"/>
      <c r="L85" s="101"/>
      <c r="M85" s="57"/>
      <c r="N85" s="59" t="str">
        <f>IF(ISBLANK(J85),"",IF(OR(M85="Completed",M85="Closed"),"",IF(H85="Issue",IF(I85="High",WORKDAY(J85,2,DATA!A84:A112),IF(I85="Medium",WORKDAY(J85,14,DATA!A84:A112),IF(OR(I85="Low"),WORKDAY(J85,30,DATA!A84:A112),""))),
"")
))</f>
        <v/>
      </c>
      <c r="O85" s="60" t="str">
        <f ca="1">IF(OR(ISBLANK(#REF!), M85="Completed", M85="Closed", H85&lt;&gt;"Issue"), "",
   (NETWORKDAYS.INTL(TODAY(), N85, 1, DATA!A84:A112) - 1))</f>
        <v/>
      </c>
      <c r="P85" s="78" t="str">
        <f t="shared" ca="1" si="2"/>
        <v/>
      </c>
      <c r="Q85" s="62" t="str">
        <f t="shared" ca="1" si="3"/>
        <v/>
      </c>
    </row>
    <row r="86" spans="1:17" x14ac:dyDescent="0.3">
      <c r="A86" s="57"/>
      <c r="B86" s="57"/>
      <c r="C86" s="57"/>
      <c r="D86" s="57"/>
      <c r="E86" s="57"/>
      <c r="F86" s="57"/>
      <c r="G86" s="57"/>
      <c r="H86" s="57"/>
      <c r="I86" s="57" t="s">
        <v>75</v>
      </c>
      <c r="J86" s="100"/>
      <c r="K86" s="101"/>
      <c r="L86" s="101"/>
      <c r="M86" s="57"/>
      <c r="N86" s="59" t="str">
        <f>IF(ISBLANK(J86),"",IF(OR(M86="Completed",M86="Closed"),"",IF(H86="Issue",IF(I86="High",WORKDAY(J86,2,DATA!A85:A113),IF(I86="Medium",WORKDAY(J86,14,DATA!A85:A113),IF(OR(I86="Low"),WORKDAY(J86,30,DATA!A85:A113),""))),
"")
))</f>
        <v/>
      </c>
      <c r="O86" s="60" t="str">
        <f ca="1">IF(OR(ISBLANK(#REF!), M86="Completed", M86="Closed", H86&lt;&gt;"Issue"), "",
   (NETWORKDAYS.INTL(TODAY(), N86, 1, DATA!A85:A113) - 1))</f>
        <v/>
      </c>
      <c r="P86" s="78" t="str">
        <f t="shared" ca="1" si="2"/>
        <v/>
      </c>
      <c r="Q86" s="62" t="str">
        <f t="shared" ca="1" si="3"/>
        <v/>
      </c>
    </row>
    <row r="87" spans="1:17" x14ac:dyDescent="0.3">
      <c r="A87" s="57"/>
      <c r="B87" s="57"/>
      <c r="C87" s="57"/>
      <c r="D87" s="57"/>
      <c r="E87" s="57"/>
      <c r="F87" s="57"/>
      <c r="G87" s="57"/>
      <c r="H87" s="57"/>
      <c r="I87" s="57" t="s">
        <v>75</v>
      </c>
      <c r="J87" s="100"/>
      <c r="K87" s="101"/>
      <c r="L87" s="101"/>
      <c r="M87" s="57"/>
      <c r="N87" s="59" t="str">
        <f>IF(ISBLANK(J87),"",IF(OR(M87="Completed",M87="Closed"),"",IF(H87="Issue",IF(I87="High",WORKDAY(J87,2,DATA!A86:A114),IF(I87="Medium",WORKDAY(J87,14,DATA!A86:A114),IF(OR(I87="Low"),WORKDAY(J87,30,DATA!A86:A114),""))),
"")
))</f>
        <v/>
      </c>
      <c r="O87" s="60" t="str">
        <f ca="1">IF(OR(ISBLANK(#REF!), M87="Completed", M87="Closed", H87&lt;&gt;"Issue"), "",
   (NETWORKDAYS.INTL(TODAY(), N87, 1, DATA!A86:A114) - 1))</f>
        <v/>
      </c>
      <c r="P87" s="78" t="str">
        <f t="shared" ca="1" si="2"/>
        <v/>
      </c>
      <c r="Q87" s="62" t="str">
        <f t="shared" ca="1" si="3"/>
        <v/>
      </c>
    </row>
    <row r="88" spans="1:17" x14ac:dyDescent="0.3">
      <c r="A88" s="57"/>
      <c r="B88" s="57"/>
      <c r="C88" s="57"/>
      <c r="D88" s="57"/>
      <c r="E88" s="57"/>
      <c r="F88" s="57"/>
      <c r="G88" s="57"/>
      <c r="H88" s="57"/>
      <c r="I88" s="57" t="s">
        <v>75</v>
      </c>
      <c r="J88" s="100"/>
      <c r="K88" s="101"/>
      <c r="L88" s="101"/>
      <c r="M88" s="57"/>
      <c r="N88" s="59" t="str">
        <f>IF(ISBLANK(J88),"",IF(OR(M88="Completed",M88="Closed"),"",IF(H88="Issue",IF(I88="High",WORKDAY(J88,2,DATA!A87:A115),IF(I88="Medium",WORKDAY(J88,14,DATA!A87:A115),IF(OR(I88="Low"),WORKDAY(J88,30,DATA!A87:A115),""))),
"")
))</f>
        <v/>
      </c>
      <c r="O88" s="60" t="str">
        <f ca="1">IF(OR(ISBLANK(#REF!), M88="Completed", M88="Closed", H88&lt;&gt;"Issue"), "",
   (NETWORKDAYS.INTL(TODAY(), N88, 1, DATA!A87:A115) - 1))</f>
        <v/>
      </c>
      <c r="P88" s="78" t="str">
        <f t="shared" ca="1" si="2"/>
        <v/>
      </c>
      <c r="Q88" s="62" t="str">
        <f t="shared" ca="1" si="3"/>
        <v/>
      </c>
    </row>
    <row r="89" spans="1:17" x14ac:dyDescent="0.3">
      <c r="A89" s="57"/>
      <c r="B89" s="57"/>
      <c r="C89" s="57"/>
      <c r="D89" s="57"/>
      <c r="E89" s="57"/>
      <c r="F89" s="57"/>
      <c r="G89" s="57"/>
      <c r="H89" s="57"/>
      <c r="I89" s="57" t="s">
        <v>75</v>
      </c>
      <c r="J89" s="100"/>
      <c r="K89" s="101"/>
      <c r="L89" s="101"/>
      <c r="M89" s="57"/>
      <c r="N89" s="59" t="str">
        <f>IF(ISBLANK(J89),"",IF(OR(M89="Completed",M89="Closed"),"",IF(H89="Issue",IF(I89="High",WORKDAY(J89,2,DATA!A88:A116),IF(I89="Medium",WORKDAY(J89,14,DATA!A88:A116),IF(OR(I89="Low"),WORKDAY(J89,30,DATA!A88:A116),""))),
"")
))</f>
        <v/>
      </c>
      <c r="O89" s="60" t="str">
        <f ca="1">IF(OR(ISBLANK(#REF!), M89="Completed", M89="Closed", H89&lt;&gt;"Issue"), "",
   (NETWORKDAYS.INTL(TODAY(), N89, 1, DATA!A88:A116) - 1))</f>
        <v/>
      </c>
      <c r="P89" s="78" t="str">
        <f t="shared" ca="1" si="2"/>
        <v/>
      </c>
      <c r="Q89" s="62" t="str">
        <f t="shared" ca="1" si="3"/>
        <v/>
      </c>
    </row>
    <row r="90" spans="1:17" x14ac:dyDescent="0.3">
      <c r="A90" s="57"/>
      <c r="B90" s="57"/>
      <c r="C90" s="57"/>
      <c r="D90" s="57"/>
      <c r="E90" s="57"/>
      <c r="F90" s="57"/>
      <c r="G90" s="57"/>
      <c r="H90" s="57"/>
      <c r="I90" s="57" t="s">
        <v>75</v>
      </c>
      <c r="J90" s="100"/>
      <c r="K90" s="101"/>
      <c r="L90" s="101"/>
      <c r="M90" s="57"/>
      <c r="N90" s="59" t="str">
        <f>IF(ISBLANK(J90),"",IF(OR(M90="Completed",M90="Closed"),"",IF(H90="Issue",IF(I90="High",WORKDAY(J90,2,DATA!A89:A117),IF(I90="Medium",WORKDAY(J90,14,DATA!A89:A117),IF(OR(I90="Low"),WORKDAY(J90,30,DATA!A89:A117),""))),
"")
))</f>
        <v/>
      </c>
      <c r="O90" s="60" t="str">
        <f ca="1">IF(OR(ISBLANK(#REF!), M90="Completed", M90="Closed", H90&lt;&gt;"Issue"), "",
   (NETWORKDAYS.INTL(TODAY(), N90, 1, DATA!A89:A117) - 1))</f>
        <v/>
      </c>
      <c r="P90" s="78" t="str">
        <f t="shared" ca="1" si="2"/>
        <v/>
      </c>
      <c r="Q90" s="62" t="str">
        <f t="shared" ca="1" si="3"/>
        <v/>
      </c>
    </row>
    <row r="91" spans="1:17" x14ac:dyDescent="0.3">
      <c r="A91" s="57"/>
      <c r="B91" s="57"/>
      <c r="C91" s="57"/>
      <c r="D91" s="57"/>
      <c r="E91" s="57"/>
      <c r="F91" s="57"/>
      <c r="G91" s="57"/>
      <c r="H91" s="57"/>
      <c r="I91" s="57" t="s">
        <v>75</v>
      </c>
      <c r="J91" s="100"/>
      <c r="K91" s="101"/>
      <c r="L91" s="101"/>
      <c r="M91" s="57"/>
      <c r="N91" s="59" t="str">
        <f>IF(ISBLANK(J91),"",IF(OR(M91="Completed",M91="Closed"),"",IF(H91="Issue",IF(I91="High",WORKDAY(J91,2,DATA!A90:A118),IF(I91="Medium",WORKDAY(J91,14,DATA!A90:A118),IF(OR(I91="Low"),WORKDAY(J91,30,DATA!A90:A118),""))),
"")
))</f>
        <v/>
      </c>
      <c r="O91" s="60" t="str">
        <f ca="1">IF(OR(ISBLANK(#REF!), M91="Completed", M91="Closed", H91&lt;&gt;"Issue"), "",
   (NETWORKDAYS.INTL(TODAY(), N91, 1, DATA!A90:A118) - 1))</f>
        <v/>
      </c>
      <c r="P91" s="78" t="str">
        <f t="shared" ca="1" si="2"/>
        <v/>
      </c>
      <c r="Q91" s="62" t="str">
        <f t="shared" ca="1" si="3"/>
        <v/>
      </c>
    </row>
    <row r="92" spans="1:17" x14ac:dyDescent="0.3">
      <c r="A92" s="57"/>
      <c r="B92" s="57"/>
      <c r="C92" s="57"/>
      <c r="D92" s="57"/>
      <c r="E92" s="57"/>
      <c r="F92" s="57"/>
      <c r="G92" s="57"/>
      <c r="H92" s="57"/>
      <c r="I92" s="57" t="s">
        <v>75</v>
      </c>
      <c r="J92" s="100"/>
      <c r="K92" s="101"/>
      <c r="L92" s="101"/>
      <c r="M92" s="57"/>
      <c r="N92" s="59" t="str">
        <f>IF(ISBLANK(J92),"",IF(OR(M92="Completed",M92="Closed"),"",IF(H92="Issue",IF(I92="High",WORKDAY(J92,2,DATA!A91:A119),IF(I92="Medium",WORKDAY(J92,14,DATA!A91:A119),IF(OR(I92="Low"),WORKDAY(J92,30,DATA!A91:A119),""))),
"")
))</f>
        <v/>
      </c>
      <c r="O92" s="60" t="str">
        <f ca="1">IF(OR(ISBLANK(#REF!), M92="Completed", M92="Closed", H92&lt;&gt;"Issue"), "",
   (NETWORKDAYS.INTL(TODAY(), N92, 1, DATA!A91:A119) - 1))</f>
        <v/>
      </c>
      <c r="P92" s="78" t="str">
        <f t="shared" ca="1" si="2"/>
        <v/>
      </c>
      <c r="Q92" s="62" t="str">
        <f t="shared" ca="1" si="3"/>
        <v/>
      </c>
    </row>
    <row r="93" spans="1:17" x14ac:dyDescent="0.3">
      <c r="A93" s="57"/>
      <c r="B93" s="57"/>
      <c r="C93" s="57"/>
      <c r="D93" s="57"/>
      <c r="E93" s="57"/>
      <c r="F93" s="57"/>
      <c r="G93" s="57"/>
      <c r="H93" s="57"/>
      <c r="I93" s="57" t="s">
        <v>75</v>
      </c>
      <c r="J93" s="100"/>
      <c r="K93" s="101"/>
      <c r="L93" s="101"/>
      <c r="M93" s="57"/>
      <c r="N93" s="59" t="str">
        <f>IF(ISBLANK(J93),"",IF(OR(M93="Completed",M93="Closed"),"",IF(H93="Issue",IF(I93="High",WORKDAY(J93,2,DATA!A92:A120),IF(I93="Medium",WORKDAY(J93,14,DATA!A92:A120),IF(OR(I93="Low"),WORKDAY(J93,30,DATA!A92:A120),""))),
"")
))</f>
        <v/>
      </c>
      <c r="O93" s="60" t="str">
        <f ca="1">IF(OR(ISBLANK(#REF!), M93="Completed", M93="Closed", H93&lt;&gt;"Issue"), "",
   (NETWORKDAYS.INTL(TODAY(), N93, 1, DATA!A92:A120) - 1))</f>
        <v/>
      </c>
      <c r="P93" s="78" t="str">
        <f t="shared" ca="1" si="2"/>
        <v/>
      </c>
      <c r="Q93" s="62" t="str">
        <f t="shared" ca="1" si="3"/>
        <v/>
      </c>
    </row>
    <row r="94" spans="1:17" x14ac:dyDescent="0.3">
      <c r="A94" s="57"/>
      <c r="B94" s="57"/>
      <c r="C94" s="57"/>
      <c r="D94" s="57"/>
      <c r="E94" s="57"/>
      <c r="F94" s="57"/>
      <c r="G94" s="57"/>
      <c r="H94" s="57"/>
      <c r="I94" s="57" t="s">
        <v>75</v>
      </c>
      <c r="J94" s="100"/>
      <c r="K94" s="101"/>
      <c r="L94" s="101"/>
      <c r="M94" s="57"/>
      <c r="N94" s="59" t="str">
        <f>IF(ISBLANK(J94),"",IF(OR(M94="Completed",M94="Closed"),"",IF(H94="Issue",IF(I94="High",WORKDAY(J94,2,DATA!A93:A121),IF(I94="Medium",WORKDAY(J94,14,DATA!A93:A121),IF(OR(I94="Low"),WORKDAY(J94,30,DATA!A93:A121),""))),
"")
))</f>
        <v/>
      </c>
      <c r="O94" s="60" t="str">
        <f ca="1">IF(OR(ISBLANK(#REF!), M94="Completed", M94="Closed", H94&lt;&gt;"Issue"), "",
   (NETWORKDAYS.INTL(TODAY(), N94, 1, DATA!A93:A121) - 1))</f>
        <v/>
      </c>
      <c r="P94" s="78" t="str">
        <f t="shared" ca="1" si="2"/>
        <v/>
      </c>
      <c r="Q94" s="62" t="str">
        <f t="shared" ca="1" si="3"/>
        <v/>
      </c>
    </row>
    <row r="95" spans="1:17" x14ac:dyDescent="0.3">
      <c r="A95" s="57"/>
      <c r="B95" s="57"/>
      <c r="C95" s="57"/>
      <c r="D95" s="57"/>
      <c r="E95" s="57"/>
      <c r="F95" s="57"/>
      <c r="G95" s="57"/>
      <c r="H95" s="57"/>
      <c r="I95" s="57" t="s">
        <v>75</v>
      </c>
      <c r="J95" s="100"/>
      <c r="K95" s="101"/>
      <c r="L95" s="101"/>
      <c r="M95" s="57"/>
      <c r="N95" s="59" t="str">
        <f>IF(ISBLANK(J95),"",IF(OR(M95="Completed",M95="Closed"),"",IF(H95="Issue",IF(I95="High",WORKDAY(J95,2,DATA!A94:A122),IF(I95="Medium",WORKDAY(J95,14,DATA!A94:A122),IF(OR(I95="Low"),WORKDAY(J95,30,DATA!A94:A122),""))),
"")
))</f>
        <v/>
      </c>
      <c r="O95" s="60" t="str">
        <f ca="1">IF(OR(ISBLANK(#REF!), M95="Completed", M95="Closed", H95&lt;&gt;"Issue"), "",
   (NETWORKDAYS.INTL(TODAY(), N95, 1, DATA!A94:A122) - 1))</f>
        <v/>
      </c>
      <c r="P95" s="78" t="str">
        <f t="shared" ca="1" si="2"/>
        <v/>
      </c>
      <c r="Q95" s="62" t="str">
        <f t="shared" ca="1" si="3"/>
        <v/>
      </c>
    </row>
    <row r="96" spans="1:17" x14ac:dyDescent="0.3">
      <c r="I96" s="57" t="s">
        <v>75</v>
      </c>
      <c r="J96" s="112"/>
      <c r="K96" s="112"/>
      <c r="L96" s="112"/>
      <c r="P96" s="78" t="str">
        <f t="shared" si="2"/>
        <v/>
      </c>
      <c r="Q96" s="62" t="str">
        <f t="shared" si="3"/>
        <v/>
      </c>
    </row>
    <row r="97" spans="9:17" x14ac:dyDescent="0.3">
      <c r="I97" s="57" t="s">
        <v>75</v>
      </c>
      <c r="J97" s="112"/>
      <c r="K97" s="112"/>
      <c r="L97" s="112"/>
      <c r="P97" s="78" t="str">
        <f t="shared" si="2"/>
        <v/>
      </c>
      <c r="Q97" s="62" t="str">
        <f t="shared" si="3"/>
        <v/>
      </c>
    </row>
    <row r="98" spans="9:17" x14ac:dyDescent="0.3">
      <c r="I98" s="57" t="s">
        <v>75</v>
      </c>
      <c r="J98" s="112"/>
      <c r="K98" s="112"/>
      <c r="L98" s="112"/>
      <c r="P98" s="78" t="str">
        <f t="shared" si="2"/>
        <v/>
      </c>
      <c r="Q98" s="62" t="str">
        <f t="shared" si="3"/>
        <v/>
      </c>
    </row>
    <row r="99" spans="9:17" x14ac:dyDescent="0.3">
      <c r="I99" s="57" t="s">
        <v>75</v>
      </c>
      <c r="J99" s="112"/>
      <c r="K99" s="112"/>
      <c r="L99" s="112"/>
      <c r="P99" s="78" t="str">
        <f t="shared" si="2"/>
        <v/>
      </c>
      <c r="Q99" s="62" t="str">
        <f t="shared" si="3"/>
        <v/>
      </c>
    </row>
    <row r="100" spans="9:17" x14ac:dyDescent="0.3">
      <c r="I100" s="57" t="s">
        <v>75</v>
      </c>
      <c r="J100" s="112"/>
      <c r="K100" s="112"/>
      <c r="L100" s="112"/>
      <c r="P100" s="78" t="str">
        <f t="shared" si="2"/>
        <v/>
      </c>
      <c r="Q100" s="62" t="str">
        <f t="shared" si="3"/>
        <v/>
      </c>
    </row>
    <row r="101" spans="9:17" x14ac:dyDescent="0.3">
      <c r="I101" s="57" t="s">
        <v>75</v>
      </c>
      <c r="J101" s="112"/>
      <c r="K101" s="112"/>
      <c r="L101" s="112"/>
      <c r="P101" s="78" t="str">
        <f t="shared" si="2"/>
        <v/>
      </c>
      <c r="Q101" s="62" t="str">
        <f t="shared" si="3"/>
        <v/>
      </c>
    </row>
    <row r="102" spans="9:17" x14ac:dyDescent="0.3">
      <c r="I102" s="57" t="s">
        <v>75</v>
      </c>
      <c r="J102" s="112"/>
      <c r="K102" s="112"/>
      <c r="L102" s="112"/>
      <c r="P102" s="78" t="str">
        <f t="shared" si="2"/>
        <v/>
      </c>
      <c r="Q102" s="62" t="str">
        <f t="shared" si="3"/>
        <v/>
      </c>
    </row>
    <row r="103" spans="9:17" x14ac:dyDescent="0.3">
      <c r="I103" s="57" t="s">
        <v>75</v>
      </c>
      <c r="J103" s="112"/>
      <c r="K103" s="112"/>
      <c r="L103" s="112"/>
      <c r="P103" s="78" t="str">
        <f t="shared" si="2"/>
        <v/>
      </c>
      <c r="Q103" s="62" t="str">
        <f t="shared" si="3"/>
        <v/>
      </c>
    </row>
    <row r="104" spans="9:17" x14ac:dyDescent="0.3">
      <c r="I104" s="57" t="s">
        <v>75</v>
      </c>
      <c r="J104" s="112"/>
      <c r="K104" s="112"/>
      <c r="L104" s="112"/>
      <c r="P104" s="78" t="str">
        <f t="shared" si="2"/>
        <v/>
      </c>
      <c r="Q104" s="62" t="str">
        <f t="shared" si="3"/>
        <v/>
      </c>
    </row>
    <row r="105" spans="9:17" x14ac:dyDescent="0.3">
      <c r="I105" s="57" t="s">
        <v>75</v>
      </c>
      <c r="J105" s="112"/>
      <c r="K105" s="112"/>
      <c r="L105" s="112"/>
      <c r="P105" s="78" t="str">
        <f t="shared" si="2"/>
        <v/>
      </c>
      <c r="Q105" s="62" t="str">
        <f t="shared" si="3"/>
        <v/>
      </c>
    </row>
    <row r="106" spans="9:17" x14ac:dyDescent="0.3">
      <c r="I106" s="57" t="s">
        <v>75</v>
      </c>
      <c r="J106" s="112"/>
      <c r="K106" s="112"/>
      <c r="L106" s="112"/>
      <c r="P106" s="78" t="str">
        <f t="shared" si="2"/>
        <v/>
      </c>
      <c r="Q106" s="62" t="str">
        <f t="shared" si="3"/>
        <v/>
      </c>
    </row>
    <row r="107" spans="9:17" x14ac:dyDescent="0.3">
      <c r="I107" s="57" t="s">
        <v>75</v>
      </c>
      <c r="J107" s="112"/>
      <c r="K107" s="112"/>
      <c r="L107" s="112"/>
      <c r="P107" s="78" t="str">
        <f t="shared" si="2"/>
        <v/>
      </c>
      <c r="Q107" s="62" t="str">
        <f t="shared" si="3"/>
        <v/>
      </c>
    </row>
    <row r="108" spans="9:17" x14ac:dyDescent="0.3">
      <c r="I108" s="57" t="s">
        <v>75</v>
      </c>
      <c r="J108" s="112"/>
      <c r="K108" s="112"/>
      <c r="L108" s="112"/>
      <c r="P108" s="78" t="str">
        <f t="shared" si="2"/>
        <v/>
      </c>
      <c r="Q108" s="62" t="str">
        <f t="shared" si="3"/>
        <v/>
      </c>
    </row>
    <row r="109" spans="9:17" x14ac:dyDescent="0.3">
      <c r="I109" s="57" t="s">
        <v>75</v>
      </c>
      <c r="J109" s="112"/>
      <c r="K109" s="112"/>
      <c r="L109" s="112"/>
      <c r="P109" s="78" t="str">
        <f t="shared" si="2"/>
        <v/>
      </c>
      <c r="Q109" s="62" t="str">
        <f t="shared" si="3"/>
        <v/>
      </c>
    </row>
    <row r="110" spans="9:17" x14ac:dyDescent="0.3">
      <c r="I110" s="57" t="s">
        <v>75</v>
      </c>
      <c r="J110" s="112"/>
      <c r="K110" s="112"/>
      <c r="L110" s="112"/>
      <c r="P110" s="78" t="str">
        <f t="shared" si="2"/>
        <v/>
      </c>
      <c r="Q110" s="62" t="str">
        <f t="shared" si="3"/>
        <v/>
      </c>
    </row>
    <row r="111" spans="9:17" x14ac:dyDescent="0.3">
      <c r="I111" s="57" t="s">
        <v>75</v>
      </c>
      <c r="J111" s="112"/>
      <c r="K111" s="112"/>
      <c r="L111" s="112"/>
      <c r="P111" s="78" t="str">
        <f t="shared" si="2"/>
        <v/>
      </c>
      <c r="Q111" s="62" t="str">
        <f t="shared" si="3"/>
        <v/>
      </c>
    </row>
    <row r="112" spans="9:17" x14ac:dyDescent="0.3">
      <c r="I112" s="57" t="s">
        <v>75</v>
      </c>
      <c r="J112" s="112"/>
      <c r="K112" s="112"/>
      <c r="L112" s="112"/>
      <c r="P112" s="78" t="str">
        <f t="shared" si="2"/>
        <v/>
      </c>
      <c r="Q112" s="62" t="str">
        <f t="shared" si="3"/>
        <v/>
      </c>
    </row>
    <row r="113" spans="9:17" x14ac:dyDescent="0.3">
      <c r="I113" s="57" t="s">
        <v>75</v>
      </c>
      <c r="J113" s="112"/>
      <c r="K113" s="112"/>
      <c r="L113" s="112"/>
      <c r="P113" s="78" t="str">
        <f t="shared" si="2"/>
        <v/>
      </c>
      <c r="Q113" s="62" t="str">
        <f t="shared" si="3"/>
        <v/>
      </c>
    </row>
    <row r="114" spans="9:17" x14ac:dyDescent="0.3">
      <c r="I114" s="57" t="s">
        <v>75</v>
      </c>
      <c r="J114" s="112"/>
      <c r="K114" s="112"/>
      <c r="L114" s="112"/>
      <c r="P114" s="78" t="str">
        <f t="shared" si="2"/>
        <v/>
      </c>
      <c r="Q114" s="62" t="str">
        <f t="shared" si="3"/>
        <v/>
      </c>
    </row>
    <row r="115" spans="9:17" x14ac:dyDescent="0.3">
      <c r="I115" s="57" t="s">
        <v>75</v>
      </c>
      <c r="J115" s="112"/>
      <c r="K115" s="112"/>
      <c r="L115" s="112"/>
      <c r="P115" s="78" t="str">
        <f t="shared" si="2"/>
        <v/>
      </c>
      <c r="Q115" s="62" t="str">
        <f t="shared" si="3"/>
        <v/>
      </c>
    </row>
    <row r="116" spans="9:17" x14ac:dyDescent="0.3">
      <c r="I116" s="57" t="s">
        <v>75</v>
      </c>
      <c r="J116" s="112"/>
      <c r="K116" s="112"/>
      <c r="L116" s="112"/>
      <c r="P116" s="78" t="str">
        <f t="shared" si="2"/>
        <v/>
      </c>
      <c r="Q116" s="62" t="str">
        <f t="shared" si="3"/>
        <v/>
      </c>
    </row>
    <row r="117" spans="9:17" x14ac:dyDescent="0.3">
      <c r="I117" s="57" t="s">
        <v>75</v>
      </c>
      <c r="J117" s="112"/>
      <c r="K117" s="112"/>
      <c r="L117" s="112"/>
      <c r="P117" s="78" t="str">
        <f t="shared" si="2"/>
        <v/>
      </c>
      <c r="Q117" s="62" t="str">
        <f t="shared" si="3"/>
        <v/>
      </c>
    </row>
    <row r="118" spans="9:17" x14ac:dyDescent="0.3">
      <c r="I118" s="57" t="s">
        <v>75</v>
      </c>
      <c r="J118" s="112"/>
      <c r="K118" s="112"/>
      <c r="L118" s="112"/>
      <c r="P118" s="78" t="str">
        <f t="shared" si="2"/>
        <v/>
      </c>
      <c r="Q118" s="62" t="str">
        <f t="shared" si="3"/>
        <v/>
      </c>
    </row>
    <row r="119" spans="9:17" x14ac:dyDescent="0.3">
      <c r="I119" s="57" t="s">
        <v>75</v>
      </c>
      <c r="J119" s="112"/>
      <c r="K119" s="112"/>
      <c r="L119" s="112"/>
      <c r="P119" s="78" t="str">
        <f t="shared" si="2"/>
        <v/>
      </c>
      <c r="Q119" s="62" t="str">
        <f t="shared" si="3"/>
        <v/>
      </c>
    </row>
    <row r="120" spans="9:17" x14ac:dyDescent="0.3">
      <c r="I120" s="57" t="s">
        <v>75</v>
      </c>
      <c r="J120" s="112"/>
      <c r="K120" s="112"/>
      <c r="L120" s="112"/>
      <c r="P120" s="78" t="str">
        <f t="shared" si="2"/>
        <v/>
      </c>
      <c r="Q120" s="62" t="str">
        <f t="shared" si="3"/>
        <v/>
      </c>
    </row>
    <row r="121" spans="9:17" x14ac:dyDescent="0.3">
      <c r="I121" s="57" t="s">
        <v>75</v>
      </c>
      <c r="J121" s="112"/>
      <c r="K121" s="112"/>
      <c r="L121" s="112"/>
      <c r="P121" s="78" t="str">
        <f t="shared" si="2"/>
        <v/>
      </c>
      <c r="Q121" s="62" t="str">
        <f t="shared" si="3"/>
        <v/>
      </c>
    </row>
    <row r="122" spans="9:17" x14ac:dyDescent="0.3">
      <c r="I122" s="57" t="s">
        <v>75</v>
      </c>
      <c r="J122" s="112"/>
      <c r="K122" s="112"/>
      <c r="L122" s="112"/>
      <c r="P122" s="78" t="str">
        <f t="shared" si="2"/>
        <v/>
      </c>
      <c r="Q122" s="62" t="str">
        <f t="shared" si="3"/>
        <v/>
      </c>
    </row>
    <row r="123" spans="9:17" x14ac:dyDescent="0.3">
      <c r="I123" s="57" t="s">
        <v>75</v>
      </c>
      <c r="J123" s="112"/>
      <c r="K123" s="112"/>
      <c r="L123" s="112"/>
      <c r="P123" s="78" t="str">
        <f t="shared" si="2"/>
        <v/>
      </c>
      <c r="Q123" s="62" t="str">
        <f t="shared" si="3"/>
        <v/>
      </c>
    </row>
    <row r="124" spans="9:17" x14ac:dyDescent="0.3">
      <c r="I124" s="57" t="s">
        <v>75</v>
      </c>
      <c r="J124" s="112"/>
      <c r="K124" s="112"/>
      <c r="L124" s="112"/>
      <c r="P124" s="78" t="str">
        <f t="shared" si="2"/>
        <v/>
      </c>
      <c r="Q124" s="62" t="str">
        <f t="shared" si="3"/>
        <v/>
      </c>
    </row>
    <row r="125" spans="9:17" x14ac:dyDescent="0.3">
      <c r="I125" s="57" t="s">
        <v>75</v>
      </c>
      <c r="J125" s="112"/>
      <c r="K125" s="112"/>
      <c r="L125" s="112"/>
      <c r="P125" s="78" t="str">
        <f t="shared" si="2"/>
        <v/>
      </c>
      <c r="Q125" s="62" t="str">
        <f t="shared" si="3"/>
        <v/>
      </c>
    </row>
    <row r="126" spans="9:17" x14ac:dyDescent="0.3">
      <c r="I126" s="57" t="s">
        <v>75</v>
      </c>
      <c r="J126" s="112"/>
      <c r="K126" s="112"/>
      <c r="L126" s="112"/>
      <c r="P126" s="78" t="str">
        <f t="shared" si="2"/>
        <v/>
      </c>
      <c r="Q126" s="62" t="str">
        <f t="shared" si="3"/>
        <v/>
      </c>
    </row>
    <row r="127" spans="9:17" x14ac:dyDescent="0.3">
      <c r="I127" s="57" t="s">
        <v>75</v>
      </c>
      <c r="J127" s="112"/>
      <c r="K127" s="112"/>
      <c r="L127" s="112"/>
      <c r="P127" s="78" t="str">
        <f t="shared" si="2"/>
        <v/>
      </c>
      <c r="Q127" s="62" t="str">
        <f t="shared" si="3"/>
        <v/>
      </c>
    </row>
    <row r="128" spans="9:17" x14ac:dyDescent="0.3">
      <c r="I128" s="57" t="s">
        <v>75</v>
      </c>
      <c r="J128" s="112"/>
      <c r="K128" s="112"/>
      <c r="L128" s="112"/>
      <c r="P128" s="78" t="str">
        <f t="shared" si="2"/>
        <v/>
      </c>
      <c r="Q128" s="62" t="str">
        <f t="shared" si="3"/>
        <v/>
      </c>
    </row>
    <row r="129" spans="9:17" x14ac:dyDescent="0.3">
      <c r="I129" s="57" t="s">
        <v>75</v>
      </c>
      <c r="J129" s="112"/>
      <c r="K129" s="112"/>
      <c r="L129" s="112"/>
      <c r="P129" s="78" t="str">
        <f t="shared" si="2"/>
        <v/>
      </c>
      <c r="Q129" s="62" t="str">
        <f t="shared" si="3"/>
        <v/>
      </c>
    </row>
    <row r="130" spans="9:17" x14ac:dyDescent="0.3">
      <c r="I130" s="57" t="s">
        <v>75</v>
      </c>
      <c r="J130" s="112"/>
      <c r="K130" s="112"/>
      <c r="L130" s="112"/>
      <c r="P130" s="78" t="str">
        <f t="shared" si="2"/>
        <v/>
      </c>
      <c r="Q130" s="62" t="str">
        <f t="shared" si="3"/>
        <v/>
      </c>
    </row>
    <row r="131" spans="9:17" x14ac:dyDescent="0.3">
      <c r="I131" s="57" t="s">
        <v>75</v>
      </c>
      <c r="J131" s="112"/>
      <c r="K131" s="112"/>
      <c r="L131" s="112"/>
      <c r="P131" s="78" t="str">
        <f t="shared" si="2"/>
        <v/>
      </c>
      <c r="Q131" s="62" t="str">
        <f t="shared" si="3"/>
        <v/>
      </c>
    </row>
    <row r="132" spans="9:17" x14ac:dyDescent="0.3">
      <c r="I132" s="57" t="s">
        <v>75</v>
      </c>
      <c r="J132" s="112"/>
      <c r="K132" s="112"/>
      <c r="L132" s="112"/>
      <c r="P132" s="78" t="str">
        <f t="shared" ref="P132:P190" si="4">IF(O132="","",LEFT(O132,10)*(-1))</f>
        <v/>
      </c>
      <c r="Q132" s="62" t="str">
        <f t="shared" ref="Q132:Q190" si="5">IF(P132="","",
IF(P132&lt;=0,"Not Due",
IF(P132&lt;=30,"1-30 Days",
IF(P132&lt;=60,"31-60 Days",
"&gt;60 Days"))))</f>
        <v/>
      </c>
    </row>
    <row r="133" spans="9:17" x14ac:dyDescent="0.3">
      <c r="I133" s="57" t="s">
        <v>75</v>
      </c>
      <c r="J133" s="112"/>
      <c r="K133" s="112"/>
      <c r="L133" s="112"/>
      <c r="P133" s="78" t="str">
        <f t="shared" si="4"/>
        <v/>
      </c>
      <c r="Q133" s="62" t="str">
        <f t="shared" si="5"/>
        <v/>
      </c>
    </row>
    <row r="134" spans="9:17" x14ac:dyDescent="0.3">
      <c r="I134" s="57" t="s">
        <v>75</v>
      </c>
      <c r="J134" s="112"/>
      <c r="K134" s="112"/>
      <c r="L134" s="112"/>
      <c r="P134" s="78" t="str">
        <f t="shared" si="4"/>
        <v/>
      </c>
      <c r="Q134" s="62" t="str">
        <f t="shared" si="5"/>
        <v/>
      </c>
    </row>
    <row r="135" spans="9:17" x14ac:dyDescent="0.3">
      <c r="I135" s="57" t="s">
        <v>75</v>
      </c>
      <c r="J135" s="112"/>
      <c r="K135" s="112"/>
      <c r="L135" s="112"/>
      <c r="P135" s="78" t="str">
        <f t="shared" si="4"/>
        <v/>
      </c>
      <c r="Q135" s="62" t="str">
        <f t="shared" si="5"/>
        <v/>
      </c>
    </row>
    <row r="136" spans="9:17" x14ac:dyDescent="0.3">
      <c r="I136" s="57" t="s">
        <v>75</v>
      </c>
      <c r="J136" s="112"/>
      <c r="K136" s="112"/>
      <c r="L136" s="112"/>
      <c r="P136" s="78" t="str">
        <f t="shared" si="4"/>
        <v/>
      </c>
      <c r="Q136" s="62" t="str">
        <f t="shared" si="5"/>
        <v/>
      </c>
    </row>
    <row r="137" spans="9:17" x14ac:dyDescent="0.3">
      <c r="I137" s="57" t="s">
        <v>75</v>
      </c>
      <c r="J137" s="112"/>
      <c r="K137" s="112"/>
      <c r="L137" s="112"/>
      <c r="P137" s="78" t="str">
        <f t="shared" si="4"/>
        <v/>
      </c>
      <c r="Q137" s="62" t="str">
        <f t="shared" si="5"/>
        <v/>
      </c>
    </row>
    <row r="138" spans="9:17" x14ac:dyDescent="0.3">
      <c r="I138" s="57" t="s">
        <v>75</v>
      </c>
      <c r="J138" s="112"/>
      <c r="K138" s="112"/>
      <c r="L138" s="112"/>
      <c r="P138" s="78" t="str">
        <f t="shared" si="4"/>
        <v/>
      </c>
      <c r="Q138" s="62" t="str">
        <f t="shared" si="5"/>
        <v/>
      </c>
    </row>
    <row r="139" spans="9:17" x14ac:dyDescent="0.3">
      <c r="I139" s="57" t="s">
        <v>75</v>
      </c>
      <c r="J139" s="112"/>
      <c r="K139" s="112"/>
      <c r="L139" s="112"/>
      <c r="P139" s="78" t="str">
        <f t="shared" si="4"/>
        <v/>
      </c>
      <c r="Q139" s="62" t="str">
        <f t="shared" si="5"/>
        <v/>
      </c>
    </row>
    <row r="140" spans="9:17" x14ac:dyDescent="0.3">
      <c r="I140" s="57" t="s">
        <v>75</v>
      </c>
      <c r="J140" s="112"/>
      <c r="K140" s="112"/>
      <c r="L140" s="112"/>
      <c r="P140" s="78" t="str">
        <f t="shared" si="4"/>
        <v/>
      </c>
      <c r="Q140" s="62" t="str">
        <f t="shared" si="5"/>
        <v/>
      </c>
    </row>
    <row r="141" spans="9:17" x14ac:dyDescent="0.3">
      <c r="I141" s="57" t="s">
        <v>75</v>
      </c>
      <c r="P141" s="78" t="str">
        <f t="shared" si="4"/>
        <v/>
      </c>
      <c r="Q141" s="62" t="str">
        <f t="shared" si="5"/>
        <v/>
      </c>
    </row>
    <row r="142" spans="9:17" x14ac:dyDescent="0.3">
      <c r="I142" s="57" t="s">
        <v>75</v>
      </c>
      <c r="P142" s="78" t="str">
        <f t="shared" si="4"/>
        <v/>
      </c>
      <c r="Q142" s="62" t="str">
        <f t="shared" si="5"/>
        <v/>
      </c>
    </row>
    <row r="143" spans="9:17" x14ac:dyDescent="0.3">
      <c r="I143" s="57" t="s">
        <v>75</v>
      </c>
      <c r="P143" s="78" t="str">
        <f t="shared" si="4"/>
        <v/>
      </c>
      <c r="Q143" s="62" t="str">
        <f t="shared" si="5"/>
        <v/>
      </c>
    </row>
    <row r="144" spans="9:17" x14ac:dyDescent="0.3">
      <c r="I144" s="57" t="s">
        <v>75</v>
      </c>
      <c r="P144" s="78" t="str">
        <f t="shared" si="4"/>
        <v/>
      </c>
      <c r="Q144" s="62" t="str">
        <f t="shared" si="5"/>
        <v/>
      </c>
    </row>
    <row r="145" spans="9:17" x14ac:dyDescent="0.3">
      <c r="I145" s="57" t="s">
        <v>75</v>
      </c>
      <c r="P145" s="78" t="str">
        <f t="shared" si="4"/>
        <v/>
      </c>
      <c r="Q145" s="62" t="str">
        <f t="shared" si="5"/>
        <v/>
      </c>
    </row>
    <row r="146" spans="9:17" x14ac:dyDescent="0.3">
      <c r="I146" s="57" t="s">
        <v>75</v>
      </c>
      <c r="P146" s="78" t="str">
        <f t="shared" si="4"/>
        <v/>
      </c>
      <c r="Q146" s="62" t="str">
        <f t="shared" si="5"/>
        <v/>
      </c>
    </row>
    <row r="147" spans="9:17" x14ac:dyDescent="0.3">
      <c r="I147" s="57" t="s">
        <v>75</v>
      </c>
      <c r="P147" s="78" t="str">
        <f t="shared" si="4"/>
        <v/>
      </c>
      <c r="Q147" s="62" t="str">
        <f t="shared" si="5"/>
        <v/>
      </c>
    </row>
    <row r="148" spans="9:17" x14ac:dyDescent="0.3">
      <c r="I148" s="57" t="s">
        <v>75</v>
      </c>
      <c r="P148" s="78" t="str">
        <f t="shared" si="4"/>
        <v/>
      </c>
      <c r="Q148" s="62" t="str">
        <f t="shared" si="5"/>
        <v/>
      </c>
    </row>
    <row r="149" spans="9:17" x14ac:dyDescent="0.3">
      <c r="I149" s="57" t="s">
        <v>75</v>
      </c>
      <c r="P149" s="78" t="str">
        <f t="shared" si="4"/>
        <v/>
      </c>
      <c r="Q149" s="62" t="str">
        <f t="shared" si="5"/>
        <v/>
      </c>
    </row>
    <row r="150" spans="9:17" x14ac:dyDescent="0.3">
      <c r="I150" s="57" t="s">
        <v>75</v>
      </c>
      <c r="P150" s="78" t="str">
        <f t="shared" si="4"/>
        <v/>
      </c>
      <c r="Q150" s="62" t="str">
        <f t="shared" si="5"/>
        <v/>
      </c>
    </row>
    <row r="151" spans="9:17" x14ac:dyDescent="0.3">
      <c r="I151" s="57" t="s">
        <v>75</v>
      </c>
      <c r="P151" s="78" t="str">
        <f t="shared" si="4"/>
        <v/>
      </c>
      <c r="Q151" s="62" t="str">
        <f t="shared" si="5"/>
        <v/>
      </c>
    </row>
    <row r="152" spans="9:17" x14ac:dyDescent="0.3">
      <c r="I152" s="57" t="s">
        <v>75</v>
      </c>
      <c r="P152" s="78" t="str">
        <f t="shared" si="4"/>
        <v/>
      </c>
      <c r="Q152" s="62" t="str">
        <f t="shared" si="5"/>
        <v/>
      </c>
    </row>
    <row r="153" spans="9:17" x14ac:dyDescent="0.3">
      <c r="I153" s="57" t="s">
        <v>75</v>
      </c>
      <c r="P153" s="78" t="str">
        <f t="shared" si="4"/>
        <v/>
      </c>
      <c r="Q153" s="62" t="str">
        <f t="shared" si="5"/>
        <v/>
      </c>
    </row>
    <row r="154" spans="9:17" x14ac:dyDescent="0.3">
      <c r="I154" s="57" t="s">
        <v>75</v>
      </c>
      <c r="P154" s="78" t="str">
        <f t="shared" si="4"/>
        <v/>
      </c>
      <c r="Q154" s="62" t="str">
        <f t="shared" si="5"/>
        <v/>
      </c>
    </row>
    <row r="155" spans="9:17" x14ac:dyDescent="0.3">
      <c r="I155" s="57" t="s">
        <v>75</v>
      </c>
      <c r="P155" s="78" t="str">
        <f t="shared" si="4"/>
        <v/>
      </c>
      <c r="Q155" s="62" t="str">
        <f t="shared" si="5"/>
        <v/>
      </c>
    </row>
    <row r="156" spans="9:17" x14ac:dyDescent="0.3">
      <c r="I156" s="57" t="s">
        <v>75</v>
      </c>
      <c r="P156" s="78" t="str">
        <f t="shared" si="4"/>
        <v/>
      </c>
      <c r="Q156" s="62" t="str">
        <f t="shared" si="5"/>
        <v/>
      </c>
    </row>
    <row r="157" spans="9:17" x14ac:dyDescent="0.3">
      <c r="I157" s="57" t="s">
        <v>75</v>
      </c>
      <c r="P157" s="78" t="str">
        <f t="shared" si="4"/>
        <v/>
      </c>
      <c r="Q157" s="62" t="str">
        <f t="shared" si="5"/>
        <v/>
      </c>
    </row>
    <row r="158" spans="9:17" x14ac:dyDescent="0.3">
      <c r="I158" s="57" t="s">
        <v>75</v>
      </c>
      <c r="P158" s="78" t="str">
        <f t="shared" si="4"/>
        <v/>
      </c>
      <c r="Q158" s="62" t="str">
        <f t="shared" si="5"/>
        <v/>
      </c>
    </row>
    <row r="159" spans="9:17" x14ac:dyDescent="0.3">
      <c r="I159" s="57" t="s">
        <v>75</v>
      </c>
      <c r="P159" s="78" t="str">
        <f t="shared" si="4"/>
        <v/>
      </c>
      <c r="Q159" s="62" t="str">
        <f t="shared" si="5"/>
        <v/>
      </c>
    </row>
    <row r="160" spans="9:17" x14ac:dyDescent="0.3">
      <c r="I160" s="57" t="s">
        <v>75</v>
      </c>
      <c r="P160" s="78" t="str">
        <f t="shared" si="4"/>
        <v/>
      </c>
      <c r="Q160" s="62" t="str">
        <f t="shared" si="5"/>
        <v/>
      </c>
    </row>
    <row r="161" spans="9:17" x14ac:dyDescent="0.3">
      <c r="I161" s="57" t="s">
        <v>75</v>
      </c>
      <c r="P161" s="78" t="str">
        <f t="shared" si="4"/>
        <v/>
      </c>
      <c r="Q161" s="62" t="str">
        <f t="shared" si="5"/>
        <v/>
      </c>
    </row>
    <row r="162" spans="9:17" x14ac:dyDescent="0.3">
      <c r="I162" s="57" t="s">
        <v>75</v>
      </c>
      <c r="P162" s="78" t="str">
        <f t="shared" si="4"/>
        <v/>
      </c>
      <c r="Q162" s="62" t="str">
        <f t="shared" si="5"/>
        <v/>
      </c>
    </row>
    <row r="163" spans="9:17" x14ac:dyDescent="0.3">
      <c r="I163" s="57" t="s">
        <v>75</v>
      </c>
      <c r="P163" s="78" t="str">
        <f t="shared" si="4"/>
        <v/>
      </c>
      <c r="Q163" s="62" t="str">
        <f t="shared" si="5"/>
        <v/>
      </c>
    </row>
    <row r="164" spans="9:17" x14ac:dyDescent="0.3">
      <c r="I164" s="57" t="s">
        <v>75</v>
      </c>
      <c r="P164" s="78" t="str">
        <f t="shared" si="4"/>
        <v/>
      </c>
      <c r="Q164" s="62" t="str">
        <f t="shared" si="5"/>
        <v/>
      </c>
    </row>
    <row r="165" spans="9:17" x14ac:dyDescent="0.3">
      <c r="I165" s="57" t="s">
        <v>75</v>
      </c>
      <c r="P165" s="78" t="str">
        <f t="shared" si="4"/>
        <v/>
      </c>
      <c r="Q165" s="62" t="str">
        <f t="shared" si="5"/>
        <v/>
      </c>
    </row>
    <row r="166" spans="9:17" x14ac:dyDescent="0.3">
      <c r="I166" s="57" t="s">
        <v>75</v>
      </c>
      <c r="P166" s="78" t="str">
        <f t="shared" si="4"/>
        <v/>
      </c>
      <c r="Q166" s="62" t="str">
        <f t="shared" si="5"/>
        <v/>
      </c>
    </row>
    <row r="167" spans="9:17" x14ac:dyDescent="0.3">
      <c r="I167" s="57" t="s">
        <v>75</v>
      </c>
      <c r="P167" s="78" t="str">
        <f t="shared" si="4"/>
        <v/>
      </c>
      <c r="Q167" s="62" t="str">
        <f t="shared" si="5"/>
        <v/>
      </c>
    </row>
    <row r="168" spans="9:17" x14ac:dyDescent="0.3">
      <c r="I168" s="57" t="s">
        <v>75</v>
      </c>
      <c r="P168" s="78" t="str">
        <f t="shared" si="4"/>
        <v/>
      </c>
      <c r="Q168" s="62" t="str">
        <f t="shared" si="5"/>
        <v/>
      </c>
    </row>
    <row r="169" spans="9:17" x14ac:dyDescent="0.3">
      <c r="I169" s="57" t="s">
        <v>75</v>
      </c>
      <c r="P169" s="78" t="str">
        <f t="shared" si="4"/>
        <v/>
      </c>
      <c r="Q169" s="62" t="str">
        <f t="shared" si="5"/>
        <v/>
      </c>
    </row>
    <row r="170" spans="9:17" x14ac:dyDescent="0.3">
      <c r="I170" s="57" t="s">
        <v>75</v>
      </c>
      <c r="P170" s="78" t="str">
        <f t="shared" si="4"/>
        <v/>
      </c>
      <c r="Q170" s="62" t="str">
        <f t="shared" si="5"/>
        <v/>
      </c>
    </row>
    <row r="171" spans="9:17" x14ac:dyDescent="0.3">
      <c r="I171" s="57" t="s">
        <v>75</v>
      </c>
      <c r="P171" s="78" t="str">
        <f t="shared" si="4"/>
        <v/>
      </c>
      <c r="Q171" s="62" t="str">
        <f t="shared" si="5"/>
        <v/>
      </c>
    </row>
    <row r="172" spans="9:17" x14ac:dyDescent="0.3">
      <c r="I172" s="57" t="s">
        <v>75</v>
      </c>
      <c r="P172" s="78" t="str">
        <f t="shared" si="4"/>
        <v/>
      </c>
      <c r="Q172" s="62" t="str">
        <f t="shared" si="5"/>
        <v/>
      </c>
    </row>
    <row r="173" spans="9:17" x14ac:dyDescent="0.3">
      <c r="I173" s="57" t="s">
        <v>75</v>
      </c>
      <c r="P173" s="78" t="str">
        <f t="shared" si="4"/>
        <v/>
      </c>
      <c r="Q173" s="62" t="str">
        <f t="shared" si="5"/>
        <v/>
      </c>
    </row>
    <row r="174" spans="9:17" x14ac:dyDescent="0.3">
      <c r="I174" s="57" t="s">
        <v>75</v>
      </c>
      <c r="P174" s="78" t="str">
        <f t="shared" si="4"/>
        <v/>
      </c>
      <c r="Q174" s="62" t="str">
        <f t="shared" si="5"/>
        <v/>
      </c>
    </row>
    <row r="175" spans="9:17" x14ac:dyDescent="0.3">
      <c r="I175" s="57" t="s">
        <v>75</v>
      </c>
      <c r="P175" s="78" t="str">
        <f t="shared" si="4"/>
        <v/>
      </c>
      <c r="Q175" s="62" t="str">
        <f t="shared" si="5"/>
        <v/>
      </c>
    </row>
    <row r="176" spans="9:17" x14ac:dyDescent="0.3">
      <c r="I176" s="57" t="s">
        <v>75</v>
      </c>
      <c r="P176" s="78" t="str">
        <f t="shared" si="4"/>
        <v/>
      </c>
      <c r="Q176" s="62" t="str">
        <f t="shared" si="5"/>
        <v/>
      </c>
    </row>
    <row r="177" spans="9:17" x14ac:dyDescent="0.3">
      <c r="I177" s="57" t="s">
        <v>75</v>
      </c>
      <c r="P177" s="78" t="str">
        <f t="shared" si="4"/>
        <v/>
      </c>
      <c r="Q177" s="62" t="str">
        <f t="shared" si="5"/>
        <v/>
      </c>
    </row>
    <row r="178" spans="9:17" x14ac:dyDescent="0.3">
      <c r="I178" s="57" t="s">
        <v>75</v>
      </c>
      <c r="P178" s="78" t="str">
        <f t="shared" si="4"/>
        <v/>
      </c>
      <c r="Q178" s="62" t="str">
        <f t="shared" si="5"/>
        <v/>
      </c>
    </row>
    <row r="179" spans="9:17" x14ac:dyDescent="0.3">
      <c r="I179" s="57" t="s">
        <v>75</v>
      </c>
      <c r="P179" s="78" t="str">
        <f t="shared" si="4"/>
        <v/>
      </c>
      <c r="Q179" s="62" t="str">
        <f t="shared" si="5"/>
        <v/>
      </c>
    </row>
    <row r="180" spans="9:17" x14ac:dyDescent="0.3">
      <c r="I180" s="57" t="s">
        <v>75</v>
      </c>
      <c r="P180" s="78" t="str">
        <f t="shared" si="4"/>
        <v/>
      </c>
      <c r="Q180" s="62" t="str">
        <f t="shared" si="5"/>
        <v/>
      </c>
    </row>
    <row r="181" spans="9:17" x14ac:dyDescent="0.3">
      <c r="I181" s="57" t="s">
        <v>75</v>
      </c>
      <c r="P181" s="78" t="str">
        <f t="shared" si="4"/>
        <v/>
      </c>
      <c r="Q181" s="62" t="str">
        <f t="shared" si="5"/>
        <v/>
      </c>
    </row>
    <row r="182" spans="9:17" x14ac:dyDescent="0.3">
      <c r="I182" s="57" t="s">
        <v>75</v>
      </c>
      <c r="P182" s="78" t="str">
        <f t="shared" si="4"/>
        <v/>
      </c>
      <c r="Q182" s="62" t="str">
        <f t="shared" si="5"/>
        <v/>
      </c>
    </row>
    <row r="183" spans="9:17" x14ac:dyDescent="0.3">
      <c r="I183" s="57" t="s">
        <v>75</v>
      </c>
      <c r="P183" s="78" t="str">
        <f t="shared" si="4"/>
        <v/>
      </c>
      <c r="Q183" s="62" t="str">
        <f t="shared" si="5"/>
        <v/>
      </c>
    </row>
    <row r="184" spans="9:17" x14ac:dyDescent="0.3">
      <c r="I184" s="57" t="s">
        <v>75</v>
      </c>
      <c r="P184" s="78" t="str">
        <f t="shared" si="4"/>
        <v/>
      </c>
      <c r="Q184" s="62" t="str">
        <f t="shared" si="5"/>
        <v/>
      </c>
    </row>
    <row r="185" spans="9:17" x14ac:dyDescent="0.3">
      <c r="I185" s="57" t="s">
        <v>75</v>
      </c>
      <c r="P185" s="78" t="str">
        <f t="shared" si="4"/>
        <v/>
      </c>
      <c r="Q185" s="62" t="str">
        <f t="shared" si="5"/>
        <v/>
      </c>
    </row>
    <row r="186" spans="9:17" x14ac:dyDescent="0.3">
      <c r="I186" s="57" t="s">
        <v>75</v>
      </c>
      <c r="P186" s="78" t="str">
        <f t="shared" si="4"/>
        <v/>
      </c>
      <c r="Q186" s="62" t="str">
        <f t="shared" si="5"/>
        <v/>
      </c>
    </row>
    <row r="187" spans="9:17" x14ac:dyDescent="0.3">
      <c r="I187" s="57" t="s">
        <v>75</v>
      </c>
      <c r="P187" s="78" t="str">
        <f t="shared" si="4"/>
        <v/>
      </c>
      <c r="Q187" s="62" t="str">
        <f t="shared" si="5"/>
        <v/>
      </c>
    </row>
    <row r="188" spans="9:17" x14ac:dyDescent="0.3">
      <c r="I188" s="57" t="s">
        <v>75</v>
      </c>
      <c r="P188" s="78" t="str">
        <f t="shared" si="4"/>
        <v/>
      </c>
      <c r="Q188" s="62" t="str">
        <f t="shared" si="5"/>
        <v/>
      </c>
    </row>
    <row r="189" spans="9:17" x14ac:dyDescent="0.3">
      <c r="I189" s="57" t="s">
        <v>75</v>
      </c>
      <c r="P189" s="78" t="str">
        <f t="shared" si="4"/>
        <v/>
      </c>
      <c r="Q189" s="62" t="str">
        <f t="shared" si="5"/>
        <v/>
      </c>
    </row>
    <row r="190" spans="9:17" x14ac:dyDescent="0.3">
      <c r="I190" s="57" t="s">
        <v>75</v>
      </c>
      <c r="P190" s="78" t="str">
        <f t="shared" si="4"/>
        <v/>
      </c>
      <c r="Q190" s="62" t="str">
        <f t="shared" si="5"/>
        <v/>
      </c>
    </row>
  </sheetData>
  <mergeCells count="1">
    <mergeCell ref="S8:S9"/>
  </mergeCells>
  <dataValidations count="3">
    <dataValidation type="list" allowBlank="1" showInputMessage="1" showErrorMessage="1" sqref="I3:I190" xr:uid="{B9ED9FB3-DDB5-4E48-8346-87F227ABD597}">
      <formula1>"High, Medium, Low"</formula1>
    </dataValidation>
    <dataValidation type="list" allowBlank="1" showInputMessage="1" showErrorMessage="1" sqref="M3:M95" xr:uid="{449E4D91-9BD0-4D3D-86BB-89C2483A1DAD}">
      <formula1>"Pending, InProgress, Completed, Closed"</formula1>
    </dataValidation>
    <dataValidation type="list" allowBlank="1" showInputMessage="1" showErrorMessage="1" sqref="H3" xr:uid="{05D21FDB-C949-4151-A266-5BD304D279EB}">
      <formula1>"Issue, Modification, Information, Change Request, Quotation"</formula1>
    </dataValidation>
  </dataValidations>
  <hyperlinks>
    <hyperlink ref="A1" location="'All clients'!A1" display="&lt;---" xr:uid="{A9AEE680-3379-46EE-8DEC-56722563585B}"/>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BE5DA-D93B-4F22-81C5-B12D5BDA9682}">
  <dimension ref="A1:V190"/>
  <sheetViews>
    <sheetView topLeftCell="F7" workbookViewId="0">
      <selection activeCell="K12" sqref="K12"/>
    </sheetView>
  </sheetViews>
  <sheetFormatPr defaultRowHeight="15.6" x14ac:dyDescent="0.3"/>
  <cols>
    <col min="2" max="2" width="12.3984375" customWidth="1"/>
    <col min="3" max="3" width="11" customWidth="1"/>
    <col min="4" max="4" width="17.5" customWidth="1"/>
    <col min="5" max="5" width="9.5" customWidth="1"/>
    <col min="6" max="6" width="23.8984375" customWidth="1"/>
    <col min="7" max="7" width="40.09765625" customWidth="1"/>
    <col min="10" max="10" width="14.296875" customWidth="1"/>
    <col min="11" max="11" width="15" customWidth="1"/>
    <col min="12" max="12" width="15.3984375" customWidth="1"/>
    <col min="13" max="13" width="13" customWidth="1"/>
    <col min="14" max="14" width="12.69921875" customWidth="1"/>
    <col min="15" max="15" width="10.09765625" customWidth="1"/>
    <col min="16" max="16" width="8.796875" style="62"/>
    <col min="17" max="17" width="9.3984375" style="62" customWidth="1"/>
  </cols>
  <sheetData>
    <row r="1" spans="1:22" x14ac:dyDescent="0.3">
      <c r="A1" s="45" t="s">
        <v>48</v>
      </c>
      <c r="B1" s="46" t="s">
        <v>49</v>
      </c>
      <c r="C1" s="46">
        <f>T7</f>
        <v>9</v>
      </c>
      <c r="D1" s="47" t="s">
        <v>50</v>
      </c>
      <c r="E1" s="48">
        <f>SUM(T3:T4)</f>
        <v>0</v>
      </c>
      <c r="F1" s="49" t="s">
        <v>51</v>
      </c>
      <c r="G1" s="50">
        <f>SUM(T5:T6)</f>
        <v>9</v>
      </c>
      <c r="H1" s="51"/>
      <c r="I1" s="51"/>
      <c r="J1" s="51"/>
      <c r="K1" s="51"/>
      <c r="L1" s="51"/>
      <c r="M1" s="51"/>
      <c r="N1" s="51"/>
      <c r="O1" s="51"/>
    </row>
    <row r="2" spans="1:22" ht="27.6" x14ac:dyDescent="0.3">
      <c r="A2" s="54" t="s">
        <v>52</v>
      </c>
      <c r="B2" s="54" t="s">
        <v>53</v>
      </c>
      <c r="C2" s="54" t="s">
        <v>54</v>
      </c>
      <c r="D2" s="54" t="s">
        <v>55</v>
      </c>
      <c r="E2" s="54" t="s">
        <v>56</v>
      </c>
      <c r="F2" s="54" t="s">
        <v>57</v>
      </c>
      <c r="G2" s="54" t="s">
        <v>58</v>
      </c>
      <c r="H2" s="54" t="s">
        <v>59</v>
      </c>
      <c r="I2" s="54" t="s">
        <v>60</v>
      </c>
      <c r="J2" s="54" t="s">
        <v>61</v>
      </c>
      <c r="K2" s="54" t="s">
        <v>62</v>
      </c>
      <c r="L2" s="54" t="s">
        <v>63</v>
      </c>
      <c r="M2" s="54" t="s">
        <v>64</v>
      </c>
      <c r="N2" s="54" t="s">
        <v>65</v>
      </c>
      <c r="O2" s="54" t="s">
        <v>66</v>
      </c>
      <c r="P2" s="54" t="s">
        <v>67</v>
      </c>
      <c r="Q2" s="54" t="s">
        <v>68</v>
      </c>
    </row>
    <row r="3" spans="1:22" ht="55.2" x14ac:dyDescent="0.3">
      <c r="A3" s="92">
        <v>1</v>
      </c>
      <c r="B3" s="92" t="s">
        <v>1226</v>
      </c>
      <c r="C3" s="92" t="s">
        <v>70</v>
      </c>
      <c r="D3" s="92" t="s">
        <v>1227</v>
      </c>
      <c r="E3" s="92" t="s">
        <v>1228</v>
      </c>
      <c r="F3" s="92" t="s">
        <v>1229</v>
      </c>
      <c r="G3" s="92" t="s">
        <v>1230</v>
      </c>
      <c r="H3" s="92" t="s">
        <v>74</v>
      </c>
      <c r="I3" s="57" t="s">
        <v>75</v>
      </c>
      <c r="J3" s="91">
        <v>46084.361805555556</v>
      </c>
      <c r="K3" s="91">
        <v>46092.388194444444</v>
      </c>
      <c r="L3" s="91">
        <v>46092.388888888891</v>
      </c>
      <c r="M3" s="92" t="s">
        <v>76</v>
      </c>
      <c r="N3" s="59" t="str">
        <f>IF(ISBLANK(J3),"",IF(OR(M3="Completed",M3="Closed"),"",IF(H3="Issue",IF(I3="High",WORKDAY(J3,2,[3]DATA!A2:A30),IF(I3="Medium",WORKDAY(J3,14,[3]DATA!A2:A30),IF(OR(I3="Low"),WORKDAY(J3,30,[3]DATA!A2:A30),""))),
"")
))</f>
        <v/>
      </c>
      <c r="O3" s="60" t="str">
        <f ca="1">IF(OR(ISBLANK(#REF!), M3="Completed", M3="Closed", H3&lt;&gt;"Issue"), "",
   (NETWORKDAYS.INTL(TODAY(), N3, 1, [3]DATA!A2:A30) - 1))</f>
        <v/>
      </c>
      <c r="P3" s="78" t="str">
        <f ca="1">IF(O3="","",LEFT(O3,10)*(-1))</f>
        <v/>
      </c>
      <c r="Q3" s="62" t="str">
        <f ca="1">IF(P3="","",
IF(P3&lt;=0,"Not Due",
IF(P3&lt;=30,"1-30 Days",
IF(P3&lt;=60,"31-60 Days",
"&gt;60 Days"))))</f>
        <v/>
      </c>
      <c r="S3" s="63" t="s">
        <v>77</v>
      </c>
      <c r="T3" s="64">
        <f>COUNTIF(M3:M299, "Pending")</f>
        <v>0</v>
      </c>
    </row>
    <row r="4" spans="1:22" ht="69" x14ac:dyDescent="0.3">
      <c r="A4" s="92">
        <v>2</v>
      </c>
      <c r="B4" s="92" t="s">
        <v>1231</v>
      </c>
      <c r="C4" s="92" t="s">
        <v>70</v>
      </c>
      <c r="D4" s="92" t="s">
        <v>1227</v>
      </c>
      <c r="E4" s="92" t="s">
        <v>1228</v>
      </c>
      <c r="F4" s="92" t="s">
        <v>1232</v>
      </c>
      <c r="G4" s="92" t="s">
        <v>1233</v>
      </c>
      <c r="H4" s="92" t="s">
        <v>74</v>
      </c>
      <c r="I4" s="57" t="s">
        <v>75</v>
      </c>
      <c r="J4" s="91">
        <v>46084.37222222222</v>
      </c>
      <c r="K4" s="91">
        <v>46092.38958333333</v>
      </c>
      <c r="L4" s="91">
        <v>46092.38958333333</v>
      </c>
      <c r="M4" s="92" t="s">
        <v>76</v>
      </c>
      <c r="N4" s="59" t="str">
        <f>IF(ISBLANK(J4),"",IF(OR(M4="Completed",M4="Closed"),"",IF(H4="Issue",IF(I4="High",WORKDAY(J4,2,[3]DATA!A3:A31),IF(I4="Medium",WORKDAY(J4,14,[3]DATA!A3:A31),IF(OR(I4="Low"),WORKDAY(J4,30,[3]DATA!A3:A31),""))),
"")
))</f>
        <v/>
      </c>
      <c r="O4" s="60" t="str">
        <f ca="1">IF(OR(ISBLANK(#REF!), M4="Completed", M4="Closed", H4&lt;&gt;"Issue"), "",
   (NETWORKDAYS.INTL(TODAY(), N4, 1, [3]DATA!A3:A31) - 1))</f>
        <v/>
      </c>
      <c r="P4" s="78" t="str">
        <f t="shared" ref="P4:P67" ca="1" si="0">IF(O4="","",LEFT(O4,10)*(-1))</f>
        <v/>
      </c>
      <c r="Q4" s="62" t="str">
        <f t="shared" ref="Q4:Q67" ca="1" si="1">IF(P4="","",
IF(P4&lt;=0,"Not Due",
IF(P4&lt;=30,"1-30 Days",
IF(P4&lt;=60,"31-60 Days",
"&gt;60 Days"))))</f>
        <v/>
      </c>
      <c r="S4" s="63" t="s">
        <v>80</v>
      </c>
      <c r="T4" s="64">
        <f>COUNTIF(M3:M299, "InProgress")</f>
        <v>0</v>
      </c>
    </row>
    <row r="5" spans="1:22" ht="55.2" x14ac:dyDescent="0.3">
      <c r="A5" s="92">
        <v>3</v>
      </c>
      <c r="B5" s="92" t="s">
        <v>1234</v>
      </c>
      <c r="C5" s="92" t="s">
        <v>70</v>
      </c>
      <c r="D5" s="92" t="s">
        <v>1227</v>
      </c>
      <c r="E5" s="92" t="s">
        <v>1228</v>
      </c>
      <c r="F5" s="92" t="s">
        <v>1235</v>
      </c>
      <c r="G5" s="92" t="s">
        <v>1236</v>
      </c>
      <c r="H5" s="92" t="s">
        <v>74</v>
      </c>
      <c r="I5" s="57" t="s">
        <v>75</v>
      </c>
      <c r="J5" s="91">
        <v>46092.397222222222</v>
      </c>
      <c r="K5" s="91">
        <v>46188.666666666664</v>
      </c>
      <c r="L5" s="80"/>
      <c r="M5" s="92" t="s">
        <v>85</v>
      </c>
      <c r="N5" s="59" t="str">
        <f>IF(ISBLANK(J5),"",IF(OR(M5="Completed",M5="Closed"),"",IF(H5="Issue",IF(I5="High",WORKDAY(J5,2,[3]DATA!A4:A32),IF(I5="Medium",WORKDAY(J5,14,[3]DATA!A4:A32),IF(OR(I5="Low"),WORKDAY(J5,30,[3]DATA!A4:A32),""))),
"")
))</f>
        <v/>
      </c>
      <c r="O5" s="60" t="str">
        <f ca="1">IF(OR(ISBLANK(#REF!), M5="Completed", M5="Closed", H5&lt;&gt;"Issue"), "",
   (NETWORKDAYS.INTL(TODAY(), N5, 1, [3]DATA!A4:A32) - 1))</f>
        <v/>
      </c>
      <c r="P5" s="78" t="str">
        <f t="shared" ca="1" si="0"/>
        <v/>
      </c>
      <c r="Q5" s="62" t="str">
        <f t="shared" ca="1" si="1"/>
        <v/>
      </c>
      <c r="S5" s="65" t="s">
        <v>85</v>
      </c>
      <c r="T5" s="64">
        <f>COUNTIF(M3:M299, "Completed")</f>
        <v>4</v>
      </c>
    </row>
    <row r="6" spans="1:22" ht="55.2" x14ac:dyDescent="0.3">
      <c r="A6" s="92">
        <v>4</v>
      </c>
      <c r="B6" s="92" t="s">
        <v>1237</v>
      </c>
      <c r="C6" s="92" t="s">
        <v>70</v>
      </c>
      <c r="D6" s="92" t="s">
        <v>1227</v>
      </c>
      <c r="E6" s="92" t="s">
        <v>1228</v>
      </c>
      <c r="F6" s="92" t="s">
        <v>1238</v>
      </c>
      <c r="G6" s="92" t="s">
        <v>1239</v>
      </c>
      <c r="H6" s="92" t="s">
        <v>74</v>
      </c>
      <c r="I6" s="57" t="s">
        <v>75</v>
      </c>
      <c r="J6" s="91">
        <v>46092.642361111109</v>
      </c>
      <c r="K6" s="91">
        <v>46093.385416666664</v>
      </c>
      <c r="L6" s="91">
        <v>46093.393750000003</v>
      </c>
      <c r="M6" s="92" t="s">
        <v>76</v>
      </c>
      <c r="N6" s="59" t="str">
        <f>IF(ISBLANK(J6),"",IF(OR(M6="Completed",M6="Closed"),"",IF(H6="Issue",IF(I6="High",WORKDAY(J6,2,[3]DATA!A5:A33),IF(I6="Medium",WORKDAY(J6,14,[3]DATA!A5:A33),IF(OR(I6="Low"),WORKDAY(J6,30,[3]DATA!A5:A33),""))),
"")
))</f>
        <v/>
      </c>
      <c r="O6" s="60" t="str">
        <f ca="1">IF(OR(ISBLANK(#REF!), M6="Completed", M6="Closed", H6&lt;&gt;"Issue"), "",
   (NETWORKDAYS.INTL(TODAY(), N6, 1, [3]DATA!A5:A33) - 1))</f>
        <v/>
      </c>
      <c r="P6" s="78" t="str">
        <f t="shared" ca="1" si="0"/>
        <v/>
      </c>
      <c r="Q6" s="62" t="str">
        <f t="shared" ca="1" si="1"/>
        <v/>
      </c>
      <c r="S6" s="65" t="s">
        <v>76</v>
      </c>
      <c r="T6" s="64">
        <f>COUNTIF(M3:M299, "Closed")</f>
        <v>5</v>
      </c>
    </row>
    <row r="7" spans="1:22" ht="41.4" x14ac:dyDescent="0.3">
      <c r="A7" s="92">
        <v>5</v>
      </c>
      <c r="B7" s="92" t="s">
        <v>1240</v>
      </c>
      <c r="C7" s="92" t="s">
        <v>70</v>
      </c>
      <c r="D7" s="92" t="s">
        <v>1227</v>
      </c>
      <c r="E7" s="92" t="s">
        <v>1228</v>
      </c>
      <c r="F7" s="92" t="s">
        <v>1241</v>
      </c>
      <c r="G7" s="92" t="s">
        <v>1242</v>
      </c>
      <c r="H7" s="92" t="s">
        <v>74</v>
      </c>
      <c r="I7" s="57" t="s">
        <v>75</v>
      </c>
      <c r="J7" s="91">
        <v>46094.072916666664</v>
      </c>
      <c r="K7" s="91">
        <v>46097.4</v>
      </c>
      <c r="L7" s="91">
        <v>46097.40347222222</v>
      </c>
      <c r="M7" s="92" t="s">
        <v>76</v>
      </c>
      <c r="N7" s="59" t="str">
        <f>IF(ISBLANK(J7),"",IF(OR(M7="Completed",M7="Closed"),"",IF(H7="Issue",IF(I7="High",WORKDAY(J7,2,[3]DATA!A6:A34),IF(I7="Medium",WORKDAY(J7,14,[3]DATA!A6:A34),IF(OR(I7="Low"),WORKDAY(J7,30,[3]DATA!A6:A34),""))),
"")
))</f>
        <v/>
      </c>
      <c r="O7" s="60" t="str">
        <f ca="1">IF(OR(ISBLANK(#REF!), M7="Completed", M7="Closed", H7&lt;&gt;"Issue"), "",
   (NETWORKDAYS.INTL(TODAY(), N7, 1, [3]DATA!A6:A34) - 1))</f>
        <v/>
      </c>
      <c r="P7" s="78" t="str">
        <f t="shared" ca="1" si="0"/>
        <v/>
      </c>
      <c r="Q7" s="62" t="str">
        <f t="shared" ca="1" si="1"/>
        <v/>
      </c>
      <c r="S7" s="76" t="s">
        <v>49</v>
      </c>
      <c r="T7" s="64">
        <f>SUM(T3:T6)</f>
        <v>9</v>
      </c>
    </row>
    <row r="8" spans="1:22" ht="27.6" x14ac:dyDescent="0.3">
      <c r="A8" s="92">
        <v>6</v>
      </c>
      <c r="B8" s="92" t="s">
        <v>1243</v>
      </c>
      <c r="C8" s="92" t="s">
        <v>70</v>
      </c>
      <c r="D8" s="92" t="s">
        <v>1227</v>
      </c>
      <c r="E8" s="92" t="s">
        <v>1228</v>
      </c>
      <c r="F8" s="92" t="s">
        <v>1244</v>
      </c>
      <c r="G8" s="92" t="s">
        <v>1245</v>
      </c>
      <c r="H8" s="92" t="s">
        <v>74</v>
      </c>
      <c r="I8" s="57" t="s">
        <v>75</v>
      </c>
      <c r="J8" s="91">
        <v>46094.079861111109</v>
      </c>
      <c r="K8" s="91">
        <v>46188.668055555558</v>
      </c>
      <c r="L8" s="80"/>
      <c r="M8" s="92" t="s">
        <v>85</v>
      </c>
      <c r="N8" s="59" t="str">
        <f>IF(ISBLANK(J8),"",IF(OR(M8="Completed",M8="Closed"),"",IF(H8="Issue",IF(I8="High",WORKDAY(J8,2,[3]DATA!A7:A35),IF(I8="Medium",WORKDAY(J8,14,[3]DATA!A7:A35),IF(OR(I8="Low"),WORKDAY(J8,30,[3]DATA!A7:A35),""))),
"")
))</f>
        <v/>
      </c>
      <c r="O8" s="60" t="str">
        <f ca="1">IF(OR(ISBLANK(#REF!), M8="Completed", M8="Closed", H8&lt;&gt;"Issue"), "",
   (NETWORKDAYS.INTL(TODAY(), N8, 1, [3]DATA!A7:A35) - 1))</f>
        <v/>
      </c>
      <c r="P8" s="78" t="str">
        <f t="shared" ca="1" si="0"/>
        <v/>
      </c>
      <c r="Q8" s="62" t="str">
        <f t="shared" ca="1" si="1"/>
        <v/>
      </c>
      <c r="S8" s="139" t="s">
        <v>66</v>
      </c>
      <c r="T8" s="90" t="s">
        <v>94</v>
      </c>
      <c r="U8" s="90" t="s">
        <v>95</v>
      </c>
      <c r="V8" s="90" t="s">
        <v>96</v>
      </c>
    </row>
    <row r="9" spans="1:22" ht="41.4" x14ac:dyDescent="0.3">
      <c r="A9" s="92">
        <v>7</v>
      </c>
      <c r="B9" s="92" t="s">
        <v>1246</v>
      </c>
      <c r="C9" s="92" t="s">
        <v>70</v>
      </c>
      <c r="D9" s="92" t="s">
        <v>1227</v>
      </c>
      <c r="E9" s="92" t="s">
        <v>1228</v>
      </c>
      <c r="F9" s="92" t="s">
        <v>1247</v>
      </c>
      <c r="G9" s="92" t="s">
        <v>1248</v>
      </c>
      <c r="H9" s="92" t="s">
        <v>74</v>
      </c>
      <c r="I9" s="57" t="s">
        <v>75</v>
      </c>
      <c r="J9" s="91">
        <v>46096.503472222219</v>
      </c>
      <c r="K9" s="91">
        <v>46097.399305555555</v>
      </c>
      <c r="L9" s="91">
        <v>46097.404166666667</v>
      </c>
      <c r="M9" s="92" t="s">
        <v>76</v>
      </c>
      <c r="N9" s="59" t="str">
        <f>IF(ISBLANK(J9),"",IF(OR(M9="Completed",M9="Closed"),"",IF(H9="Issue",IF(I9="High",WORKDAY(J9,2,[3]DATA!A8:A36),IF(I9="Medium",WORKDAY(J9,14,[3]DATA!A8:A36),IF(OR(I9="Low"),WORKDAY(J9,30,[3]DATA!A8:A36),""))),
"")
))</f>
        <v/>
      </c>
      <c r="O9" s="60" t="str">
        <f ca="1">IF(OR(ISBLANK(#REF!), M9="Completed", M9="Closed", H9&lt;&gt;"Issue"), "",
   (NETWORKDAYS.INTL(TODAY(), N9, 1, [3]DATA!A8:A36) - 1))</f>
        <v/>
      </c>
      <c r="P9" s="78" t="str">
        <f t="shared" ca="1" si="0"/>
        <v/>
      </c>
      <c r="Q9" s="62" t="str">
        <f t="shared" ca="1" si="1"/>
        <v/>
      </c>
      <c r="S9" s="139"/>
      <c r="T9" s="70">
        <f ca="1">COUNTIFS(P3:P277,"&gt;=1",P3:P277,"&lt;=30")</f>
        <v>0</v>
      </c>
      <c r="U9" s="70">
        <f ca="1">COUNTIFS(P3:P277,"&gt;=31",P3:P277,"&lt;=60")</f>
        <v>0</v>
      </c>
      <c r="V9" s="70">
        <f ca="1">COUNTIFS(P3:P277,"&gt;60")</f>
        <v>0</v>
      </c>
    </row>
    <row r="10" spans="1:22" ht="27.6" x14ac:dyDescent="0.3">
      <c r="A10" s="92">
        <v>8</v>
      </c>
      <c r="B10" s="92" t="s">
        <v>1249</v>
      </c>
      <c r="C10" s="92" t="s">
        <v>70</v>
      </c>
      <c r="D10" s="92" t="s">
        <v>1227</v>
      </c>
      <c r="E10" s="92" t="s">
        <v>1228</v>
      </c>
      <c r="F10" s="92" t="s">
        <v>1250</v>
      </c>
      <c r="G10" s="92" t="s">
        <v>1251</v>
      </c>
      <c r="H10" s="92" t="s">
        <v>74</v>
      </c>
      <c r="I10" s="57" t="s">
        <v>75</v>
      </c>
      <c r="J10" s="91">
        <v>46146.419444444444</v>
      </c>
      <c r="K10" s="91">
        <v>46188.665972222225</v>
      </c>
      <c r="L10" s="80"/>
      <c r="M10" s="92" t="s">
        <v>85</v>
      </c>
      <c r="N10" s="59" t="str">
        <f>IF(ISBLANK(J10),"",IF(OR(M10="Completed",M10="Closed"),"",IF(H10="Issue",IF(I10="High",WORKDAY(J10,2,[3]DATA!A9:A37),IF(I10="Medium",WORKDAY(J10,14,[3]DATA!A9:A37),IF(OR(I10="Low"),WORKDAY(J10,30,[3]DATA!A9:A37),""))),
"")
))</f>
        <v/>
      </c>
      <c r="O10" s="60" t="str">
        <f ca="1">IF(OR(ISBLANK(#REF!), M10="Completed", M10="Closed", H10&lt;&gt;"Issue"), "",
   (NETWORKDAYS.INTL(TODAY(), N10, 1, [3]DATA!A9:A37) - 1))</f>
        <v/>
      </c>
      <c r="P10" s="78" t="str">
        <f t="shared" ca="1" si="0"/>
        <v/>
      </c>
      <c r="Q10" s="62" t="str">
        <f t="shared" ca="1" si="1"/>
        <v/>
      </c>
    </row>
    <row r="11" spans="1:22" ht="69" x14ac:dyDescent="0.3">
      <c r="A11" s="92">
        <v>9</v>
      </c>
      <c r="B11" s="92" t="s">
        <v>1252</v>
      </c>
      <c r="C11" s="79"/>
      <c r="D11" s="92" t="s">
        <v>1227</v>
      </c>
      <c r="E11" s="92" t="s">
        <v>1228</v>
      </c>
      <c r="F11" s="92" t="s">
        <v>1253</v>
      </c>
      <c r="G11" s="92" t="s">
        <v>1254</v>
      </c>
      <c r="H11" s="92" t="s">
        <v>74</v>
      </c>
      <c r="I11" s="57" t="s">
        <v>75</v>
      </c>
      <c r="J11" s="91">
        <v>46146.436111111114</v>
      </c>
      <c r="K11" s="91">
        <v>46192.665972222225</v>
      </c>
      <c r="L11" s="80"/>
      <c r="M11" s="92" t="s">
        <v>85</v>
      </c>
      <c r="N11" s="59" t="str">
        <f>IF(ISBLANK(J11),"",IF(OR(M11="Completed",M11="Closed"),"",IF(H11="Issue",IF(I11="High",WORKDAY(J11,2,[3]DATA!A10:A38),IF(I11="Medium",WORKDAY(J11,14,[3]DATA!A10:A38),IF(OR(I11="Low"),WORKDAY(J11,30,[3]DATA!A10:A38),""))),
"")
))</f>
        <v/>
      </c>
      <c r="O11" s="60" t="str">
        <f ca="1">IF(OR(ISBLANK(#REF!), M11="Completed", M11="Closed", H11&lt;&gt;"Issue"), "",
   (NETWORKDAYS.INTL(TODAY(), N11, 1, [3]DATA!A10:A38) - 1))</f>
        <v/>
      </c>
      <c r="P11" s="78" t="str">
        <f t="shared" ca="1" si="0"/>
        <v/>
      </c>
      <c r="Q11" s="62" t="str">
        <f t="shared" ca="1" si="1"/>
        <v/>
      </c>
    </row>
    <row r="12" spans="1:22" x14ac:dyDescent="0.3">
      <c r="A12" s="57"/>
      <c r="B12" s="57"/>
      <c r="C12" s="57"/>
      <c r="D12" s="57"/>
      <c r="E12" s="57"/>
      <c r="F12" s="57"/>
      <c r="G12" s="57"/>
      <c r="H12" s="57"/>
      <c r="I12" s="57" t="s">
        <v>75</v>
      </c>
      <c r="J12" s="58"/>
      <c r="K12" s="58"/>
      <c r="L12" s="58"/>
      <c r="M12" s="57"/>
      <c r="N12" s="59" t="str">
        <f>IF(ISBLANK(J12),"",IF(OR(M12="Completed",M12="Closed"),"",IF(H12="Issue",IF(I12="High",WORKDAY(J12,2,[3]DATA!A11:A39),IF(I12="Medium",WORKDAY(J12,14,[3]DATA!A11:A39),IF(OR(I12="Low"),WORKDAY(J12,30,[3]DATA!A11:A39),""))),
"")
))</f>
        <v/>
      </c>
      <c r="O12" s="60" t="str">
        <f ca="1">IF(OR(ISBLANK(#REF!), M12="Completed", M12="Closed", H12&lt;&gt;"Issue"), "",
   (NETWORKDAYS.INTL(TODAY(), N12, 1, [3]DATA!A11:A39) - 1))</f>
        <v/>
      </c>
      <c r="P12" s="78" t="str">
        <f t="shared" ca="1" si="0"/>
        <v/>
      </c>
      <c r="Q12" s="62" t="str">
        <f t="shared" ca="1" si="1"/>
        <v/>
      </c>
    </row>
    <row r="13" spans="1:22" x14ac:dyDescent="0.3">
      <c r="A13" s="57"/>
      <c r="B13" s="57"/>
      <c r="C13" s="57"/>
      <c r="D13" s="57"/>
      <c r="E13" s="57"/>
      <c r="F13" s="57"/>
      <c r="G13" s="57"/>
      <c r="H13" s="57"/>
      <c r="I13" s="57" t="s">
        <v>75</v>
      </c>
      <c r="J13" s="58"/>
      <c r="K13" s="58"/>
      <c r="L13" s="58"/>
      <c r="M13" s="57"/>
      <c r="N13" s="59" t="str">
        <f>IF(ISBLANK(J13),"",IF(OR(M13="Completed",M13="Closed"),"",IF(H13="Issue",IF(I13="High",WORKDAY(J13,2,[3]DATA!A12:A40),IF(I13="Medium",WORKDAY(J13,14,[3]DATA!A12:A40),IF(OR(I13="Low"),WORKDAY(J13,30,[3]DATA!A12:A40),""))),
"")
))</f>
        <v/>
      </c>
      <c r="O13" s="60" t="str">
        <f ca="1">IF(OR(ISBLANK(#REF!), M13="Completed", M13="Closed", H13&lt;&gt;"Issue"), "",
   (NETWORKDAYS.INTL(TODAY(), N13, 1, [3]DATA!A12:A40) - 1))</f>
        <v/>
      </c>
      <c r="P13" s="78" t="str">
        <f t="shared" ca="1" si="0"/>
        <v/>
      </c>
      <c r="Q13" s="62" t="str">
        <f t="shared" ca="1" si="1"/>
        <v/>
      </c>
    </row>
    <row r="14" spans="1:22" x14ac:dyDescent="0.3">
      <c r="A14" s="57"/>
      <c r="B14" s="57"/>
      <c r="C14" s="57"/>
      <c r="D14" s="57"/>
      <c r="E14" s="57"/>
      <c r="F14" s="57"/>
      <c r="G14" s="57"/>
      <c r="H14" s="57"/>
      <c r="I14" s="57" t="s">
        <v>75</v>
      </c>
      <c r="J14" s="58"/>
      <c r="K14" s="58"/>
      <c r="L14" s="58"/>
      <c r="M14" s="57"/>
      <c r="N14" s="59" t="str">
        <f>IF(ISBLANK(J14),"",IF(OR(M14="Completed",M14="Closed"),"",IF(H14="Issue",IF(I14="High",WORKDAY(J14,2,[3]DATA!A13:A41),IF(I14="Medium",WORKDAY(J14,14,[3]DATA!A13:A41),IF(OR(I14="Low"),WORKDAY(J14,30,[3]DATA!A13:A41),""))),
"")
))</f>
        <v/>
      </c>
      <c r="O14" s="60" t="str">
        <f ca="1">IF(OR(ISBLANK(#REF!), M14="Completed", M14="Closed", H14&lt;&gt;"Issue"), "",
   (NETWORKDAYS.INTL(TODAY(), N14, 1, [3]DATA!A13:A41) - 1))</f>
        <v/>
      </c>
      <c r="P14" s="78" t="str">
        <f t="shared" ca="1" si="0"/>
        <v/>
      </c>
      <c r="Q14" s="62" t="str">
        <f t="shared" ca="1" si="1"/>
        <v/>
      </c>
    </row>
    <row r="15" spans="1:22" x14ac:dyDescent="0.3">
      <c r="A15" s="57"/>
      <c r="B15" s="57"/>
      <c r="C15" s="57"/>
      <c r="D15" s="57"/>
      <c r="E15" s="57"/>
      <c r="F15" s="57"/>
      <c r="G15" s="57"/>
      <c r="H15" s="57"/>
      <c r="I15" s="57" t="s">
        <v>75</v>
      </c>
      <c r="J15" s="58"/>
      <c r="K15" s="66"/>
      <c r="L15" s="66"/>
      <c r="M15" s="57"/>
      <c r="N15" s="59" t="str">
        <f>IF(ISBLANK(J15),"",IF(OR(M15="Completed",M15="Closed"),"",IF(H15="Issue",IF(I15="High",WORKDAY(J15,2,[3]DATA!A14:A42),IF(I15="Medium",WORKDAY(J15,14,[3]DATA!A14:A42),IF(OR(I15="Low"),WORKDAY(J15,30,[3]DATA!A14:A42),""))),
"")
))</f>
        <v/>
      </c>
      <c r="O15" s="60" t="str">
        <f ca="1">IF(OR(ISBLANK(#REF!), M15="Completed", M15="Closed", H15&lt;&gt;"Issue"), "",
   (NETWORKDAYS.INTL(TODAY(), N15, 1, [3]DATA!A14:A42) - 1))</f>
        <v/>
      </c>
      <c r="P15" s="78" t="str">
        <f t="shared" ca="1" si="0"/>
        <v/>
      </c>
      <c r="Q15" s="62" t="str">
        <f t="shared" ca="1" si="1"/>
        <v/>
      </c>
    </row>
    <row r="16" spans="1:22" x14ac:dyDescent="0.3">
      <c r="A16" s="57"/>
      <c r="B16" s="57"/>
      <c r="C16" s="57"/>
      <c r="D16" s="57"/>
      <c r="E16" s="57"/>
      <c r="F16" s="57"/>
      <c r="G16" s="57"/>
      <c r="H16" s="57"/>
      <c r="I16" s="57" t="s">
        <v>75</v>
      </c>
      <c r="J16" s="58"/>
      <c r="K16" s="58"/>
      <c r="L16" s="58"/>
      <c r="M16" s="57"/>
      <c r="N16" s="59" t="str">
        <f>IF(ISBLANK(J16),"",IF(OR(M16="Completed",M16="Closed"),"",IF(H16="Issue",IF(I16="High",WORKDAY(J16,2,[3]DATA!A15:A43),IF(I16="Medium",WORKDAY(J16,14,[3]DATA!A15:A43),IF(OR(I16="Low"),WORKDAY(J16,30,[3]DATA!A15:A43),""))),
"")
))</f>
        <v/>
      </c>
      <c r="O16" s="60" t="str">
        <f ca="1">IF(OR(ISBLANK(#REF!), M16="Completed", M16="Closed", H16&lt;&gt;"Issue"), "",
   (NETWORKDAYS.INTL(TODAY(), N16, 1, [3]DATA!A15:A43) - 1))</f>
        <v/>
      </c>
      <c r="P16" s="78" t="str">
        <f t="shared" ca="1" si="0"/>
        <v/>
      </c>
      <c r="Q16" s="62" t="str">
        <f t="shared" ca="1" si="1"/>
        <v/>
      </c>
    </row>
    <row r="17" spans="1:17" x14ac:dyDescent="0.3">
      <c r="A17" s="57"/>
      <c r="B17" s="57"/>
      <c r="C17" s="57"/>
      <c r="D17" s="57"/>
      <c r="E17" s="57"/>
      <c r="F17" s="57"/>
      <c r="G17" s="57"/>
      <c r="H17" s="57"/>
      <c r="I17" s="57" t="s">
        <v>75</v>
      </c>
      <c r="J17" s="58"/>
      <c r="K17" s="58"/>
      <c r="L17" s="58"/>
      <c r="M17" s="57"/>
      <c r="N17" s="59" t="str">
        <f>IF(ISBLANK(J17),"",IF(OR(M17="Completed",M17="Closed"),"",IF(H17="Issue",IF(I17="High",WORKDAY(J17,2,[3]DATA!A16:A44),IF(I17="Medium",WORKDAY(J17,14,[3]DATA!A16:A44),IF(OR(I17="Low"),WORKDAY(J17,30,[3]DATA!A16:A44),""))),
"")
))</f>
        <v/>
      </c>
      <c r="O17" s="60" t="str">
        <f ca="1">IF(OR(ISBLANK(#REF!), M17="Completed", M17="Closed", H17&lt;&gt;"Issue"), "",
   (NETWORKDAYS.INTL(TODAY(), N17, 1, [3]DATA!A16:A44) - 1))</f>
        <v/>
      </c>
      <c r="P17" s="78" t="str">
        <f t="shared" ca="1" si="0"/>
        <v/>
      </c>
      <c r="Q17" s="62" t="str">
        <f t="shared" ca="1" si="1"/>
        <v/>
      </c>
    </row>
    <row r="18" spans="1:17" x14ac:dyDescent="0.3">
      <c r="A18" s="57"/>
      <c r="B18" s="57"/>
      <c r="C18" s="57"/>
      <c r="D18" s="57"/>
      <c r="E18" s="57"/>
      <c r="F18" s="57"/>
      <c r="G18" s="57"/>
      <c r="H18" s="57"/>
      <c r="I18" s="57" t="s">
        <v>75</v>
      </c>
      <c r="J18" s="58"/>
      <c r="K18" s="66"/>
      <c r="L18" s="66"/>
      <c r="M18" s="57"/>
      <c r="N18" s="59" t="str">
        <f>IF(ISBLANK(J18),"",IF(OR(M18="Completed",M18="Closed"),"",IF(H18="Issue",IF(I18="High",WORKDAY(J18,2,[3]DATA!A17:A45),IF(I18="Medium",WORKDAY(J18,14,[3]DATA!A17:A45),IF(OR(I18="Low"),WORKDAY(J18,30,[3]DATA!A17:A45),""))),
"")
))</f>
        <v/>
      </c>
      <c r="O18" s="60" t="str">
        <f ca="1">IF(OR(ISBLANK(#REF!), M18="Completed", M18="Closed", H18&lt;&gt;"Issue"), "",
   (NETWORKDAYS.INTL(TODAY(), N18, 1, [3]DATA!A17:A45) - 1))</f>
        <v/>
      </c>
      <c r="P18" s="78" t="str">
        <f t="shared" ca="1" si="0"/>
        <v/>
      </c>
      <c r="Q18" s="62" t="str">
        <f t="shared" ca="1" si="1"/>
        <v/>
      </c>
    </row>
    <row r="19" spans="1:17" x14ac:dyDescent="0.3">
      <c r="A19" s="57"/>
      <c r="B19" s="57"/>
      <c r="C19" s="57"/>
      <c r="D19" s="57"/>
      <c r="E19" s="57"/>
      <c r="F19" s="57"/>
      <c r="G19" s="57"/>
      <c r="H19" s="57"/>
      <c r="I19" s="57" t="s">
        <v>75</v>
      </c>
      <c r="J19" s="58"/>
      <c r="K19" s="58"/>
      <c r="L19" s="58"/>
      <c r="M19" s="57"/>
      <c r="N19" s="59" t="str">
        <f>IF(ISBLANK(J19),"",IF(OR(M19="Completed",M19="Closed"),"",IF(H19="Issue",IF(I19="High",WORKDAY(J19,2,[3]DATA!A18:A46),IF(I19="Medium",WORKDAY(J19,14,[3]DATA!A18:A46),IF(OR(I19="Low"),WORKDAY(J19,30,[3]DATA!A18:A46),""))),
"")
))</f>
        <v/>
      </c>
      <c r="O19" s="60" t="str">
        <f ca="1">IF(OR(ISBLANK(#REF!), M19="Completed", M19="Closed", H19&lt;&gt;"Issue"), "",
   (NETWORKDAYS.INTL(TODAY(), N19, 1, [3]DATA!A18:A46) - 1))</f>
        <v/>
      </c>
      <c r="P19" s="78" t="str">
        <f t="shared" ca="1" si="0"/>
        <v/>
      </c>
      <c r="Q19" s="62" t="str">
        <f t="shared" ca="1" si="1"/>
        <v/>
      </c>
    </row>
    <row r="20" spans="1:17" x14ac:dyDescent="0.3">
      <c r="A20" s="57"/>
      <c r="B20" s="57"/>
      <c r="C20" s="57"/>
      <c r="D20" s="57"/>
      <c r="E20" s="57"/>
      <c r="F20" s="57"/>
      <c r="G20" s="57"/>
      <c r="H20" s="57"/>
      <c r="I20" s="57" t="s">
        <v>75</v>
      </c>
      <c r="J20" s="58"/>
      <c r="K20" s="58"/>
      <c r="L20" s="58"/>
      <c r="M20" s="57"/>
      <c r="N20" s="59" t="str">
        <f>IF(ISBLANK(J20),"",IF(OR(M20="Completed",M20="Closed"),"",IF(H20="Issue",IF(I20="High",WORKDAY(J20,2,[3]DATA!A19:A47),IF(I20="Medium",WORKDAY(J20,14,[3]DATA!A19:A47),IF(OR(I20="Low"),WORKDAY(J20,30,[3]DATA!A19:A47),""))),
"")
))</f>
        <v/>
      </c>
      <c r="O20" s="60" t="str">
        <f ca="1">IF(OR(ISBLANK(#REF!), M20="Completed", M20="Closed", H20&lt;&gt;"Issue"), "",
   (NETWORKDAYS.INTL(TODAY(), N20, 1, [3]DATA!A19:A47) - 1))</f>
        <v/>
      </c>
      <c r="P20" s="78" t="str">
        <f t="shared" ca="1" si="0"/>
        <v/>
      </c>
      <c r="Q20" s="62" t="str">
        <f t="shared" ca="1" si="1"/>
        <v/>
      </c>
    </row>
    <row r="21" spans="1:17" x14ac:dyDescent="0.3">
      <c r="A21" s="57"/>
      <c r="B21" s="57"/>
      <c r="C21" s="57"/>
      <c r="D21" s="57"/>
      <c r="E21" s="57"/>
      <c r="F21" s="57"/>
      <c r="G21" s="57"/>
      <c r="H21" s="57"/>
      <c r="I21" s="57" t="s">
        <v>75</v>
      </c>
      <c r="J21" s="58"/>
      <c r="K21" s="58"/>
      <c r="L21" s="58"/>
      <c r="M21" s="57"/>
      <c r="N21" s="59" t="str">
        <f>IF(ISBLANK(J21),"",IF(OR(M21="Completed",M21="Closed"),"",IF(H21="Issue",IF(I21="High",WORKDAY(J21,2,[3]DATA!A20:A48),IF(I21="Medium",WORKDAY(J21,14,[3]DATA!A20:A48),IF(OR(I21="Low"),WORKDAY(J21,30,[3]DATA!A20:A48),""))),
"")
))</f>
        <v/>
      </c>
      <c r="O21" s="60" t="str">
        <f ca="1">IF(OR(ISBLANK(#REF!), M21="Completed", M21="Closed", H21&lt;&gt;"Issue"), "",
   (NETWORKDAYS.INTL(TODAY(), N21, 1, [3]DATA!A20:A48) - 1))</f>
        <v/>
      </c>
      <c r="P21" s="78" t="str">
        <f t="shared" ca="1" si="0"/>
        <v/>
      </c>
      <c r="Q21" s="62" t="str">
        <f t="shared" ca="1" si="1"/>
        <v/>
      </c>
    </row>
    <row r="22" spans="1:17" x14ac:dyDescent="0.3">
      <c r="A22" s="57"/>
      <c r="B22" s="57"/>
      <c r="C22" s="57"/>
      <c r="D22" s="57"/>
      <c r="E22" s="57"/>
      <c r="F22" s="57"/>
      <c r="G22" s="57"/>
      <c r="H22" s="57"/>
      <c r="I22" s="57" t="s">
        <v>75</v>
      </c>
      <c r="J22" s="58"/>
      <c r="K22" s="66"/>
      <c r="L22" s="66"/>
      <c r="M22" s="57"/>
      <c r="N22" s="59" t="str">
        <f>IF(ISBLANK(J22),"",IF(OR(M22="Completed",M22="Closed"),"",IF(H22="Issue",IF(I22="High",WORKDAY(J22,2,[3]DATA!A21:A49),IF(I22="Medium",WORKDAY(J22,14,[3]DATA!A21:A49),IF(OR(I22="Low"),WORKDAY(J22,30,[3]DATA!A21:A49),""))),
"")
))</f>
        <v/>
      </c>
      <c r="O22" s="60" t="str">
        <f ca="1">IF(OR(ISBLANK(#REF!), M22="Completed", M22="Closed", H22&lt;&gt;"Issue"), "",
   (NETWORKDAYS.INTL(TODAY(), N22, 1, [3]DATA!A21:A49) - 1))</f>
        <v/>
      </c>
      <c r="P22" s="78" t="str">
        <f t="shared" ca="1" si="0"/>
        <v/>
      </c>
      <c r="Q22" s="62" t="str">
        <f t="shared" ca="1" si="1"/>
        <v/>
      </c>
    </row>
    <row r="23" spans="1:17" x14ac:dyDescent="0.3">
      <c r="A23" s="57"/>
      <c r="B23" s="57"/>
      <c r="C23" s="57"/>
      <c r="D23" s="57"/>
      <c r="E23" s="57"/>
      <c r="F23" s="57"/>
      <c r="G23" s="57"/>
      <c r="H23" s="57"/>
      <c r="I23" s="57" t="s">
        <v>75</v>
      </c>
      <c r="J23" s="58"/>
      <c r="K23" s="66"/>
      <c r="L23" s="66"/>
      <c r="M23" s="57"/>
      <c r="N23" s="59" t="str">
        <f>IF(ISBLANK(J23),"",IF(OR(M23="Completed",M23="Closed"),"",IF(H23="Issue",IF(I23="High",WORKDAY(J23,2,[3]DATA!A22:A50),IF(I23="Medium",WORKDAY(J23,14,[3]DATA!A22:A50),IF(OR(I23="Low"),WORKDAY(J23,30,[3]DATA!A22:A50),""))),
"")
))</f>
        <v/>
      </c>
      <c r="O23" s="60" t="str">
        <f ca="1">IF(OR(ISBLANK(#REF!), M23="Completed", M23="Closed", H23&lt;&gt;"Issue"), "",
   (NETWORKDAYS.INTL(TODAY(), N23, 1, [3]DATA!A22:A50) - 1))</f>
        <v/>
      </c>
      <c r="P23" s="78" t="str">
        <f t="shared" ca="1" si="0"/>
        <v/>
      </c>
      <c r="Q23" s="62" t="str">
        <f t="shared" ca="1" si="1"/>
        <v/>
      </c>
    </row>
    <row r="24" spans="1:17" x14ac:dyDescent="0.3">
      <c r="A24" s="57"/>
      <c r="B24" s="57"/>
      <c r="C24" s="57"/>
      <c r="D24" s="57"/>
      <c r="E24" s="57"/>
      <c r="F24" s="57"/>
      <c r="G24" s="57"/>
      <c r="H24" s="57"/>
      <c r="I24" s="57" t="s">
        <v>75</v>
      </c>
      <c r="J24" s="58"/>
      <c r="K24" s="66"/>
      <c r="L24" s="66"/>
      <c r="M24" s="57"/>
      <c r="N24" s="59" t="str">
        <f>IF(ISBLANK(J24),"",IF(OR(M24="Completed",M24="Closed"),"",IF(H24="Issue",IF(I24="High",WORKDAY(J24,2,[3]DATA!A24:A52),IF(I24="Medium",WORKDAY(J24,14,[3]DATA!A24:A52),IF(OR(I24="Low"),WORKDAY(J24,30,[3]DATA!A24:A52),""))),
"")
))</f>
        <v/>
      </c>
      <c r="O24" s="60" t="str">
        <f ca="1">IF(OR(ISBLANK(#REF!), M24="Completed", M24="Closed", H24&lt;&gt;"Issue"), "",
   (NETWORKDAYS.INTL(TODAY(), N24, 1, [3]DATA!A24:A52) - 1))</f>
        <v/>
      </c>
      <c r="P24" s="78" t="str">
        <f t="shared" ca="1" si="0"/>
        <v/>
      </c>
      <c r="Q24" s="62" t="str">
        <f t="shared" ca="1" si="1"/>
        <v/>
      </c>
    </row>
    <row r="25" spans="1:17" x14ac:dyDescent="0.3">
      <c r="A25" s="57"/>
      <c r="B25" s="57"/>
      <c r="C25" s="57"/>
      <c r="D25" s="57"/>
      <c r="E25" s="57"/>
      <c r="F25" s="57"/>
      <c r="G25" s="57"/>
      <c r="H25" s="57"/>
      <c r="I25" s="57" t="s">
        <v>75</v>
      </c>
      <c r="J25" s="58"/>
      <c r="K25" s="58"/>
      <c r="L25" s="58"/>
      <c r="M25" s="57"/>
      <c r="N25" s="59" t="str">
        <f>IF(ISBLANK(J25),"",IF(OR(M25="Completed",M25="Closed"),"",IF(H25="Issue",IF(I25="High",WORKDAY(J25,2,[3]DATA!A25:A53),IF(I25="Medium",WORKDAY(J25,14,[3]DATA!A25:A53),IF(OR(I25="Low"),WORKDAY(J25,30,[3]DATA!A25:A53),""))),
"")
))</f>
        <v/>
      </c>
      <c r="O25" s="60" t="str">
        <f ca="1">IF(OR(ISBLANK(#REF!), M25="Completed", M25="Closed", H25&lt;&gt;"Issue"), "",
   (NETWORKDAYS.INTL(TODAY(), N25, 1, [3]DATA!A25:A53) - 1))</f>
        <v/>
      </c>
      <c r="P25" s="78" t="str">
        <f t="shared" ca="1" si="0"/>
        <v/>
      </c>
      <c r="Q25" s="62" t="str">
        <f t="shared" ca="1" si="1"/>
        <v/>
      </c>
    </row>
    <row r="26" spans="1:17" x14ac:dyDescent="0.3">
      <c r="A26" s="57"/>
      <c r="B26" s="57"/>
      <c r="C26" s="57"/>
      <c r="D26" s="57"/>
      <c r="E26" s="57"/>
      <c r="F26" s="57"/>
      <c r="G26" s="57"/>
      <c r="H26" s="57"/>
      <c r="I26" s="57" t="s">
        <v>75</v>
      </c>
      <c r="J26" s="58"/>
      <c r="K26" s="66"/>
      <c r="L26" s="66"/>
      <c r="M26" s="57"/>
      <c r="N26" s="59" t="str">
        <f>IF(ISBLANK(J26),"",IF(OR(M26="Completed",M26="Closed"),"",IF(H26="Issue",IF(I26="High",WORKDAY(J26,2,[3]DATA!A26:A54),IF(I26="Medium",WORKDAY(J26,14,[3]DATA!A26:A54),IF(OR(I26="Low"),WORKDAY(J26,30,[3]DATA!A26:A54),""))),
"")
))</f>
        <v/>
      </c>
      <c r="O26" s="60" t="str">
        <f ca="1">IF(OR(ISBLANK(#REF!), M26="Completed", M26="Closed", H26&lt;&gt;"Issue"), "",
   (NETWORKDAYS.INTL(TODAY(), N26, 1, [3]DATA!A26:A54) - 1))</f>
        <v/>
      </c>
      <c r="P26" s="78" t="str">
        <f t="shared" ca="1" si="0"/>
        <v/>
      </c>
      <c r="Q26" s="62" t="str">
        <f t="shared" ca="1" si="1"/>
        <v/>
      </c>
    </row>
    <row r="27" spans="1:17" x14ac:dyDescent="0.3">
      <c r="A27" s="57"/>
      <c r="B27" s="57"/>
      <c r="C27" s="57"/>
      <c r="D27" s="57"/>
      <c r="E27" s="57"/>
      <c r="F27" s="57"/>
      <c r="G27" s="57"/>
      <c r="H27" s="57"/>
      <c r="I27" s="57" t="s">
        <v>75</v>
      </c>
      <c r="J27" s="58"/>
      <c r="K27" s="58"/>
      <c r="L27" s="58"/>
      <c r="M27" s="57"/>
      <c r="N27" s="59" t="str">
        <f>IF(ISBLANK(J27),"",IF(OR(M27="Completed",M27="Closed"),"",IF(H27="Issue",IF(I27="High",WORKDAY(J27,2,[3]DATA!A27:A55),IF(I27="Medium",WORKDAY(J27,14,[3]DATA!A27:A55),IF(OR(I27="Low"),WORKDAY(J27,30,[3]DATA!A27:A55),""))),
"")
))</f>
        <v/>
      </c>
      <c r="O27" s="60" t="str">
        <f ca="1">IF(OR(ISBLANK(#REF!), M27="Completed", M27="Closed", H27&lt;&gt;"Issue"), "",
   (NETWORKDAYS.INTL(TODAY(), N27, 1, [3]DATA!A27:A55) - 1))</f>
        <v/>
      </c>
      <c r="P27" s="78" t="str">
        <f t="shared" ca="1" si="0"/>
        <v/>
      </c>
      <c r="Q27" s="62" t="str">
        <f t="shared" ca="1" si="1"/>
        <v/>
      </c>
    </row>
    <row r="28" spans="1:17" x14ac:dyDescent="0.3">
      <c r="A28" s="57"/>
      <c r="B28" s="57"/>
      <c r="C28" s="57"/>
      <c r="D28" s="57"/>
      <c r="E28" s="57"/>
      <c r="F28" s="57"/>
      <c r="G28" s="57"/>
      <c r="H28" s="57"/>
      <c r="I28" s="57" t="s">
        <v>75</v>
      </c>
      <c r="J28" s="58"/>
      <c r="K28" s="58"/>
      <c r="L28" s="58"/>
      <c r="M28" s="57"/>
      <c r="N28" s="59" t="str">
        <f>IF(ISBLANK(J28),"",IF(OR(M28="Completed",M28="Closed"),"",IF(H28="Issue",IF(I28="High",WORKDAY(J28,2,[3]DATA!A28:A56),IF(I28="Medium",WORKDAY(J28,14,[3]DATA!A28:A56),IF(OR(I28="Low"),WORKDAY(J28,30,[3]DATA!A28:A56),""))),
"")
))</f>
        <v/>
      </c>
      <c r="O28" s="60" t="str">
        <f ca="1">IF(OR(ISBLANK(#REF!), M28="Completed", M28="Closed", H28&lt;&gt;"Issue"), "",
   (NETWORKDAYS.INTL(TODAY(), N28, 1, [3]DATA!A28:A56) - 1))</f>
        <v/>
      </c>
      <c r="P28" s="78" t="str">
        <f t="shared" ca="1" si="0"/>
        <v/>
      </c>
      <c r="Q28" s="62" t="str">
        <f t="shared" ca="1" si="1"/>
        <v/>
      </c>
    </row>
    <row r="29" spans="1:17" x14ac:dyDescent="0.3">
      <c r="A29" s="57"/>
      <c r="B29" s="57"/>
      <c r="C29" s="57"/>
      <c r="D29" s="57"/>
      <c r="E29" s="57"/>
      <c r="F29" s="57"/>
      <c r="G29" s="57"/>
      <c r="H29" s="57"/>
      <c r="I29" s="57" t="s">
        <v>75</v>
      </c>
      <c r="J29" s="58"/>
      <c r="K29" s="58"/>
      <c r="L29" s="58"/>
      <c r="M29" s="57"/>
      <c r="N29" s="59" t="str">
        <f>IF(ISBLANK(J29),"",IF(OR(M29="Completed",M29="Closed"),"",IF(H29="Issue",IF(I29="High",WORKDAY(J29,2,[3]DATA!A29:A57),IF(I29="Medium",WORKDAY(J29,14,[3]DATA!A29:A57),IF(OR(I29="Low"),WORKDAY(J29,30,[3]DATA!A29:A57),""))),
"")
))</f>
        <v/>
      </c>
      <c r="O29" s="60" t="str">
        <f ca="1">IF(OR(ISBLANK(#REF!), M29="Completed", M29="Closed", H29&lt;&gt;"Issue"), "",
   (NETWORKDAYS.INTL(TODAY(), N29, 1, [3]DATA!A29:A57) - 1))</f>
        <v/>
      </c>
      <c r="P29" s="78" t="str">
        <f t="shared" ca="1" si="0"/>
        <v/>
      </c>
      <c r="Q29" s="62" t="str">
        <f t="shared" ca="1" si="1"/>
        <v/>
      </c>
    </row>
    <row r="30" spans="1:17" x14ac:dyDescent="0.3">
      <c r="A30" s="57"/>
      <c r="B30" s="57"/>
      <c r="C30" s="57"/>
      <c r="D30" s="57"/>
      <c r="E30" s="57"/>
      <c r="F30" s="57"/>
      <c r="G30" s="57"/>
      <c r="H30" s="57"/>
      <c r="I30" s="57" t="s">
        <v>75</v>
      </c>
      <c r="J30" s="58"/>
      <c r="K30" s="58"/>
      <c r="L30" s="58"/>
      <c r="M30" s="57"/>
      <c r="N30" s="59" t="str">
        <f>IF(ISBLANK(J30),"",IF(OR(M30="Completed",M30="Closed"),"",IF(H30="Issue",IF(I30="High",WORKDAY(J30,2,[3]DATA!A30:A58),IF(I30="Medium",WORKDAY(J30,14,[3]DATA!A30:A58),IF(OR(I30="Low"),WORKDAY(J30,30,[3]DATA!A30:A58),""))),
"")
))</f>
        <v/>
      </c>
      <c r="O30" s="60" t="str">
        <f ca="1">IF(OR(ISBLANK(#REF!), M30="Completed", M30="Closed", H30&lt;&gt;"Issue"), "",
   (NETWORKDAYS.INTL(TODAY(), N30, 1, [3]DATA!A30:A58) - 1))</f>
        <v/>
      </c>
      <c r="P30" s="78" t="str">
        <f t="shared" ca="1" si="0"/>
        <v/>
      </c>
      <c r="Q30" s="62" t="str">
        <f t="shared" ca="1" si="1"/>
        <v/>
      </c>
    </row>
    <row r="31" spans="1:17" x14ac:dyDescent="0.3">
      <c r="A31" s="57"/>
      <c r="B31" s="57"/>
      <c r="C31" s="57"/>
      <c r="D31" s="57"/>
      <c r="E31" s="57"/>
      <c r="F31" s="57"/>
      <c r="G31" s="57"/>
      <c r="H31" s="57"/>
      <c r="I31" s="57" t="s">
        <v>75</v>
      </c>
      <c r="J31" s="58"/>
      <c r="K31" s="66"/>
      <c r="L31" s="66"/>
      <c r="M31" s="57"/>
      <c r="N31" s="59" t="str">
        <f>IF(ISBLANK(J31),"",IF(OR(M31="Completed",M31="Closed"),"",IF(H31="Issue",IF(I31="High",WORKDAY(J31,2,[3]DATA!A31:A59),IF(I31="Medium",WORKDAY(J31,14,[3]DATA!A31:A59),IF(OR(I31="Low"),WORKDAY(J31,30,[3]DATA!A31:A59),""))),
"")
))</f>
        <v/>
      </c>
      <c r="O31" s="60" t="str">
        <f ca="1">IF(OR(ISBLANK(#REF!), M31="Completed", M31="Closed", H31&lt;&gt;"Issue"), "",
   (NETWORKDAYS.INTL(TODAY(), N31, 1, [3]DATA!A31:A59) - 1))</f>
        <v/>
      </c>
      <c r="P31" s="78" t="str">
        <f t="shared" ca="1" si="0"/>
        <v/>
      </c>
      <c r="Q31" s="62" t="str">
        <f t="shared" ca="1" si="1"/>
        <v/>
      </c>
    </row>
    <row r="32" spans="1:17" x14ac:dyDescent="0.3">
      <c r="A32" s="57"/>
      <c r="B32" s="57"/>
      <c r="C32" s="57"/>
      <c r="D32" s="57"/>
      <c r="E32" s="57"/>
      <c r="F32" s="57"/>
      <c r="G32" s="57"/>
      <c r="H32" s="57"/>
      <c r="I32" s="57" t="s">
        <v>75</v>
      </c>
      <c r="J32" s="58"/>
      <c r="K32" s="58"/>
      <c r="L32" s="58"/>
      <c r="M32" s="57"/>
      <c r="N32" s="59" t="str">
        <f>IF(ISBLANK(J32),"",IF(OR(M32="Completed",M32="Closed"),"",IF(H32="Issue",IF(I32="High",WORKDAY(J32,2,[3]DATA!A32:A60),IF(I32="Medium",WORKDAY(J32,14,[3]DATA!A32:A60),IF(OR(I32="Low"),WORKDAY(J32,30,[3]DATA!A32:A60),""))),
"")
))</f>
        <v/>
      </c>
      <c r="O32" s="60" t="str">
        <f ca="1">IF(OR(ISBLANK(#REF!), M32="Completed", M32="Closed", H32&lt;&gt;"Issue"), "",
   (NETWORKDAYS.INTL(TODAY(), N32, 1, [3]DATA!A32:A60) - 1))</f>
        <v/>
      </c>
      <c r="P32" s="78" t="str">
        <f t="shared" ca="1" si="0"/>
        <v/>
      </c>
      <c r="Q32" s="62" t="str">
        <f t="shared" ca="1" si="1"/>
        <v/>
      </c>
    </row>
    <row r="33" spans="1:17" x14ac:dyDescent="0.3">
      <c r="A33" s="57"/>
      <c r="B33" s="57"/>
      <c r="C33" s="57"/>
      <c r="D33" s="57"/>
      <c r="E33" s="57"/>
      <c r="F33" s="57"/>
      <c r="G33" s="57"/>
      <c r="H33" s="57"/>
      <c r="I33" s="57" t="s">
        <v>75</v>
      </c>
      <c r="J33" s="58"/>
      <c r="K33" s="66"/>
      <c r="L33" s="66"/>
      <c r="M33" s="57"/>
      <c r="N33" s="59" t="str">
        <f>IF(ISBLANK(J33),"",IF(OR(M33="Completed",M33="Closed"),"",IF(H33="Issue",IF(I33="High",WORKDAY(J33,2,[3]DATA!A33:A61),IF(I33="Medium",WORKDAY(J33,14,[3]DATA!A33:A61),IF(OR(I33="Low"),WORKDAY(J33,30,[3]DATA!A33:A61),""))),
"")
))</f>
        <v/>
      </c>
      <c r="O33" s="60" t="str">
        <f ca="1">IF(OR(ISBLANK(#REF!), M33="Completed", M33="Closed", H33&lt;&gt;"Issue"), "",
   (NETWORKDAYS.INTL(TODAY(), N33, 1, [3]DATA!A33:A61) - 1))</f>
        <v/>
      </c>
      <c r="P33" s="78" t="str">
        <f t="shared" ca="1" si="0"/>
        <v/>
      </c>
      <c r="Q33" s="62" t="str">
        <f t="shared" ca="1" si="1"/>
        <v/>
      </c>
    </row>
    <row r="34" spans="1:17" x14ac:dyDescent="0.3">
      <c r="A34" s="57"/>
      <c r="B34" s="57"/>
      <c r="C34" s="57"/>
      <c r="D34" s="57"/>
      <c r="E34" s="57"/>
      <c r="F34" s="57"/>
      <c r="G34" s="57"/>
      <c r="H34" s="57"/>
      <c r="I34" s="57" t="s">
        <v>75</v>
      </c>
      <c r="J34" s="58"/>
      <c r="K34" s="58"/>
      <c r="L34" s="58"/>
      <c r="M34" s="57"/>
      <c r="N34" s="59" t="str">
        <f>IF(ISBLANK(J34),"",IF(OR(M34="Completed",M34="Closed"),"",IF(H34="Issue",IF(I34="High",WORKDAY(J34,2,[3]DATA!A34:A62),IF(I34="Medium",WORKDAY(J34,14,[3]DATA!A34:A62),IF(OR(I34="Low"),WORKDAY(J34,30,[3]DATA!A34:A62),""))),
"")
))</f>
        <v/>
      </c>
      <c r="O34" s="60" t="str">
        <f ca="1">IF(OR(ISBLANK(#REF!), M34="Completed", M34="Closed", H34&lt;&gt;"Issue"), "",
   (NETWORKDAYS.INTL(TODAY(), N34, 1, [3]DATA!A34:A62) - 1))</f>
        <v/>
      </c>
      <c r="P34" s="78" t="str">
        <f t="shared" ca="1" si="0"/>
        <v/>
      </c>
      <c r="Q34" s="62" t="str">
        <f t="shared" ca="1" si="1"/>
        <v/>
      </c>
    </row>
    <row r="35" spans="1:17" x14ac:dyDescent="0.3">
      <c r="A35" s="57"/>
      <c r="B35" s="57"/>
      <c r="C35" s="57"/>
      <c r="D35" s="57"/>
      <c r="E35" s="57"/>
      <c r="F35" s="57"/>
      <c r="G35" s="57"/>
      <c r="H35" s="57"/>
      <c r="I35" s="57" t="s">
        <v>75</v>
      </c>
      <c r="J35" s="58"/>
      <c r="K35" s="66"/>
      <c r="L35" s="66"/>
      <c r="M35" s="57"/>
      <c r="N35" s="59" t="str">
        <f>IF(ISBLANK(J35),"",IF(OR(M35="Completed",M35="Closed"),"",IF(H35="Issue",IF(I35="High",WORKDAY(J35,2,[3]DATA!A35:A63),IF(I35="Medium",WORKDAY(J35,14,[3]DATA!A35:A63),IF(OR(I35="Low"),WORKDAY(J35,30,[3]DATA!A35:A63),""))),
"")
))</f>
        <v/>
      </c>
      <c r="O35" s="60" t="str">
        <f ca="1">IF(OR(ISBLANK(#REF!), M35="Completed", M35="Closed", H35&lt;&gt;"Issue"), "",
   (NETWORKDAYS.INTL(TODAY(), N35, 1, [3]DATA!A35:A63) - 1))</f>
        <v/>
      </c>
      <c r="P35" s="78" t="str">
        <f t="shared" ca="1" si="0"/>
        <v/>
      </c>
      <c r="Q35" s="62" t="str">
        <f t="shared" ca="1" si="1"/>
        <v/>
      </c>
    </row>
    <row r="36" spans="1:17" x14ac:dyDescent="0.3">
      <c r="A36" s="57"/>
      <c r="B36" s="57"/>
      <c r="C36" s="57"/>
      <c r="D36" s="57"/>
      <c r="E36" s="57"/>
      <c r="F36" s="57"/>
      <c r="G36" s="57"/>
      <c r="H36" s="57"/>
      <c r="I36" s="57" t="s">
        <v>75</v>
      </c>
      <c r="J36" s="58"/>
      <c r="K36" s="66"/>
      <c r="L36" s="66"/>
      <c r="M36" s="57"/>
      <c r="N36" s="59" t="str">
        <f>IF(ISBLANK(J36),"",IF(OR(M36="Completed",M36="Closed"),"",IF(H36="Issue",IF(I36="High",WORKDAY(J36,2,[3]DATA!A36:A64),IF(I36="Medium",WORKDAY(J36,14,[3]DATA!A36:A64),IF(OR(I36="Low"),WORKDAY(J36,30,[3]DATA!A36:A64),""))),
"")
))</f>
        <v/>
      </c>
      <c r="O36" s="60" t="str">
        <f ca="1">IF(OR(ISBLANK(#REF!), M36="Completed", M36="Closed", H36&lt;&gt;"Issue"), "",
   (NETWORKDAYS.INTL(TODAY(), N36, 1, [3]DATA!A36:A64) - 1))</f>
        <v/>
      </c>
      <c r="P36" s="78" t="str">
        <f t="shared" ca="1" si="0"/>
        <v/>
      </c>
      <c r="Q36" s="62" t="str">
        <f t="shared" ca="1" si="1"/>
        <v/>
      </c>
    </row>
    <row r="37" spans="1:17" x14ac:dyDescent="0.3">
      <c r="A37" s="57"/>
      <c r="B37" s="57"/>
      <c r="C37" s="57"/>
      <c r="D37" s="57"/>
      <c r="E37" s="57"/>
      <c r="F37" s="57"/>
      <c r="G37" s="57"/>
      <c r="H37" s="57"/>
      <c r="I37" s="57" t="s">
        <v>75</v>
      </c>
      <c r="J37" s="58"/>
      <c r="K37" s="58"/>
      <c r="L37" s="58"/>
      <c r="M37" s="57"/>
      <c r="N37" s="59" t="str">
        <f>IF(ISBLANK(J37),"",IF(OR(M37="Completed",M37="Closed"),"",IF(H37="Issue",IF(I37="High",WORKDAY(J37,2,[3]DATA!A37:A65),IF(I37="Medium",WORKDAY(J37,14,[3]DATA!A37:A65),IF(OR(I37="Low"),WORKDAY(J37,30,[3]DATA!A37:A65),""))),
"")
))</f>
        <v/>
      </c>
      <c r="O37" s="60" t="str">
        <f ca="1">IF(OR(ISBLANK(#REF!), M37="Completed", M37="Closed", H37&lt;&gt;"Issue"), "",
   (NETWORKDAYS.INTL(TODAY(), N37, 1, [3]DATA!A37:A65) - 1))</f>
        <v/>
      </c>
      <c r="P37" s="78" t="str">
        <f t="shared" ca="1" si="0"/>
        <v/>
      </c>
      <c r="Q37" s="62" t="str">
        <f t="shared" ca="1" si="1"/>
        <v/>
      </c>
    </row>
    <row r="38" spans="1:17" x14ac:dyDescent="0.3">
      <c r="A38" s="57"/>
      <c r="B38" s="57"/>
      <c r="C38" s="57"/>
      <c r="D38" s="57"/>
      <c r="E38" s="57"/>
      <c r="F38" s="57"/>
      <c r="G38" s="57"/>
      <c r="H38" s="57"/>
      <c r="I38" s="57" t="s">
        <v>75</v>
      </c>
      <c r="J38" s="58"/>
      <c r="K38" s="58"/>
      <c r="L38" s="66"/>
      <c r="M38" s="57"/>
      <c r="N38" s="59" t="str">
        <f>IF(ISBLANK(J38),"",IF(OR(M38="Completed",M38="Closed"),"",IF(H38="Issue",IF(I38="High",WORKDAY(J38,2,[3]DATA!A38:A66),IF(I38="Medium",WORKDAY(J38,14,[3]DATA!A38:A66),IF(OR(I38="Low"),WORKDAY(J38,30,[3]DATA!A38:A66),""))),
"")
))</f>
        <v/>
      </c>
      <c r="O38" s="60" t="str">
        <f ca="1">IF(OR(ISBLANK(#REF!), M38="Completed", M38="Closed", H38&lt;&gt;"Issue"), "",
   (NETWORKDAYS.INTL(TODAY(), N38, 1, [3]DATA!A38:A66) - 1))</f>
        <v/>
      </c>
      <c r="P38" s="78" t="str">
        <f t="shared" ca="1" si="0"/>
        <v/>
      </c>
      <c r="Q38" s="62" t="str">
        <f t="shared" ca="1" si="1"/>
        <v/>
      </c>
    </row>
    <row r="39" spans="1:17" x14ac:dyDescent="0.3">
      <c r="A39" s="57"/>
      <c r="B39" s="57"/>
      <c r="C39" s="57"/>
      <c r="D39" s="57"/>
      <c r="E39" s="57"/>
      <c r="F39" s="57"/>
      <c r="G39" s="57"/>
      <c r="H39" s="57"/>
      <c r="I39" s="57" t="s">
        <v>75</v>
      </c>
      <c r="J39" s="58"/>
      <c r="K39" s="66"/>
      <c r="L39" s="66"/>
      <c r="M39" s="57"/>
      <c r="N39" s="59" t="str">
        <f>IF(ISBLANK(J39),"",IF(OR(M39="Completed",M39="Closed"),"",IF(H39="Issue",IF(I39="High",WORKDAY(J39,2,[3]DATA!A39:A67),IF(I39="Medium",WORKDAY(J39,14,[3]DATA!A39:A67),IF(OR(I39="Low"),WORKDAY(J39,30,[3]DATA!A39:A67),""))),
"")
))</f>
        <v/>
      </c>
      <c r="O39" s="60" t="str">
        <f ca="1">IF(OR(ISBLANK(#REF!), M39="Completed", M39="Closed", H39&lt;&gt;"Issue"), "",
   (NETWORKDAYS.INTL(TODAY(), N39, 1, [3]DATA!A39:A67) - 1))</f>
        <v/>
      </c>
      <c r="P39" s="78" t="str">
        <f t="shared" ca="1" si="0"/>
        <v/>
      </c>
      <c r="Q39" s="62" t="str">
        <f t="shared" ca="1" si="1"/>
        <v/>
      </c>
    </row>
    <row r="40" spans="1:17" x14ac:dyDescent="0.3">
      <c r="A40" s="57"/>
      <c r="B40" s="57"/>
      <c r="C40" s="57"/>
      <c r="D40" s="57"/>
      <c r="E40" s="57"/>
      <c r="F40" s="57"/>
      <c r="G40" s="57"/>
      <c r="H40" s="57"/>
      <c r="I40" s="57" t="s">
        <v>75</v>
      </c>
      <c r="J40" s="58"/>
      <c r="K40" s="66"/>
      <c r="L40" s="66"/>
      <c r="M40" s="57"/>
      <c r="N40" s="59" t="str">
        <f>IF(ISBLANK(J40),"",IF(OR(M40="Completed",M40="Closed"),"",IF(H40="Issue",IF(I40="High",WORKDAY(J40,2,[3]DATA!A40:A68),IF(I40="Medium",WORKDAY(J40,14,[3]DATA!A40:A68),IF(OR(I40="Low"),WORKDAY(J40,30,[3]DATA!A40:A68),""))),
"")
))</f>
        <v/>
      </c>
      <c r="O40" s="60" t="str">
        <f ca="1">IF(OR(ISBLANK(#REF!), M40="Completed", M40="Closed", H40&lt;&gt;"Issue"), "",
   (NETWORKDAYS.INTL(TODAY(), N40, 1, [3]DATA!A40:A68) - 1))</f>
        <v/>
      </c>
      <c r="P40" s="78" t="str">
        <f t="shared" ca="1" si="0"/>
        <v/>
      </c>
      <c r="Q40" s="62" t="str">
        <f t="shared" ca="1" si="1"/>
        <v/>
      </c>
    </row>
    <row r="41" spans="1:17" x14ac:dyDescent="0.3">
      <c r="A41" s="57"/>
      <c r="B41" s="57"/>
      <c r="C41" s="57"/>
      <c r="D41" s="57"/>
      <c r="E41" s="57"/>
      <c r="F41" s="57"/>
      <c r="G41" s="57"/>
      <c r="H41" s="57"/>
      <c r="I41" s="57" t="s">
        <v>75</v>
      </c>
      <c r="J41" s="58"/>
      <c r="K41" s="66"/>
      <c r="L41" s="66"/>
      <c r="M41" s="57"/>
      <c r="N41" s="59" t="str">
        <f>IF(ISBLANK(J41),"",IF(OR(M41="Completed",M41="Closed"),"",IF(H41="Issue",IF(I41="High",WORKDAY(J41,2,[3]DATA!A41:A69),IF(I41="Medium",WORKDAY(J41,14,[3]DATA!A41:A69),IF(OR(I41="Low"),WORKDAY(J41,30,[3]DATA!A41:A69),""))),
"")
))</f>
        <v/>
      </c>
      <c r="O41" s="60" t="str">
        <f ca="1">IF(OR(ISBLANK(#REF!), M41="Completed", M41="Closed", H41&lt;&gt;"Issue"), "",
   (NETWORKDAYS.INTL(TODAY(), N41, 1, [3]DATA!A41:A69) - 1))</f>
        <v/>
      </c>
      <c r="P41" s="78" t="str">
        <f t="shared" ca="1" si="0"/>
        <v/>
      </c>
      <c r="Q41" s="62" t="str">
        <f t="shared" ca="1" si="1"/>
        <v/>
      </c>
    </row>
    <row r="42" spans="1:17" x14ac:dyDescent="0.3">
      <c r="A42" s="57"/>
      <c r="B42" s="57"/>
      <c r="C42" s="57"/>
      <c r="D42" s="57"/>
      <c r="E42" s="57"/>
      <c r="F42" s="57"/>
      <c r="G42" s="57"/>
      <c r="H42" s="57"/>
      <c r="I42" s="57" t="s">
        <v>75</v>
      </c>
      <c r="J42" s="58"/>
      <c r="K42" s="66"/>
      <c r="L42" s="66"/>
      <c r="M42" s="57"/>
      <c r="N42" s="59" t="str">
        <f>IF(ISBLANK(J42),"",IF(OR(M42="Completed",M42="Closed"),"",IF(H42="Issue",IF(I42="High",WORKDAY(J42,2,[3]DATA!A42:A70),IF(I42="Medium",WORKDAY(J42,14,[3]DATA!A42:A70),IF(OR(I42="Low"),WORKDAY(J42,30,[3]DATA!A42:A70),""))),
"")
))</f>
        <v/>
      </c>
      <c r="O42" s="60" t="str">
        <f ca="1">IF(OR(ISBLANK(#REF!), M42="Completed", M42="Closed", H42&lt;&gt;"Issue"), "",
   (NETWORKDAYS.INTL(TODAY(), N42, 1, [3]DATA!A42:A70) - 1))</f>
        <v/>
      </c>
      <c r="P42" s="78" t="str">
        <f t="shared" ca="1" si="0"/>
        <v/>
      </c>
      <c r="Q42" s="62" t="str">
        <f t="shared" ca="1" si="1"/>
        <v/>
      </c>
    </row>
    <row r="43" spans="1:17" x14ac:dyDescent="0.3">
      <c r="A43" s="57"/>
      <c r="B43" s="57"/>
      <c r="C43" s="57"/>
      <c r="D43" s="57"/>
      <c r="E43" s="57"/>
      <c r="F43" s="57"/>
      <c r="G43" s="57"/>
      <c r="H43" s="57"/>
      <c r="I43" s="57" t="s">
        <v>75</v>
      </c>
      <c r="J43" s="58"/>
      <c r="K43" s="58"/>
      <c r="L43" s="58"/>
      <c r="M43" s="57"/>
      <c r="N43" s="59" t="str">
        <f>IF(ISBLANK(J43),"",IF(OR(M43="Completed",M43="Closed"),"",IF(H43="Issue",IF(I43="High",WORKDAY(J43,2,[3]DATA!A43:A71),IF(I43="Medium",WORKDAY(J43,14,[3]DATA!A43:A71),IF(OR(I43="Low"),WORKDAY(J43,30,[3]DATA!A43:A71),""))),
"")
))</f>
        <v/>
      </c>
      <c r="O43" s="60" t="str">
        <f ca="1">IF(OR(ISBLANK(#REF!), M43="Completed", M43="Closed", H43&lt;&gt;"Issue"), "",
   (NETWORKDAYS.INTL(TODAY(), N43, 1, [3]DATA!A43:A71) - 1))</f>
        <v/>
      </c>
      <c r="P43" s="78" t="str">
        <f t="shared" ca="1" si="0"/>
        <v/>
      </c>
      <c r="Q43" s="62" t="str">
        <f t="shared" ca="1" si="1"/>
        <v/>
      </c>
    </row>
    <row r="44" spans="1:17" x14ac:dyDescent="0.3">
      <c r="A44" s="57"/>
      <c r="B44" s="57"/>
      <c r="C44" s="57"/>
      <c r="D44" s="57"/>
      <c r="E44" s="57"/>
      <c r="F44" s="57"/>
      <c r="G44" s="57"/>
      <c r="H44" s="57"/>
      <c r="I44" s="57" t="s">
        <v>75</v>
      </c>
      <c r="J44" s="58"/>
      <c r="K44" s="66"/>
      <c r="L44" s="66"/>
      <c r="M44" s="57"/>
      <c r="N44" s="59" t="str">
        <f>IF(ISBLANK(J44),"",IF(OR(M44="Completed",M44="Closed"),"",IF(H44="Issue",IF(I44="High",WORKDAY(J44,2,[3]DATA!A44:A72),IF(I44="Medium",WORKDAY(J44,14,[3]DATA!A44:A72),IF(OR(I44="Low"),WORKDAY(J44,30,[3]DATA!A44:A72),""))),
"")
))</f>
        <v/>
      </c>
      <c r="O44" s="60" t="str">
        <f ca="1">IF(OR(ISBLANK(#REF!), M44="Completed", M44="Closed", H44&lt;&gt;"Issue"), "",
   (NETWORKDAYS.INTL(TODAY(), N44, 1, [3]DATA!A44:A72) - 1))</f>
        <v/>
      </c>
      <c r="P44" s="78" t="str">
        <f t="shared" ca="1" si="0"/>
        <v/>
      </c>
      <c r="Q44" s="62" t="str">
        <f t="shared" ca="1" si="1"/>
        <v/>
      </c>
    </row>
    <row r="45" spans="1:17" x14ac:dyDescent="0.3">
      <c r="A45" s="57"/>
      <c r="B45" s="57"/>
      <c r="C45" s="57"/>
      <c r="D45" s="57"/>
      <c r="E45" s="57"/>
      <c r="F45" s="57"/>
      <c r="G45" s="57"/>
      <c r="H45" s="57"/>
      <c r="I45" s="57" t="s">
        <v>75</v>
      </c>
      <c r="J45" s="58"/>
      <c r="K45" s="58"/>
      <c r="L45" s="58"/>
      <c r="M45" s="57"/>
      <c r="N45" s="59" t="str">
        <f>IF(ISBLANK(J45),"",IF(OR(M45="Completed",M45="Closed"),"",IF(H45="Issue",IF(I45="High",WORKDAY(J45,2,[3]DATA!A45:A73),IF(I45="Medium",WORKDAY(J45,14,[3]DATA!A45:A73),IF(OR(I45="Low"),WORKDAY(J45,30,[3]DATA!A45:A73),""))),
"")
))</f>
        <v/>
      </c>
      <c r="O45" s="60" t="str">
        <f ca="1">IF(OR(ISBLANK(#REF!), M45="Completed", M45="Closed", H45&lt;&gt;"Issue"), "",
   (NETWORKDAYS.INTL(TODAY(), N45, 1, [3]DATA!A45:A73) - 1))</f>
        <v/>
      </c>
      <c r="P45" s="78" t="str">
        <f t="shared" ca="1" si="0"/>
        <v/>
      </c>
      <c r="Q45" s="62" t="str">
        <f t="shared" ca="1" si="1"/>
        <v/>
      </c>
    </row>
    <row r="46" spans="1:17" x14ac:dyDescent="0.3">
      <c r="A46" s="57"/>
      <c r="B46" s="57"/>
      <c r="C46" s="57"/>
      <c r="D46" s="57"/>
      <c r="E46" s="57"/>
      <c r="F46" s="57"/>
      <c r="G46" s="57"/>
      <c r="H46" s="57"/>
      <c r="I46" s="57" t="s">
        <v>75</v>
      </c>
      <c r="J46" s="58"/>
      <c r="K46" s="58"/>
      <c r="L46" s="58"/>
      <c r="M46" s="57"/>
      <c r="N46" s="59" t="str">
        <f>IF(ISBLANK(J46),"",IF(OR(M46="Completed",M46="Closed"),"",IF(H46="Issue",IF(I46="High",WORKDAY(J46,2,[3]DATA!A46:A74),IF(I46="Medium",WORKDAY(J46,14,[3]DATA!A46:A74),IF(OR(I46="Low"),WORKDAY(J46,30,[3]DATA!A46:A74),""))),
"")
))</f>
        <v/>
      </c>
      <c r="O46" s="60" t="str">
        <f ca="1">IF(OR(ISBLANK(#REF!), M46="Completed", M46="Closed", H46&lt;&gt;"Issue"), "",
   (NETWORKDAYS.INTL(TODAY(), N46, 1, [3]DATA!A46:A74) - 1))</f>
        <v/>
      </c>
      <c r="P46" s="78" t="str">
        <f t="shared" ca="1" si="0"/>
        <v/>
      </c>
      <c r="Q46" s="62" t="str">
        <f t="shared" ca="1" si="1"/>
        <v/>
      </c>
    </row>
    <row r="47" spans="1:17" x14ac:dyDescent="0.3">
      <c r="A47" s="57"/>
      <c r="B47" s="57"/>
      <c r="C47" s="57"/>
      <c r="D47" s="57"/>
      <c r="E47" s="57"/>
      <c r="F47" s="57"/>
      <c r="G47" s="57"/>
      <c r="H47" s="57"/>
      <c r="I47" s="57" t="s">
        <v>75</v>
      </c>
      <c r="J47" s="58"/>
      <c r="K47" s="66"/>
      <c r="L47" s="66"/>
      <c r="M47" s="57"/>
      <c r="N47" s="59" t="str">
        <f>IF(ISBLANK(J47),"",IF(OR(M47="Completed",M47="Closed"),"",IF(H47="Issue",IF(I47="High",WORKDAY(J47,2,[3]DATA!A47:A75),IF(I47="Medium",WORKDAY(J47,14,[3]DATA!A47:A75),IF(OR(I47="Low"),WORKDAY(J47,30,[3]DATA!A47:A75),""))),
"")
))</f>
        <v/>
      </c>
      <c r="O47" s="60" t="str">
        <f ca="1">IF(OR(ISBLANK(#REF!), M47="Completed", M47="Closed", H47&lt;&gt;"Issue"), "",
   (NETWORKDAYS.INTL(TODAY(), N47, 1, [3]DATA!A47:A75) - 1))</f>
        <v/>
      </c>
      <c r="P47" s="78" t="str">
        <f t="shared" ca="1" si="0"/>
        <v/>
      </c>
      <c r="Q47" s="62" t="str">
        <f t="shared" ca="1" si="1"/>
        <v/>
      </c>
    </row>
    <row r="48" spans="1:17" x14ac:dyDescent="0.3">
      <c r="A48" s="57"/>
      <c r="B48" s="57"/>
      <c r="C48" s="57"/>
      <c r="D48" s="57"/>
      <c r="E48" s="57"/>
      <c r="F48" s="57"/>
      <c r="G48" s="57"/>
      <c r="H48" s="57"/>
      <c r="I48" s="57" t="s">
        <v>75</v>
      </c>
      <c r="J48" s="58"/>
      <c r="K48" s="66"/>
      <c r="L48" s="66"/>
      <c r="M48" s="57"/>
      <c r="N48" s="59" t="str">
        <f>IF(ISBLANK(J48),"",IF(OR(M48="Completed",M48="Closed"),"",IF(H48="Issue",IF(I48="High",WORKDAY(J48,2,[3]DATA!A48:A76),IF(I48="Medium",WORKDAY(J48,14,[3]DATA!A48:A76),IF(OR(I48="Low"),WORKDAY(J48,30,[3]DATA!A48:A76),""))),
"")
))</f>
        <v/>
      </c>
      <c r="O48" s="60" t="str">
        <f ca="1">IF(OR(ISBLANK(#REF!), M48="Completed", M48="Closed", H48&lt;&gt;"Issue"), "",
   (NETWORKDAYS.INTL(TODAY(), N48, 1, [3]DATA!A48:A76) - 1))</f>
        <v/>
      </c>
      <c r="P48" s="78" t="str">
        <f t="shared" ca="1" si="0"/>
        <v/>
      </c>
      <c r="Q48" s="62" t="str">
        <f t="shared" ca="1" si="1"/>
        <v/>
      </c>
    </row>
    <row r="49" spans="1:17" x14ac:dyDescent="0.3">
      <c r="A49" s="57"/>
      <c r="B49" s="57"/>
      <c r="C49" s="57"/>
      <c r="D49" s="57"/>
      <c r="E49" s="57"/>
      <c r="F49" s="57"/>
      <c r="G49" s="57"/>
      <c r="H49" s="57"/>
      <c r="I49" s="57" t="s">
        <v>75</v>
      </c>
      <c r="J49" s="58"/>
      <c r="K49" s="58"/>
      <c r="L49" s="58"/>
      <c r="M49" s="57"/>
      <c r="N49" s="59" t="str">
        <f>IF(ISBLANK(J49),"",IF(OR(M49="Completed",M49="Closed"),"",IF(H49="Issue",IF(I49="High",WORKDAY(J49,2,[3]DATA!A49:A77),IF(I49="Medium",WORKDAY(J49,14,[3]DATA!A49:A77),IF(OR(I49="Low"),WORKDAY(J49,30,[3]DATA!A49:A77),""))),
"")
))</f>
        <v/>
      </c>
      <c r="O49" s="60" t="str">
        <f ca="1">IF(OR(ISBLANK(#REF!), M49="Completed", M49="Closed", H49&lt;&gt;"Issue"), "",
   (NETWORKDAYS.INTL(TODAY(), N49, 1, [3]DATA!A49:A77) - 1))</f>
        <v/>
      </c>
      <c r="P49" s="78" t="str">
        <f t="shared" ca="1" si="0"/>
        <v/>
      </c>
      <c r="Q49" s="62" t="str">
        <f t="shared" ca="1" si="1"/>
        <v/>
      </c>
    </row>
    <row r="50" spans="1:17" x14ac:dyDescent="0.3">
      <c r="A50" s="57"/>
      <c r="B50" s="57"/>
      <c r="C50" s="57"/>
      <c r="D50" s="57"/>
      <c r="E50" s="57"/>
      <c r="F50" s="57"/>
      <c r="G50" s="57"/>
      <c r="H50" s="57"/>
      <c r="I50" s="57" t="s">
        <v>75</v>
      </c>
      <c r="J50" s="58"/>
      <c r="K50" s="58"/>
      <c r="L50" s="58"/>
      <c r="M50" s="57"/>
      <c r="N50" s="59" t="str">
        <f>IF(ISBLANK(J50),"",IF(OR(M50="Completed",M50="Closed"),"",IF(H50="Issue",IF(I50="High",WORKDAY(J50,2,[3]DATA!A50:A78),IF(I50="Medium",WORKDAY(J50,14,[3]DATA!A50:A78),IF(OR(I50="Low"),WORKDAY(J50,30,[3]DATA!A50:A78),""))),
"")
))</f>
        <v/>
      </c>
      <c r="O50" s="60" t="str">
        <f ca="1">IF(OR(ISBLANK(#REF!), M50="Completed", M50="Closed", H50&lt;&gt;"Issue"), "",
   (NETWORKDAYS.INTL(TODAY(), N50, 1, [3]DATA!A50:A78) - 1))</f>
        <v/>
      </c>
      <c r="P50" s="78" t="str">
        <f t="shared" ca="1" si="0"/>
        <v/>
      </c>
      <c r="Q50" s="62" t="str">
        <f t="shared" ca="1" si="1"/>
        <v/>
      </c>
    </row>
    <row r="51" spans="1:17" x14ac:dyDescent="0.3">
      <c r="A51" s="57"/>
      <c r="B51" s="57"/>
      <c r="C51" s="57"/>
      <c r="D51" s="57"/>
      <c r="E51" s="57"/>
      <c r="F51" s="57"/>
      <c r="G51" s="57"/>
      <c r="H51" s="57"/>
      <c r="I51" s="57" t="s">
        <v>75</v>
      </c>
      <c r="J51" s="58"/>
      <c r="K51" s="58"/>
      <c r="L51" s="58"/>
      <c r="M51" s="57"/>
      <c r="N51" s="59" t="str">
        <f>IF(ISBLANK(J51),"",IF(OR(M51="Completed",M51="Closed"),"",IF(H51="Issue",IF(I51="High",WORKDAY(J51,2,[3]DATA!A51:A79),IF(I51="Medium",WORKDAY(J51,14,[3]DATA!A51:A79),IF(OR(I51="Low"),WORKDAY(J51,30,[3]DATA!A51:A79),""))),
"")
))</f>
        <v/>
      </c>
      <c r="O51" s="60" t="str">
        <f ca="1">IF(OR(ISBLANK(#REF!), M51="Completed", M51="Closed", H51&lt;&gt;"Issue"), "",
   (NETWORKDAYS.INTL(TODAY(), N51, 1, [3]DATA!A51:A79) - 1))</f>
        <v/>
      </c>
      <c r="P51" s="78" t="str">
        <f t="shared" ca="1" si="0"/>
        <v/>
      </c>
      <c r="Q51" s="62" t="str">
        <f t="shared" ca="1" si="1"/>
        <v/>
      </c>
    </row>
    <row r="52" spans="1:17" x14ac:dyDescent="0.3">
      <c r="A52" s="57"/>
      <c r="B52" s="57"/>
      <c r="C52" s="57"/>
      <c r="D52" s="57"/>
      <c r="E52" s="57"/>
      <c r="F52" s="57"/>
      <c r="G52" s="57"/>
      <c r="H52" s="57"/>
      <c r="I52" s="57" t="s">
        <v>75</v>
      </c>
      <c r="J52" s="58"/>
      <c r="K52" s="58"/>
      <c r="L52" s="58"/>
      <c r="M52" s="57"/>
      <c r="N52" s="59" t="str">
        <f>IF(ISBLANK(J52),"",IF(OR(M52="Completed",M52="Closed"),"",IF(H52="Issue",IF(I52="High",WORKDAY(J52,2,[3]DATA!A52:A80),IF(I52="Medium",WORKDAY(J52,14,[3]DATA!A52:A80),IF(OR(I52="Low"),WORKDAY(J52,30,[3]DATA!A52:A80),""))),
"")
))</f>
        <v/>
      </c>
      <c r="O52" s="60" t="str">
        <f ca="1">IF(OR(ISBLANK(#REF!), M52="Completed", M52="Closed", H52&lt;&gt;"Issue"), "",
   (NETWORKDAYS.INTL(TODAY(), N52, 1, [3]DATA!A52:A80) - 1))</f>
        <v/>
      </c>
      <c r="P52" s="78" t="str">
        <f t="shared" ca="1" si="0"/>
        <v/>
      </c>
      <c r="Q52" s="62" t="str">
        <f t="shared" ca="1" si="1"/>
        <v/>
      </c>
    </row>
    <row r="53" spans="1:17" x14ac:dyDescent="0.3">
      <c r="A53" s="57"/>
      <c r="B53" s="57"/>
      <c r="C53" s="57"/>
      <c r="D53" s="57"/>
      <c r="E53" s="57"/>
      <c r="F53" s="57"/>
      <c r="G53" s="57"/>
      <c r="H53" s="57"/>
      <c r="I53" s="57" t="s">
        <v>75</v>
      </c>
      <c r="J53" s="58"/>
      <c r="K53" s="66"/>
      <c r="L53" s="66"/>
      <c r="M53" s="57"/>
      <c r="N53" s="59" t="str">
        <f>IF(ISBLANK(J53),"",IF(OR(M53="Completed",M53="Closed"),"",IF(H53="Issue",IF(I53="High",WORKDAY(J53,2,[3]DATA!A53:A81),IF(I53="Medium",WORKDAY(J53,14,[3]DATA!A53:A81),IF(OR(I53="Low"),WORKDAY(J53,30,[3]DATA!A53:A81),""))),
"")
))</f>
        <v/>
      </c>
      <c r="O53" s="60" t="str">
        <f ca="1">IF(OR(ISBLANK(#REF!), M53="Completed", M53="Closed", H53&lt;&gt;"Issue"), "",
   (NETWORKDAYS.INTL(TODAY(), N53, 1, [3]DATA!A53:A81) - 1))</f>
        <v/>
      </c>
      <c r="P53" s="78" t="str">
        <f t="shared" ca="1" si="0"/>
        <v/>
      </c>
      <c r="Q53" s="62" t="str">
        <f t="shared" ca="1" si="1"/>
        <v/>
      </c>
    </row>
    <row r="54" spans="1:17" x14ac:dyDescent="0.3">
      <c r="A54" s="57"/>
      <c r="B54" s="57"/>
      <c r="C54" s="57"/>
      <c r="D54" s="57"/>
      <c r="E54" s="57"/>
      <c r="F54" s="57"/>
      <c r="G54" s="57"/>
      <c r="H54" s="57"/>
      <c r="I54" s="57" t="s">
        <v>75</v>
      </c>
      <c r="J54" s="58"/>
      <c r="K54" s="58"/>
      <c r="L54" s="58"/>
      <c r="M54" s="57"/>
      <c r="N54" s="59" t="str">
        <f>IF(ISBLANK(J54),"",IF(OR(M54="Completed",M54="Closed"),"",IF(H54="Issue",IF(I54="High",WORKDAY(J54,2,[3]DATA!A54:A82),IF(I54="Medium",WORKDAY(J54,14,[3]DATA!A54:A82),IF(OR(I54="Low"),WORKDAY(J54,30,[3]DATA!A54:A82),""))),
"")
))</f>
        <v/>
      </c>
      <c r="O54" s="60" t="str">
        <f ca="1">IF(OR(ISBLANK(#REF!), M54="Completed", M54="Closed", H54&lt;&gt;"Issue"), "",
   (NETWORKDAYS.INTL(TODAY(), N54, 1, [3]DATA!A54:A82) - 1))</f>
        <v/>
      </c>
      <c r="P54" s="78" t="str">
        <f t="shared" ca="1" si="0"/>
        <v/>
      </c>
      <c r="Q54" s="62" t="str">
        <f t="shared" ca="1" si="1"/>
        <v/>
      </c>
    </row>
    <row r="55" spans="1:17" x14ac:dyDescent="0.3">
      <c r="A55" s="57"/>
      <c r="B55" s="57"/>
      <c r="C55" s="57"/>
      <c r="D55" s="57"/>
      <c r="E55" s="57"/>
      <c r="F55" s="57"/>
      <c r="G55" s="57"/>
      <c r="H55" s="57"/>
      <c r="I55" s="57" t="s">
        <v>75</v>
      </c>
      <c r="J55" s="58"/>
      <c r="K55" s="66"/>
      <c r="L55" s="66"/>
      <c r="M55" s="57"/>
      <c r="N55" s="59" t="str">
        <f>IF(ISBLANK(J55),"",IF(OR(M55="Completed",M55="Closed"),"",IF(H55="Issue",IF(I55="High",WORKDAY(J55,2,[3]DATA!A55:A83),IF(I55="Medium",WORKDAY(J55,14,[3]DATA!A55:A83),IF(OR(I55="Low"),WORKDAY(J55,30,[3]DATA!A55:A83),""))),
"")
))</f>
        <v/>
      </c>
      <c r="O55" s="60" t="str">
        <f ca="1">IF(OR(ISBLANK(#REF!), M55="Completed", M55="Closed", H55&lt;&gt;"Issue"), "",
   (NETWORKDAYS.INTL(TODAY(), N55, 1, [3]DATA!A55:A83) - 1))</f>
        <v/>
      </c>
      <c r="P55" s="78" t="str">
        <f t="shared" ca="1" si="0"/>
        <v/>
      </c>
      <c r="Q55" s="62" t="str">
        <f t="shared" ca="1" si="1"/>
        <v/>
      </c>
    </row>
    <row r="56" spans="1:17" x14ac:dyDescent="0.3">
      <c r="A56" s="57"/>
      <c r="B56" s="57"/>
      <c r="C56" s="57"/>
      <c r="D56" s="57"/>
      <c r="E56" s="57"/>
      <c r="F56" s="57"/>
      <c r="G56" s="57"/>
      <c r="H56" s="57"/>
      <c r="I56" s="57" t="s">
        <v>75</v>
      </c>
      <c r="J56" s="58"/>
      <c r="K56" s="66"/>
      <c r="L56" s="66"/>
      <c r="M56" s="57"/>
      <c r="N56" s="59" t="str">
        <f>IF(ISBLANK(J56),"",IF(OR(M56="Completed",M56="Closed"),"",IF(H56="Issue",IF(I56="High",WORKDAY(J56,2,[3]DATA!A56:A84),IF(I56="Medium",WORKDAY(J56,14,[3]DATA!A56:A84),IF(OR(I56="Low"),WORKDAY(J56,30,[3]DATA!A56:A84),""))),
"")
))</f>
        <v/>
      </c>
      <c r="O56" s="60" t="str">
        <f ca="1">IF(OR(ISBLANK(#REF!), M56="Completed", M56="Closed", H56&lt;&gt;"Issue"), "",
   (NETWORKDAYS.INTL(TODAY(), N56, 1, [3]DATA!A56:A84) - 1))</f>
        <v/>
      </c>
      <c r="P56" s="78" t="str">
        <f t="shared" ca="1" si="0"/>
        <v/>
      </c>
      <c r="Q56" s="62" t="str">
        <f t="shared" ca="1" si="1"/>
        <v/>
      </c>
    </row>
    <row r="57" spans="1:17" x14ac:dyDescent="0.3">
      <c r="A57" s="57"/>
      <c r="B57" s="57"/>
      <c r="C57" s="57"/>
      <c r="D57" s="57"/>
      <c r="E57" s="57"/>
      <c r="F57" s="57"/>
      <c r="G57" s="57"/>
      <c r="H57" s="57"/>
      <c r="I57" s="57" t="s">
        <v>75</v>
      </c>
      <c r="J57" s="58"/>
      <c r="K57" s="66"/>
      <c r="L57" s="66"/>
      <c r="M57" s="57"/>
      <c r="N57" s="59" t="str">
        <f>IF(ISBLANK(J57),"",IF(OR(M57="Completed",M57="Closed"),"",IF(H57="Issue",IF(I57="High",WORKDAY(J57,2,[3]DATA!A57:A85),IF(I57="Medium",WORKDAY(J57,14,[3]DATA!A57:A85),IF(OR(I57="Low"),WORKDAY(J57,30,[3]DATA!A57:A85),""))),
"")
))</f>
        <v/>
      </c>
      <c r="O57" s="60" t="str">
        <f ca="1">IF(OR(ISBLANK(#REF!), M57="Completed", M57="Closed", H57&lt;&gt;"Issue"), "",
   (NETWORKDAYS.INTL(TODAY(), N57, 1, [3]DATA!A57:A85) - 1))</f>
        <v/>
      </c>
      <c r="P57" s="78" t="str">
        <f t="shared" ca="1" si="0"/>
        <v/>
      </c>
      <c r="Q57" s="62" t="str">
        <f t="shared" ca="1" si="1"/>
        <v/>
      </c>
    </row>
    <row r="58" spans="1:17" x14ac:dyDescent="0.3">
      <c r="A58" s="57"/>
      <c r="B58" s="57"/>
      <c r="C58" s="57"/>
      <c r="D58" s="57"/>
      <c r="E58" s="57"/>
      <c r="F58" s="57"/>
      <c r="G58" s="57"/>
      <c r="H58" s="57"/>
      <c r="I58" s="57" t="s">
        <v>75</v>
      </c>
      <c r="J58" s="58"/>
      <c r="K58" s="58"/>
      <c r="L58" s="58"/>
      <c r="M58" s="57"/>
      <c r="N58" s="59" t="str">
        <f>IF(ISBLANK(J58),"",IF(OR(M58="Completed",M58="Closed"),"",IF(H58="Issue",IF(I58="High",WORKDAY(J58,2,[3]DATA!A58:A86),IF(I58="Medium",WORKDAY(J58,14,[3]DATA!A58:A86),IF(OR(I58="Low"),WORKDAY(J58,30,[3]DATA!A58:A86),""))),
"")
))</f>
        <v/>
      </c>
      <c r="O58" s="60" t="str">
        <f ca="1">IF(OR(ISBLANK(#REF!), M58="Completed", M58="Closed", H58&lt;&gt;"Issue"), "",
   (NETWORKDAYS.INTL(TODAY(), N58, 1, [3]DATA!A58:A86) - 1))</f>
        <v/>
      </c>
      <c r="P58" s="78" t="str">
        <f t="shared" ca="1" si="0"/>
        <v/>
      </c>
      <c r="Q58" s="62" t="str">
        <f t="shared" ca="1" si="1"/>
        <v/>
      </c>
    </row>
    <row r="59" spans="1:17" x14ac:dyDescent="0.3">
      <c r="A59" s="57"/>
      <c r="B59" s="57"/>
      <c r="C59" s="57"/>
      <c r="D59" s="57"/>
      <c r="E59" s="57"/>
      <c r="F59" s="57"/>
      <c r="G59" s="57"/>
      <c r="H59" s="57"/>
      <c r="I59" s="57" t="s">
        <v>75</v>
      </c>
      <c r="J59" s="58"/>
      <c r="K59" s="58"/>
      <c r="L59" s="66"/>
      <c r="M59" s="57"/>
      <c r="N59" s="59" t="str">
        <f>IF(ISBLANK(J59),"",IF(OR(M59="Completed",M59="Closed"),"",IF(H59="Issue",IF(I59="High",WORKDAY(J59,2,[3]DATA!A59:A87),IF(I59="Medium",WORKDAY(J59,14,[3]DATA!A59:A87),IF(OR(I59="Low"),WORKDAY(J59,30,[3]DATA!A59:A87),""))),
"")
))</f>
        <v/>
      </c>
      <c r="O59" s="60" t="str">
        <f ca="1">IF(OR(ISBLANK(#REF!), M59="Completed", M59="Closed", H59&lt;&gt;"Issue"), "",
   (NETWORKDAYS.INTL(TODAY(), N59, 1, [3]DATA!A59:A87) - 1))</f>
        <v/>
      </c>
      <c r="P59" s="78" t="str">
        <f t="shared" ca="1" si="0"/>
        <v/>
      </c>
      <c r="Q59" s="62" t="str">
        <f t="shared" ca="1" si="1"/>
        <v/>
      </c>
    </row>
    <row r="60" spans="1:17" x14ac:dyDescent="0.3">
      <c r="A60" s="57"/>
      <c r="B60" s="57"/>
      <c r="C60" s="57"/>
      <c r="D60" s="57"/>
      <c r="E60" s="57"/>
      <c r="F60" s="57"/>
      <c r="G60" s="57"/>
      <c r="H60" s="57"/>
      <c r="I60" s="57" t="s">
        <v>75</v>
      </c>
      <c r="J60" s="58"/>
      <c r="K60" s="66"/>
      <c r="L60" s="66"/>
      <c r="M60" s="57"/>
      <c r="N60" s="59" t="str">
        <f>IF(ISBLANK(J60),"",IF(OR(M60="Completed",M60="Closed"),"",IF(H60="Issue",IF(I60="High",WORKDAY(J60,2,[3]DATA!A60:A88),IF(I60="Medium",WORKDAY(J60,14,[3]DATA!A60:A88),IF(OR(I60="Low"),WORKDAY(J60,30,[3]DATA!A60:A88),""))),
"")
))</f>
        <v/>
      </c>
      <c r="O60" s="60" t="str">
        <f ca="1">IF(OR(ISBLANK(#REF!), M60="Completed", M60="Closed", H60&lt;&gt;"Issue"), "",
   (NETWORKDAYS.INTL(TODAY(), N60, 1, [3]DATA!A60:A88) - 1))</f>
        <v/>
      </c>
      <c r="P60" s="78" t="str">
        <f t="shared" ca="1" si="0"/>
        <v/>
      </c>
      <c r="Q60" s="62" t="str">
        <f t="shared" ca="1" si="1"/>
        <v/>
      </c>
    </row>
    <row r="61" spans="1:17" x14ac:dyDescent="0.3">
      <c r="A61" s="57"/>
      <c r="B61" s="57"/>
      <c r="C61" s="57"/>
      <c r="D61" s="57"/>
      <c r="E61" s="57"/>
      <c r="F61" s="57"/>
      <c r="G61" s="57"/>
      <c r="H61" s="57"/>
      <c r="I61" s="57" t="s">
        <v>75</v>
      </c>
      <c r="J61" s="58"/>
      <c r="K61" s="66"/>
      <c r="L61" s="66"/>
      <c r="M61" s="57"/>
      <c r="N61" s="59" t="str">
        <f>IF(ISBLANK(J61),"",IF(OR(M61="Completed",M61="Closed"),"",IF(H61="Issue",IF(I61="High",WORKDAY(J61,2,[3]DATA!A61:A89),IF(I61="Medium",WORKDAY(J61,14,[3]DATA!A61:A89),IF(OR(I61="Low"),WORKDAY(J61,30,[3]DATA!A61:A89),""))),
"")
))</f>
        <v/>
      </c>
      <c r="O61" s="60" t="str">
        <f ca="1">IF(OR(ISBLANK(#REF!), M61="Completed", M61="Closed", H61&lt;&gt;"Issue"), "",
   (NETWORKDAYS.INTL(TODAY(), N61, 1, [3]DATA!A61:A89) - 1))</f>
        <v/>
      </c>
      <c r="P61" s="78" t="str">
        <f t="shared" ca="1" si="0"/>
        <v/>
      </c>
      <c r="Q61" s="62" t="str">
        <f t="shared" ca="1" si="1"/>
        <v/>
      </c>
    </row>
    <row r="62" spans="1:17" x14ac:dyDescent="0.3">
      <c r="A62" s="57"/>
      <c r="B62" s="57"/>
      <c r="C62" s="57"/>
      <c r="D62" s="57"/>
      <c r="E62" s="57"/>
      <c r="F62" s="57"/>
      <c r="G62" s="57"/>
      <c r="H62" s="57"/>
      <c r="I62" s="57" t="s">
        <v>75</v>
      </c>
      <c r="J62" s="58"/>
      <c r="K62" s="58"/>
      <c r="L62" s="58"/>
      <c r="M62" s="57"/>
      <c r="N62" s="59" t="str">
        <f>IF(ISBLANK(J62),"",IF(OR(M62="Completed",M62="Closed"),"",IF(H62="Issue",IF(I62="High",WORKDAY(J62,2,[3]DATA!A62:A90),IF(I62="Medium",WORKDAY(J62,14,[3]DATA!A62:A90),IF(OR(I62="Low"),WORKDAY(J62,30,[3]DATA!A62:A90),""))),
"")
))</f>
        <v/>
      </c>
      <c r="O62" s="60" t="str">
        <f ca="1">IF(OR(ISBLANK(#REF!), M62="Completed", M62="Closed", H62&lt;&gt;"Issue"), "",
   (NETWORKDAYS.INTL(TODAY(), N62, 1, [3]DATA!A62:A90) - 1))</f>
        <v/>
      </c>
      <c r="P62" s="78" t="str">
        <f t="shared" ca="1" si="0"/>
        <v/>
      </c>
      <c r="Q62" s="62" t="str">
        <f t="shared" ca="1" si="1"/>
        <v/>
      </c>
    </row>
    <row r="63" spans="1:17" x14ac:dyDescent="0.3">
      <c r="A63" s="57"/>
      <c r="B63" s="57"/>
      <c r="C63" s="57"/>
      <c r="D63" s="57"/>
      <c r="E63" s="57"/>
      <c r="F63" s="57"/>
      <c r="G63" s="57"/>
      <c r="H63" s="57"/>
      <c r="I63" s="57" t="s">
        <v>75</v>
      </c>
      <c r="J63" s="58"/>
      <c r="K63" s="66"/>
      <c r="L63" s="66"/>
      <c r="M63" s="57"/>
      <c r="N63" s="59" t="str">
        <f>IF(ISBLANK(J63),"",IF(OR(M63="Completed",M63="Closed"),"",IF(H63="Issue",IF(I63="High",WORKDAY(J63,2,[3]DATA!A63:A91),IF(I63="Medium",WORKDAY(J63,14,[3]DATA!A63:A91),IF(OR(I63="Low"),WORKDAY(J63,30,[3]DATA!A63:A91),""))),
"")
))</f>
        <v/>
      </c>
      <c r="O63" s="60" t="str">
        <f ca="1">IF(OR(ISBLANK(#REF!), M63="Completed", M63="Closed", H63&lt;&gt;"Issue"), "",
   (NETWORKDAYS.INTL(TODAY(), N63, 1, [3]DATA!A63:A91) - 1))</f>
        <v/>
      </c>
      <c r="P63" s="78" t="str">
        <f t="shared" ca="1" si="0"/>
        <v/>
      </c>
      <c r="Q63" s="62" t="str">
        <f t="shared" ca="1" si="1"/>
        <v/>
      </c>
    </row>
    <row r="64" spans="1:17" x14ac:dyDescent="0.3">
      <c r="A64" s="57"/>
      <c r="B64" s="57"/>
      <c r="C64" s="57"/>
      <c r="D64" s="57"/>
      <c r="E64" s="57"/>
      <c r="F64" s="57"/>
      <c r="G64" s="57"/>
      <c r="H64" s="57"/>
      <c r="I64" s="57" t="s">
        <v>75</v>
      </c>
      <c r="J64" s="58"/>
      <c r="K64" s="66"/>
      <c r="L64" s="66"/>
      <c r="M64" s="57"/>
      <c r="N64" s="59" t="str">
        <f>IF(ISBLANK(J64),"",IF(OR(M64="Completed",M64="Closed"),"",IF(H64="Issue",IF(I64="High",WORKDAY(J64,2,[3]DATA!A64:A92),IF(I64="Medium",WORKDAY(J64,14,[3]DATA!A64:A92),IF(OR(I64="Low"),WORKDAY(J64,30,[3]DATA!A64:A92),""))),
"")
))</f>
        <v/>
      </c>
      <c r="O64" s="60" t="str">
        <f ca="1">IF(OR(ISBLANK(#REF!), M64="Completed", M64="Closed", H64&lt;&gt;"Issue"), "",
   (NETWORKDAYS.INTL(TODAY(), N64, 1, [3]DATA!A64:A92) - 1))</f>
        <v/>
      </c>
      <c r="P64" s="78" t="str">
        <f t="shared" ca="1" si="0"/>
        <v/>
      </c>
      <c r="Q64" s="62" t="str">
        <f t="shared" ca="1" si="1"/>
        <v/>
      </c>
    </row>
    <row r="65" spans="1:17" x14ac:dyDescent="0.3">
      <c r="A65" s="57"/>
      <c r="B65" s="57"/>
      <c r="C65" s="57"/>
      <c r="D65" s="57"/>
      <c r="E65" s="57"/>
      <c r="F65" s="57"/>
      <c r="G65" s="57"/>
      <c r="H65" s="57"/>
      <c r="I65" s="57" t="s">
        <v>75</v>
      </c>
      <c r="J65" s="58"/>
      <c r="K65" s="58"/>
      <c r="L65" s="58"/>
      <c r="M65" s="57"/>
      <c r="N65" s="59" t="str">
        <f>IF(ISBLANK(J65),"",IF(OR(M65="Completed",M65="Closed"),"",IF(H65="Issue",IF(I65="High",WORKDAY(J65,2,[3]DATA!A65:A93),IF(I65="Medium",WORKDAY(J65,14,[3]DATA!A65:A93),IF(OR(I65="Low"),WORKDAY(J65,30,[3]DATA!A65:A93),""))),
"")
))</f>
        <v/>
      </c>
      <c r="O65" s="60" t="str">
        <f ca="1">IF(OR(ISBLANK(#REF!), M65="Completed", M65="Closed", H65&lt;&gt;"Issue"), "",
   (NETWORKDAYS.INTL(TODAY(), N65, 1, [3]DATA!A65:A93) - 1))</f>
        <v/>
      </c>
      <c r="P65" s="78" t="str">
        <f t="shared" ca="1" si="0"/>
        <v/>
      </c>
      <c r="Q65" s="62" t="str">
        <f t="shared" ca="1" si="1"/>
        <v/>
      </c>
    </row>
    <row r="66" spans="1:17" x14ac:dyDescent="0.3">
      <c r="A66" s="57"/>
      <c r="B66" s="57"/>
      <c r="C66" s="57"/>
      <c r="D66" s="57"/>
      <c r="E66" s="57"/>
      <c r="F66" s="57"/>
      <c r="G66" s="57"/>
      <c r="H66" s="57"/>
      <c r="I66" s="57" t="s">
        <v>75</v>
      </c>
      <c r="J66" s="58"/>
      <c r="K66" s="66"/>
      <c r="L66" s="66"/>
      <c r="M66" s="57"/>
      <c r="N66" s="59" t="str">
        <f>IF(ISBLANK(J66),"",IF(OR(M66="Completed",M66="Closed"),"",IF(H66="Issue",IF(I66="High",WORKDAY(J66,2,[3]DATA!A66:A94),IF(I66="Medium",WORKDAY(J66,14,[3]DATA!A66:A94),IF(OR(I66="Low"),WORKDAY(J66,30,[3]DATA!A66:A94),""))),
"")
))</f>
        <v/>
      </c>
      <c r="O66" s="60" t="str">
        <f ca="1">IF(OR(ISBLANK(#REF!), M66="Completed", M66="Closed", H66&lt;&gt;"Issue"), "",
   (NETWORKDAYS.INTL(TODAY(), N66, 1, [3]DATA!A66:A94) - 1))</f>
        <v/>
      </c>
      <c r="P66" s="78" t="str">
        <f t="shared" ca="1" si="0"/>
        <v/>
      </c>
      <c r="Q66" s="62" t="str">
        <f t="shared" ca="1" si="1"/>
        <v/>
      </c>
    </row>
    <row r="67" spans="1:17" x14ac:dyDescent="0.3">
      <c r="A67" s="57"/>
      <c r="B67" s="57"/>
      <c r="C67" s="57"/>
      <c r="D67" s="57"/>
      <c r="E67" s="57"/>
      <c r="F67" s="57"/>
      <c r="G67" s="57"/>
      <c r="H67" s="57"/>
      <c r="I67" s="57" t="s">
        <v>75</v>
      </c>
      <c r="J67" s="58"/>
      <c r="K67" s="58"/>
      <c r="L67" s="58"/>
      <c r="M67" s="57"/>
      <c r="N67" s="59" t="str">
        <f>IF(ISBLANK(J67),"",IF(OR(M67="Completed",M67="Closed"),"",IF(H67="Issue",IF(I67="High",WORKDAY(J67,2,[3]DATA!A67:A95),IF(I67="Medium",WORKDAY(J67,14,[3]DATA!A67:A95),IF(OR(I67="Low"),WORKDAY(J67,30,[3]DATA!A67:A95),""))),
"")
))</f>
        <v/>
      </c>
      <c r="O67" s="60" t="str">
        <f ca="1">IF(OR(ISBLANK(#REF!), M67="Completed", M67="Closed", H67&lt;&gt;"Issue"), "",
   (NETWORKDAYS.INTL(TODAY(), N67, 1, [3]DATA!A67:A95) - 1))</f>
        <v/>
      </c>
      <c r="P67" s="78" t="str">
        <f t="shared" ca="1" si="0"/>
        <v/>
      </c>
      <c r="Q67" s="62" t="str">
        <f t="shared" ca="1" si="1"/>
        <v/>
      </c>
    </row>
    <row r="68" spans="1:17" x14ac:dyDescent="0.3">
      <c r="A68" s="57"/>
      <c r="B68" s="57"/>
      <c r="C68" s="57"/>
      <c r="D68" s="57"/>
      <c r="E68" s="57"/>
      <c r="F68" s="57"/>
      <c r="G68" s="57"/>
      <c r="H68" s="57"/>
      <c r="I68" s="57" t="s">
        <v>75</v>
      </c>
      <c r="J68" s="58"/>
      <c r="K68" s="66"/>
      <c r="L68" s="66"/>
      <c r="M68" s="57"/>
      <c r="N68" s="59" t="str">
        <f>IF(ISBLANK(J68),"",IF(OR(M68="Completed",M68="Closed"),"",IF(H68="Issue",IF(I68="High",WORKDAY(J68,2,[3]DATA!A68:A96),IF(I68="Medium",WORKDAY(J68,14,[3]DATA!A68:A96),IF(OR(I68="Low"),WORKDAY(J68,30,[3]DATA!A68:A96),""))),
"")
))</f>
        <v/>
      </c>
      <c r="O68" s="60" t="str">
        <f ca="1">IF(OR(ISBLANK(#REF!), M68="Completed", M68="Closed", H68&lt;&gt;"Issue"), "",
   (NETWORKDAYS.INTL(TODAY(), N68, 1, [3]DATA!A68:A96) - 1))</f>
        <v/>
      </c>
      <c r="P68" s="78" t="str">
        <f t="shared" ref="P68:P131" ca="1" si="2">IF(O68="","",LEFT(O68,10)*(-1))</f>
        <v/>
      </c>
      <c r="Q68" s="62" t="str">
        <f t="shared" ref="Q68:Q131" ca="1" si="3">IF(P68="","",
IF(P68&lt;=0,"Not Due",
IF(P68&lt;=30,"1-30 Days",
IF(P68&lt;=60,"31-60 Days",
"&gt;60 Days"))))</f>
        <v/>
      </c>
    </row>
    <row r="69" spans="1:17" x14ac:dyDescent="0.3">
      <c r="A69" s="57"/>
      <c r="B69" s="57"/>
      <c r="C69" s="57"/>
      <c r="D69" s="57"/>
      <c r="E69" s="57"/>
      <c r="F69" s="57"/>
      <c r="G69" s="57"/>
      <c r="H69" s="57"/>
      <c r="I69" s="57" t="s">
        <v>75</v>
      </c>
      <c r="J69" s="58"/>
      <c r="K69" s="58"/>
      <c r="L69" s="58"/>
      <c r="M69" s="57"/>
      <c r="N69" s="59" t="str">
        <f>IF(ISBLANK(J69),"",IF(OR(M69="Completed",M69="Closed"),"",IF(H69="Issue",IF(I69="High",WORKDAY(J69,2,[3]DATA!A69:A97),IF(I69="Medium",WORKDAY(J69,14,[3]DATA!A69:A97),IF(OR(I69="Low"),WORKDAY(J69,30,[3]DATA!A69:A97),""))),
"")
))</f>
        <v/>
      </c>
      <c r="O69" s="60" t="str">
        <f ca="1">IF(OR(ISBLANK(#REF!), M69="Completed", M69="Closed", H69&lt;&gt;"Issue"), "",
   (NETWORKDAYS.INTL(TODAY(), N69, 1, [3]DATA!A69:A97) - 1))</f>
        <v/>
      </c>
      <c r="P69" s="78" t="str">
        <f t="shared" ca="1" si="2"/>
        <v/>
      </c>
      <c r="Q69" s="62" t="str">
        <f t="shared" ca="1" si="3"/>
        <v/>
      </c>
    </row>
    <row r="70" spans="1:17" x14ac:dyDescent="0.3">
      <c r="A70" s="57"/>
      <c r="B70" s="57"/>
      <c r="C70" s="57"/>
      <c r="D70" s="57"/>
      <c r="E70" s="57"/>
      <c r="F70" s="57"/>
      <c r="G70" s="57"/>
      <c r="H70" s="57"/>
      <c r="I70" s="57" t="s">
        <v>75</v>
      </c>
      <c r="J70" s="58"/>
      <c r="K70" s="58"/>
      <c r="L70" s="58"/>
      <c r="M70" s="57"/>
      <c r="N70" s="59" t="str">
        <f>IF(ISBLANK(J70),"",IF(OR(M70="Completed",M70="Closed"),"",IF(H70="Issue",IF(I70="High",WORKDAY(J70,2,[3]DATA!A70:A98),IF(I70="Medium",WORKDAY(J70,14,[3]DATA!A70:A98),IF(OR(I70="Low"),WORKDAY(J70,30,[3]DATA!A70:A98),""))),
"")
))</f>
        <v/>
      </c>
      <c r="O70" s="60" t="str">
        <f ca="1">IF(OR(ISBLANK(#REF!), M70="Completed", M70="Closed", H70&lt;&gt;"Issue"), "",
   (NETWORKDAYS.INTL(TODAY(), N70, 1, [3]DATA!A70:A98) - 1))</f>
        <v/>
      </c>
      <c r="P70" s="78" t="str">
        <f t="shared" ca="1" si="2"/>
        <v/>
      </c>
      <c r="Q70" s="62" t="str">
        <f t="shared" ca="1" si="3"/>
        <v/>
      </c>
    </row>
    <row r="71" spans="1:17" x14ac:dyDescent="0.3">
      <c r="A71" s="57"/>
      <c r="B71" s="57"/>
      <c r="C71" s="57"/>
      <c r="D71" s="57"/>
      <c r="E71" s="57"/>
      <c r="F71" s="57"/>
      <c r="G71" s="57"/>
      <c r="H71" s="57"/>
      <c r="I71" s="57" t="s">
        <v>75</v>
      </c>
      <c r="J71" s="58"/>
      <c r="K71" s="58"/>
      <c r="L71" s="58"/>
      <c r="M71" s="57"/>
      <c r="N71" s="59" t="str">
        <f>IF(ISBLANK(J71),"",IF(OR(M71="Completed",M71="Closed"),"",IF(H71="Issue",IF(I71="High",WORKDAY(J71,2,[3]DATA!A71:A99),IF(I71="Medium",WORKDAY(J71,14,[3]DATA!A71:A99),IF(OR(I71="Low"),WORKDAY(J71,30,[3]DATA!A71:A99),""))),
"")
))</f>
        <v/>
      </c>
      <c r="O71" s="60" t="str">
        <f ca="1">IF(OR(ISBLANK(#REF!), M71="Completed", M71="Closed", H71&lt;&gt;"Issue"), "",
   (NETWORKDAYS.INTL(TODAY(), N71, 1, [3]DATA!A71:A99) - 1))</f>
        <v/>
      </c>
      <c r="P71" s="78" t="str">
        <f t="shared" ca="1" si="2"/>
        <v/>
      </c>
      <c r="Q71" s="62" t="str">
        <f t="shared" ca="1" si="3"/>
        <v/>
      </c>
    </row>
    <row r="72" spans="1:17" x14ac:dyDescent="0.3">
      <c r="A72" s="57"/>
      <c r="B72" s="57"/>
      <c r="C72" s="57"/>
      <c r="D72" s="57"/>
      <c r="E72" s="57"/>
      <c r="F72" s="57"/>
      <c r="G72" s="57"/>
      <c r="H72" s="57"/>
      <c r="I72" s="57" t="s">
        <v>75</v>
      </c>
      <c r="J72" s="58"/>
      <c r="K72" s="66"/>
      <c r="L72" s="66"/>
      <c r="M72" s="57"/>
      <c r="N72" s="59" t="str">
        <f>IF(ISBLANK(J72),"",IF(OR(M72="Completed",M72="Closed"),"",IF(H72="Issue",IF(I72="High",WORKDAY(J72,2,[3]DATA!A72:A100),IF(I72="Medium",WORKDAY(J72,14,[3]DATA!A72:A100),IF(OR(I72="Low"),WORKDAY(J72,30,[3]DATA!A72:A100),""))),
"")
))</f>
        <v/>
      </c>
      <c r="O72" s="60" t="str">
        <f ca="1">IF(OR(ISBLANK(#REF!), M72="Completed", M72="Closed", H72&lt;&gt;"Issue"), "",
   (NETWORKDAYS.INTL(TODAY(), N72, 1, [3]DATA!A72:A100) - 1))</f>
        <v/>
      </c>
      <c r="P72" s="78" t="str">
        <f t="shared" ca="1" si="2"/>
        <v/>
      </c>
      <c r="Q72" s="62" t="str">
        <f t="shared" ca="1" si="3"/>
        <v/>
      </c>
    </row>
    <row r="73" spans="1:17" x14ac:dyDescent="0.3">
      <c r="A73" s="57"/>
      <c r="B73" s="57"/>
      <c r="C73" s="57"/>
      <c r="D73" s="57"/>
      <c r="E73" s="57"/>
      <c r="F73" s="57"/>
      <c r="G73" s="57"/>
      <c r="H73" s="57"/>
      <c r="I73" s="57" t="s">
        <v>75</v>
      </c>
      <c r="J73" s="58"/>
      <c r="K73" s="66"/>
      <c r="L73" s="66"/>
      <c r="M73" s="57"/>
      <c r="N73" s="59" t="str">
        <f>IF(ISBLANK(J73),"",IF(OR(M73="Completed",M73="Closed"),"",IF(H73="Issue",IF(I73="High",WORKDAY(J73,2,[3]DATA!A73:A101),IF(I73="Medium",WORKDAY(J73,14,[3]DATA!A73:A101),IF(OR(I73="Low"),WORKDAY(J73,30,[3]DATA!A73:A101),""))),
"")
))</f>
        <v/>
      </c>
      <c r="O73" s="60" t="str">
        <f ca="1">IF(OR(ISBLANK(#REF!), M73="Completed", M73="Closed", H73&lt;&gt;"Issue"), "",
   (NETWORKDAYS.INTL(TODAY(), N73, 1, [3]DATA!A73:A101) - 1))</f>
        <v/>
      </c>
      <c r="P73" s="78" t="str">
        <f t="shared" ca="1" si="2"/>
        <v/>
      </c>
      <c r="Q73" s="62" t="str">
        <f t="shared" ca="1" si="3"/>
        <v/>
      </c>
    </row>
    <row r="74" spans="1:17" x14ac:dyDescent="0.3">
      <c r="A74" s="57"/>
      <c r="B74" s="57"/>
      <c r="C74" s="57"/>
      <c r="D74" s="57"/>
      <c r="E74" s="57"/>
      <c r="F74" s="57"/>
      <c r="G74" s="57"/>
      <c r="H74" s="57"/>
      <c r="I74" s="57" t="s">
        <v>75</v>
      </c>
      <c r="J74" s="58"/>
      <c r="K74" s="58"/>
      <c r="L74" s="58"/>
      <c r="M74" s="57"/>
      <c r="N74" s="59" t="str">
        <f>IF(ISBLANK(J74),"",IF(OR(M74="Completed",M74="Closed"),"",IF(H74="Issue",IF(I74="High",WORKDAY(J74,2,[3]DATA!A74:A102),IF(I74="Medium",WORKDAY(J74,14,[3]DATA!A74:A102),IF(OR(I74="Low"),WORKDAY(J74,30,[3]DATA!A74:A102),""))),
"")
))</f>
        <v/>
      </c>
      <c r="O74" s="60" t="str">
        <f ca="1">IF(OR(ISBLANK(#REF!), M74="Completed", M74="Closed", H74&lt;&gt;"Issue"), "",
   (NETWORKDAYS.INTL(TODAY(), N74, 1, [3]DATA!A74:A102) - 1))</f>
        <v/>
      </c>
      <c r="P74" s="78" t="str">
        <f t="shared" ca="1" si="2"/>
        <v/>
      </c>
      <c r="Q74" s="62" t="str">
        <f t="shared" ca="1" si="3"/>
        <v/>
      </c>
    </row>
    <row r="75" spans="1:17" x14ac:dyDescent="0.3">
      <c r="A75" s="57"/>
      <c r="B75" s="57"/>
      <c r="C75" s="57"/>
      <c r="D75" s="57"/>
      <c r="E75" s="57"/>
      <c r="F75" s="57"/>
      <c r="G75" s="57"/>
      <c r="H75" s="57"/>
      <c r="I75" s="57" t="s">
        <v>75</v>
      </c>
      <c r="J75" s="58"/>
      <c r="K75" s="66"/>
      <c r="L75" s="66"/>
      <c r="M75" s="57"/>
      <c r="N75" s="59" t="str">
        <f>IF(ISBLANK(J75),"",IF(OR(M75="Completed",M75="Closed"),"",IF(H75="Issue",IF(I75="High",WORKDAY(J75,2,[3]DATA!A75:A103),IF(I75="Medium",WORKDAY(J75,14,[3]DATA!A75:A103),IF(OR(I75="Low"),WORKDAY(J75,30,[3]DATA!A75:A103),""))),
"")
))</f>
        <v/>
      </c>
      <c r="O75" s="60" t="str">
        <f ca="1">IF(OR(ISBLANK(#REF!), M75="Completed", M75="Closed", H75&lt;&gt;"Issue"), "",
   (NETWORKDAYS.INTL(TODAY(), N75, 1, [3]DATA!A75:A103) - 1))</f>
        <v/>
      </c>
      <c r="P75" s="78" t="str">
        <f t="shared" ca="1" si="2"/>
        <v/>
      </c>
      <c r="Q75" s="62" t="str">
        <f t="shared" ca="1" si="3"/>
        <v/>
      </c>
    </row>
    <row r="76" spans="1:17" x14ac:dyDescent="0.3">
      <c r="A76" s="57"/>
      <c r="B76" s="57"/>
      <c r="C76" s="57"/>
      <c r="D76" s="57"/>
      <c r="E76" s="57"/>
      <c r="F76" s="57"/>
      <c r="G76" s="57"/>
      <c r="H76" s="57"/>
      <c r="I76" s="57" t="s">
        <v>75</v>
      </c>
      <c r="J76" s="58"/>
      <c r="K76" s="66"/>
      <c r="L76" s="66"/>
      <c r="M76" s="57"/>
      <c r="N76" s="59" t="str">
        <f>IF(ISBLANK(J76),"",IF(OR(M76="Completed",M76="Closed"),"",IF(H76="Issue",IF(I76="High",WORKDAY(J76,2,[3]DATA!A76:A104),IF(I76="Medium",WORKDAY(J76,14,[3]DATA!A76:A104),IF(OR(I76="Low"),WORKDAY(J76,30,[3]DATA!A76:A104),""))),
"")
))</f>
        <v/>
      </c>
      <c r="O76" s="60" t="str">
        <f ca="1">IF(OR(ISBLANK(#REF!), M76="Completed", M76="Closed", H76&lt;&gt;"Issue"), "",
   (NETWORKDAYS.INTL(TODAY(), N76, 1, [3]DATA!A76:A104) - 1))</f>
        <v/>
      </c>
      <c r="P76" s="78" t="str">
        <f t="shared" ca="1" si="2"/>
        <v/>
      </c>
      <c r="Q76" s="62" t="str">
        <f t="shared" ca="1" si="3"/>
        <v/>
      </c>
    </row>
    <row r="77" spans="1:17" x14ac:dyDescent="0.3">
      <c r="A77" s="57"/>
      <c r="B77" s="57"/>
      <c r="C77" s="57"/>
      <c r="D77" s="57"/>
      <c r="E77" s="57"/>
      <c r="F77" s="57"/>
      <c r="G77" s="57"/>
      <c r="H77" s="57"/>
      <c r="I77" s="57" t="s">
        <v>75</v>
      </c>
      <c r="J77" s="58"/>
      <c r="K77" s="58"/>
      <c r="L77" s="66"/>
      <c r="M77" s="57"/>
      <c r="N77" s="59" t="str">
        <f>IF(ISBLANK(J77),"",IF(OR(M77="Completed",M77="Closed"),"",IF(H77="Issue",IF(I77="High",WORKDAY(J77,2,[3]DATA!A77:A105),IF(I77="Medium",WORKDAY(J77,14,[3]DATA!A77:A105),IF(OR(I77="Low"),WORKDAY(J77,30,[3]DATA!A77:A105),""))),
"")
))</f>
        <v/>
      </c>
      <c r="O77" s="60" t="str">
        <f ca="1">IF(OR(ISBLANK(#REF!), M77="Completed", M77="Closed", H77&lt;&gt;"Issue"), "",
   (NETWORKDAYS.INTL(TODAY(), N77, 1, [3]DATA!A77:A105) - 1))</f>
        <v/>
      </c>
      <c r="P77" s="78" t="str">
        <f t="shared" ca="1" si="2"/>
        <v/>
      </c>
      <c r="Q77" s="62" t="str">
        <f t="shared" ca="1" si="3"/>
        <v/>
      </c>
    </row>
    <row r="78" spans="1:17" x14ac:dyDescent="0.3">
      <c r="A78" s="57"/>
      <c r="B78" s="57"/>
      <c r="C78" s="57"/>
      <c r="D78" s="57"/>
      <c r="E78" s="57"/>
      <c r="F78" s="57"/>
      <c r="G78" s="57"/>
      <c r="H78" s="57"/>
      <c r="I78" s="57" t="s">
        <v>75</v>
      </c>
      <c r="J78" s="58"/>
      <c r="K78" s="58"/>
      <c r="L78" s="58"/>
      <c r="M78" s="57"/>
      <c r="N78" s="59" t="str">
        <f>IF(ISBLANK(J78),"",IF(OR(M78="Completed",M78="Closed"),"",IF(H78="Issue",IF(I78="High",WORKDAY(J78,2,[3]DATA!A78:A106),IF(I78="Medium",WORKDAY(J78,14,[3]DATA!A78:A106),IF(OR(I78="Low"),WORKDAY(J78,30,[3]DATA!A78:A106),""))),
"")
))</f>
        <v/>
      </c>
      <c r="O78" s="60" t="str">
        <f ca="1">IF(OR(ISBLANK(#REF!), M78="Completed", M78="Closed", H78&lt;&gt;"Issue"), "",
   (NETWORKDAYS.INTL(TODAY(), N78, 1, [3]DATA!A78:A106) - 1))</f>
        <v/>
      </c>
      <c r="P78" s="78" t="str">
        <f t="shared" ca="1" si="2"/>
        <v/>
      </c>
      <c r="Q78" s="62" t="str">
        <f t="shared" ca="1" si="3"/>
        <v/>
      </c>
    </row>
    <row r="79" spans="1:17" x14ac:dyDescent="0.3">
      <c r="A79" s="57"/>
      <c r="B79" s="57"/>
      <c r="C79" s="57"/>
      <c r="D79" s="57"/>
      <c r="E79" s="57"/>
      <c r="F79" s="57"/>
      <c r="G79" s="57"/>
      <c r="H79" s="57"/>
      <c r="I79" s="57" t="s">
        <v>75</v>
      </c>
      <c r="J79" s="58"/>
      <c r="K79" s="58"/>
      <c r="L79" s="58"/>
      <c r="M79" s="57"/>
      <c r="N79" s="59" t="str">
        <f>IF(ISBLANK(J79),"",IF(OR(M79="Completed",M79="Closed"),"",IF(H79="Issue",IF(I79="High",WORKDAY(J79,2,[3]DATA!A79:A107),IF(I79="Medium",WORKDAY(J79,14,[3]DATA!A79:A107),IF(OR(I79="Low"),WORKDAY(J79,30,[3]DATA!A79:A107),""))),
"")
))</f>
        <v/>
      </c>
      <c r="O79" s="60" t="str">
        <f ca="1">IF(OR(ISBLANK(#REF!), M79="Completed", M79="Closed", H79&lt;&gt;"Issue"), "",
   (NETWORKDAYS.INTL(TODAY(), N79, 1, [3]DATA!A79:A107) - 1))</f>
        <v/>
      </c>
      <c r="P79" s="78" t="str">
        <f t="shared" ca="1" si="2"/>
        <v/>
      </c>
      <c r="Q79" s="62" t="str">
        <f t="shared" ca="1" si="3"/>
        <v/>
      </c>
    </row>
    <row r="80" spans="1:17" x14ac:dyDescent="0.3">
      <c r="A80" s="57"/>
      <c r="B80" s="57"/>
      <c r="C80" s="57"/>
      <c r="D80" s="57"/>
      <c r="E80" s="57"/>
      <c r="F80" s="57"/>
      <c r="G80" s="57"/>
      <c r="H80" s="57"/>
      <c r="I80" s="57" t="s">
        <v>75</v>
      </c>
      <c r="J80" s="58"/>
      <c r="K80" s="58"/>
      <c r="L80" s="58"/>
      <c r="M80" s="57"/>
      <c r="N80" s="59" t="str">
        <f>IF(ISBLANK(J80),"",IF(OR(M80="Completed",M80="Closed"),"",IF(H80="Issue",IF(I80="High",WORKDAY(J80,2,[3]DATA!A80:A108),IF(I80="Medium",WORKDAY(J80,14,[3]DATA!A80:A108),IF(OR(I80="Low"),WORKDAY(J80,30,[3]DATA!A80:A108),""))),
"")
))</f>
        <v/>
      </c>
      <c r="O80" s="60" t="str">
        <f ca="1">IF(OR(ISBLANK(#REF!), M80="Completed", M80="Closed", H80&lt;&gt;"Issue"), "",
   (NETWORKDAYS.INTL(TODAY(), N80, 1, [3]DATA!A80:A108) - 1))</f>
        <v/>
      </c>
      <c r="P80" s="78" t="str">
        <f t="shared" ca="1" si="2"/>
        <v/>
      </c>
      <c r="Q80" s="62" t="str">
        <f t="shared" ca="1" si="3"/>
        <v/>
      </c>
    </row>
    <row r="81" spans="1:17" x14ac:dyDescent="0.3">
      <c r="A81" s="57"/>
      <c r="B81" s="57"/>
      <c r="C81" s="57"/>
      <c r="D81" s="57"/>
      <c r="E81" s="57"/>
      <c r="F81" s="57"/>
      <c r="G81" s="57"/>
      <c r="H81" s="57"/>
      <c r="I81" s="57" t="s">
        <v>75</v>
      </c>
      <c r="J81" s="58"/>
      <c r="K81" s="58"/>
      <c r="L81" s="66"/>
      <c r="M81" s="57"/>
      <c r="N81" s="59" t="str">
        <f>IF(ISBLANK(J81),"",IF(OR(M81="Completed",M81="Closed"),"",IF(H81="Issue",IF(I81="High",WORKDAY(J81,2,[3]DATA!A81:A109),IF(I81="Medium",WORKDAY(J81,14,[3]DATA!A81:A109),IF(OR(I81="Low"),WORKDAY(J81,30,[3]DATA!A81:A109),""))),
"")
))</f>
        <v/>
      </c>
      <c r="O81" s="60" t="str">
        <f ca="1">IF(OR(ISBLANK(#REF!), M81="Completed", M81="Closed", H81&lt;&gt;"Issue"), "",
   (NETWORKDAYS.INTL(TODAY(), N81, 1, [3]DATA!A81:A109) - 1))</f>
        <v/>
      </c>
      <c r="P81" s="78" t="str">
        <f t="shared" ca="1" si="2"/>
        <v/>
      </c>
      <c r="Q81" s="62" t="str">
        <f t="shared" ca="1" si="3"/>
        <v/>
      </c>
    </row>
    <row r="82" spans="1:17" x14ac:dyDescent="0.3">
      <c r="A82" s="57"/>
      <c r="B82" s="57"/>
      <c r="C82" s="57"/>
      <c r="D82" s="57"/>
      <c r="E82" s="57"/>
      <c r="F82" s="57"/>
      <c r="G82" s="57"/>
      <c r="H82" s="57"/>
      <c r="I82" s="57" t="s">
        <v>75</v>
      </c>
      <c r="J82" s="58"/>
      <c r="K82" s="58"/>
      <c r="L82" s="58"/>
      <c r="M82" s="57"/>
      <c r="N82" s="59" t="str">
        <f>IF(ISBLANK(J82),"",IF(OR(M82="Completed",M82="Closed"),"",IF(H82="Issue",IF(I82="High",WORKDAY(J82,2,[3]DATA!A82:A110),IF(I82="Medium",WORKDAY(J82,14,[3]DATA!A82:A110),IF(OR(I82="Low"),WORKDAY(J82,30,[3]DATA!A82:A110),""))),
"")
))</f>
        <v/>
      </c>
      <c r="O82" s="60" t="str">
        <f ca="1">IF(OR(ISBLANK(#REF!), M82="Completed", M82="Closed", H82&lt;&gt;"Issue"), "",
   (NETWORKDAYS.INTL(TODAY(), N82, 1, [3]DATA!A82:A110) - 1))</f>
        <v/>
      </c>
      <c r="P82" s="78" t="str">
        <f t="shared" ca="1" si="2"/>
        <v/>
      </c>
      <c r="Q82" s="62" t="str">
        <f t="shared" ca="1" si="3"/>
        <v/>
      </c>
    </row>
    <row r="83" spans="1:17" x14ac:dyDescent="0.3">
      <c r="A83" s="57"/>
      <c r="B83" s="57"/>
      <c r="C83" s="57"/>
      <c r="D83" s="57"/>
      <c r="E83" s="57"/>
      <c r="F83" s="57"/>
      <c r="G83" s="57"/>
      <c r="H83" s="57"/>
      <c r="I83" s="57" t="s">
        <v>75</v>
      </c>
      <c r="J83" s="58"/>
      <c r="K83" s="66"/>
      <c r="L83" s="66"/>
      <c r="M83" s="57"/>
      <c r="N83" s="59" t="str">
        <f>IF(ISBLANK(J83),"",IF(OR(M83="Completed",M83="Closed"),"",IF(H83="Issue",IF(I83="High",WORKDAY(J83,2,[3]DATA!A83:A111),IF(I83="Medium",WORKDAY(J83,14,[3]DATA!A83:A111),IF(OR(I83="Low"),WORKDAY(J83,30,[3]DATA!A83:A111),""))),
"")
))</f>
        <v/>
      </c>
      <c r="O83" s="60" t="str">
        <f ca="1">IF(OR(ISBLANK(#REF!), M83="Completed", M83="Closed", H83&lt;&gt;"Issue"), "",
   (NETWORKDAYS.INTL(TODAY(), N83, 1, [3]DATA!A83:A111) - 1))</f>
        <v/>
      </c>
      <c r="P83" s="78" t="str">
        <f t="shared" ca="1" si="2"/>
        <v/>
      </c>
      <c r="Q83" s="62" t="str">
        <f t="shared" ca="1" si="3"/>
        <v/>
      </c>
    </row>
    <row r="84" spans="1:17" x14ac:dyDescent="0.3">
      <c r="A84" s="57"/>
      <c r="B84" s="57"/>
      <c r="C84" s="57"/>
      <c r="D84" s="57"/>
      <c r="E84" s="57"/>
      <c r="F84" s="57"/>
      <c r="G84" s="57"/>
      <c r="H84" s="57"/>
      <c r="I84" s="57" t="s">
        <v>75</v>
      </c>
      <c r="J84" s="58"/>
      <c r="K84" s="66"/>
      <c r="L84" s="66"/>
      <c r="M84" s="57"/>
      <c r="N84" s="59" t="str">
        <f>IF(ISBLANK(J84),"",IF(OR(M84="Completed",M84="Closed"),"",IF(H84="Issue",IF(I84="High",WORKDAY(J84,2,[3]DATA!A84:A112),IF(I84="Medium",WORKDAY(J84,14,[3]DATA!A84:A112),IF(OR(I84="Low"),WORKDAY(J84,30,[3]DATA!A84:A112),""))),
"")
))</f>
        <v/>
      </c>
      <c r="O84" s="60" t="str">
        <f ca="1">IF(OR(ISBLANK(#REF!), M84="Completed", M84="Closed", H84&lt;&gt;"Issue"), "",
   (NETWORKDAYS.INTL(TODAY(), N84, 1, [3]DATA!A84:A112) - 1))</f>
        <v/>
      </c>
      <c r="P84" s="78" t="str">
        <f t="shared" ca="1" si="2"/>
        <v/>
      </c>
      <c r="Q84" s="62" t="str">
        <f t="shared" ca="1" si="3"/>
        <v/>
      </c>
    </row>
    <row r="85" spans="1:17" x14ac:dyDescent="0.3">
      <c r="A85" s="57"/>
      <c r="B85" s="57"/>
      <c r="C85" s="57"/>
      <c r="D85" s="57"/>
      <c r="E85" s="57"/>
      <c r="F85" s="57"/>
      <c r="G85" s="57"/>
      <c r="H85" s="57"/>
      <c r="I85" s="57" t="s">
        <v>75</v>
      </c>
      <c r="J85" s="58"/>
      <c r="K85" s="66"/>
      <c r="L85" s="66"/>
      <c r="M85" s="57"/>
      <c r="N85" s="59" t="str">
        <f>IF(ISBLANK(J85),"",IF(OR(M85="Completed",M85="Closed"),"",IF(H85="Issue",IF(I85="High",WORKDAY(J85,2,[3]DATA!A85:A113),IF(I85="Medium",WORKDAY(J85,14,[3]DATA!A85:A113),IF(OR(I85="Low"),WORKDAY(J85,30,[3]DATA!A85:A113),""))),
"")
))</f>
        <v/>
      </c>
      <c r="O85" s="60" t="str">
        <f ca="1">IF(OR(ISBLANK(#REF!), M85="Completed", M85="Closed", H85&lt;&gt;"Issue"), "",
   (NETWORKDAYS.INTL(TODAY(), N85, 1, [3]DATA!A85:A113) - 1))</f>
        <v/>
      </c>
      <c r="P85" s="78" t="str">
        <f t="shared" ca="1" si="2"/>
        <v/>
      </c>
      <c r="Q85" s="62" t="str">
        <f t="shared" ca="1" si="3"/>
        <v/>
      </c>
    </row>
    <row r="86" spans="1:17" x14ac:dyDescent="0.3">
      <c r="A86" s="57"/>
      <c r="B86" s="57"/>
      <c r="C86" s="57"/>
      <c r="D86" s="57"/>
      <c r="E86" s="57"/>
      <c r="F86" s="57"/>
      <c r="G86" s="57"/>
      <c r="H86" s="57"/>
      <c r="I86" s="57" t="s">
        <v>75</v>
      </c>
      <c r="J86" s="58"/>
      <c r="K86" s="66"/>
      <c r="L86" s="66"/>
      <c r="M86" s="57"/>
      <c r="N86" s="59" t="str">
        <f>IF(ISBLANK(J86),"",IF(OR(M86="Completed",M86="Closed"),"",IF(H86="Issue",IF(I86="High",WORKDAY(J86,2,[3]DATA!A86:A114),IF(I86="Medium",WORKDAY(J86,14,[3]DATA!A86:A114),IF(OR(I86="Low"),WORKDAY(J86,30,[3]DATA!A86:A114),""))),
"")
))</f>
        <v/>
      </c>
      <c r="O86" s="60" t="str">
        <f ca="1">IF(OR(ISBLANK(#REF!), M86="Completed", M86="Closed", H86&lt;&gt;"Issue"), "",
   (NETWORKDAYS.INTL(TODAY(), N86, 1, [3]DATA!A86:A114) - 1))</f>
        <v/>
      </c>
      <c r="P86" s="78" t="str">
        <f t="shared" ca="1" si="2"/>
        <v/>
      </c>
      <c r="Q86" s="62" t="str">
        <f t="shared" ca="1" si="3"/>
        <v/>
      </c>
    </row>
    <row r="87" spans="1:17" x14ac:dyDescent="0.3">
      <c r="A87" s="57"/>
      <c r="B87" s="57"/>
      <c r="C87" s="57"/>
      <c r="D87" s="57"/>
      <c r="E87" s="57"/>
      <c r="F87" s="57"/>
      <c r="G87" s="57"/>
      <c r="H87" s="57"/>
      <c r="I87" s="57" t="s">
        <v>75</v>
      </c>
      <c r="J87" s="58"/>
      <c r="K87" s="66"/>
      <c r="L87" s="66"/>
      <c r="M87" s="57"/>
      <c r="N87" s="59" t="str">
        <f>IF(ISBLANK(J87),"",IF(OR(M87="Completed",M87="Closed"),"",IF(H87="Issue",IF(I87="High",WORKDAY(J87,2,[3]DATA!A87:A115),IF(I87="Medium",WORKDAY(J87,14,[3]DATA!A87:A115),IF(OR(I87="Low"),WORKDAY(J87,30,[3]DATA!A87:A115),""))),
"")
))</f>
        <v/>
      </c>
      <c r="O87" s="60" t="str">
        <f ca="1">IF(OR(ISBLANK(#REF!), M87="Completed", M87="Closed", H87&lt;&gt;"Issue"), "",
   (NETWORKDAYS.INTL(TODAY(), N87, 1, [3]DATA!A87:A115) - 1))</f>
        <v/>
      </c>
      <c r="P87" s="78" t="str">
        <f t="shared" ca="1" si="2"/>
        <v/>
      </c>
      <c r="Q87" s="62" t="str">
        <f t="shared" ca="1" si="3"/>
        <v/>
      </c>
    </row>
    <row r="88" spans="1:17" x14ac:dyDescent="0.3">
      <c r="A88" s="57"/>
      <c r="B88" s="57"/>
      <c r="C88" s="57"/>
      <c r="D88" s="57"/>
      <c r="E88" s="57"/>
      <c r="F88" s="57"/>
      <c r="G88" s="57"/>
      <c r="H88" s="57"/>
      <c r="I88" s="57" t="s">
        <v>75</v>
      </c>
      <c r="J88" s="58"/>
      <c r="K88" s="66"/>
      <c r="L88" s="66"/>
      <c r="M88" s="57"/>
      <c r="N88" s="59" t="str">
        <f>IF(ISBLANK(J88),"",IF(OR(M88="Completed",M88="Closed"),"",IF(H88="Issue",IF(I88="High",WORKDAY(J88,2,[3]DATA!A88:A116),IF(I88="Medium",WORKDAY(J88,14,[3]DATA!A88:A116),IF(OR(I88="Low"),WORKDAY(J88,30,[3]DATA!A88:A116),""))),
"")
))</f>
        <v/>
      </c>
      <c r="O88" s="60" t="str">
        <f ca="1">IF(OR(ISBLANK(#REF!), M88="Completed", M88="Closed", H88&lt;&gt;"Issue"), "",
   (NETWORKDAYS.INTL(TODAY(), N88, 1, [3]DATA!A88:A116) - 1))</f>
        <v/>
      </c>
      <c r="P88" s="78" t="str">
        <f t="shared" ca="1" si="2"/>
        <v/>
      </c>
      <c r="Q88" s="62" t="str">
        <f t="shared" ca="1" si="3"/>
        <v/>
      </c>
    </row>
    <row r="89" spans="1:17" x14ac:dyDescent="0.3">
      <c r="A89" s="57"/>
      <c r="B89" s="57"/>
      <c r="C89" s="57"/>
      <c r="D89" s="57"/>
      <c r="E89" s="57"/>
      <c r="F89" s="57"/>
      <c r="G89" s="57"/>
      <c r="H89" s="57"/>
      <c r="I89" s="57" t="s">
        <v>75</v>
      </c>
      <c r="J89" s="58"/>
      <c r="K89" s="66"/>
      <c r="L89" s="66"/>
      <c r="M89" s="57"/>
      <c r="N89" s="59" t="str">
        <f>IF(ISBLANK(J89),"",IF(OR(M89="Completed",M89="Closed"),"",IF(H89="Issue",IF(I89="High",WORKDAY(J89,2,[3]DATA!A89:A117),IF(I89="Medium",WORKDAY(J89,14,[3]DATA!A89:A117),IF(OR(I89="Low"),WORKDAY(J89,30,[3]DATA!A89:A117),""))),
"")
))</f>
        <v/>
      </c>
      <c r="O89" s="60" t="str">
        <f ca="1">IF(OR(ISBLANK(#REF!), M89="Completed", M89="Closed", H89&lt;&gt;"Issue"), "",
   (NETWORKDAYS.INTL(TODAY(), N89, 1, [3]DATA!A89:A117) - 1))</f>
        <v/>
      </c>
      <c r="P89" s="78" t="str">
        <f t="shared" ca="1" si="2"/>
        <v/>
      </c>
      <c r="Q89" s="62" t="str">
        <f t="shared" ca="1" si="3"/>
        <v/>
      </c>
    </row>
    <row r="90" spans="1:17" x14ac:dyDescent="0.3">
      <c r="A90" s="57"/>
      <c r="B90" s="57"/>
      <c r="C90" s="57"/>
      <c r="D90" s="57"/>
      <c r="E90" s="57"/>
      <c r="F90" s="57"/>
      <c r="G90" s="57"/>
      <c r="H90" s="57"/>
      <c r="I90" s="57" t="s">
        <v>75</v>
      </c>
      <c r="J90" s="58"/>
      <c r="K90" s="66"/>
      <c r="L90" s="66"/>
      <c r="M90" s="57"/>
      <c r="N90" s="59" t="str">
        <f>IF(ISBLANK(J90),"",IF(OR(M90="Completed",M90="Closed"),"",IF(H90="Issue",IF(I90="High",WORKDAY(J90,2,[3]DATA!A90:A118),IF(I90="Medium",WORKDAY(J90,14,[3]DATA!A90:A118),IF(OR(I90="Low"),WORKDAY(J90,30,[3]DATA!A90:A118),""))),
"")
))</f>
        <v/>
      </c>
      <c r="O90" s="60" t="str">
        <f ca="1">IF(OR(ISBLANK(#REF!), M90="Completed", M90="Closed", H90&lt;&gt;"Issue"), "",
   (NETWORKDAYS.INTL(TODAY(), N90, 1, [3]DATA!A90:A118) - 1))</f>
        <v/>
      </c>
      <c r="P90" s="78" t="str">
        <f t="shared" ca="1" si="2"/>
        <v/>
      </c>
      <c r="Q90" s="62" t="str">
        <f t="shared" ca="1" si="3"/>
        <v/>
      </c>
    </row>
    <row r="91" spans="1:17" x14ac:dyDescent="0.3">
      <c r="A91" s="57"/>
      <c r="B91" s="57"/>
      <c r="C91" s="57"/>
      <c r="D91" s="57"/>
      <c r="E91" s="57"/>
      <c r="F91" s="57"/>
      <c r="G91" s="57"/>
      <c r="H91" s="57"/>
      <c r="I91" s="57" t="s">
        <v>75</v>
      </c>
      <c r="J91" s="58"/>
      <c r="K91" s="66"/>
      <c r="L91" s="66"/>
      <c r="M91" s="57"/>
      <c r="N91" s="59" t="str">
        <f>IF(ISBLANK(J91),"",IF(OR(M91="Completed",M91="Closed"),"",IF(H91="Issue",IF(I91="High",WORKDAY(J91,2,[3]DATA!A91:A119),IF(I91="Medium",WORKDAY(J91,14,[3]DATA!A91:A119),IF(OR(I91="Low"),WORKDAY(J91,30,[3]DATA!A91:A119),""))),
"")
))</f>
        <v/>
      </c>
      <c r="O91" s="60" t="str">
        <f ca="1">IF(OR(ISBLANK(#REF!), M91="Completed", M91="Closed", H91&lt;&gt;"Issue"), "",
   (NETWORKDAYS.INTL(TODAY(), N91, 1, [3]DATA!A91:A119) - 1))</f>
        <v/>
      </c>
      <c r="P91" s="78" t="str">
        <f t="shared" ca="1" si="2"/>
        <v/>
      </c>
      <c r="Q91" s="62" t="str">
        <f t="shared" ca="1" si="3"/>
        <v/>
      </c>
    </row>
    <row r="92" spans="1:17" x14ac:dyDescent="0.3">
      <c r="A92" s="57"/>
      <c r="B92" s="57"/>
      <c r="C92" s="57"/>
      <c r="D92" s="57"/>
      <c r="E92" s="57"/>
      <c r="F92" s="57"/>
      <c r="G92" s="57"/>
      <c r="H92" s="57"/>
      <c r="I92" s="57" t="s">
        <v>75</v>
      </c>
      <c r="J92" s="58"/>
      <c r="K92" s="66"/>
      <c r="L92" s="66"/>
      <c r="M92" s="57"/>
      <c r="N92" s="59" t="str">
        <f>IF(ISBLANK(J92),"",IF(OR(M92="Completed",M92="Closed"),"",IF(H92="Issue",IF(I92="High",WORKDAY(J92,2,[3]DATA!A92:A120),IF(I92="Medium",WORKDAY(J92,14,[3]DATA!A92:A120),IF(OR(I92="Low"),WORKDAY(J92,30,[3]DATA!A92:A120),""))),
"")
))</f>
        <v/>
      </c>
      <c r="O92" s="60" t="str">
        <f ca="1">IF(OR(ISBLANK(#REF!), M92="Completed", M92="Closed", H92&lt;&gt;"Issue"), "",
   (NETWORKDAYS.INTL(TODAY(), N92, 1, [3]DATA!A92:A120) - 1))</f>
        <v/>
      </c>
      <c r="P92" s="78" t="str">
        <f t="shared" ca="1" si="2"/>
        <v/>
      </c>
      <c r="Q92" s="62" t="str">
        <f t="shared" ca="1" si="3"/>
        <v/>
      </c>
    </row>
    <row r="93" spans="1:17" x14ac:dyDescent="0.3">
      <c r="A93" s="57"/>
      <c r="B93" s="57"/>
      <c r="C93" s="57"/>
      <c r="D93" s="57"/>
      <c r="E93" s="57"/>
      <c r="F93" s="57"/>
      <c r="G93" s="57"/>
      <c r="H93" s="57"/>
      <c r="I93" s="57" t="s">
        <v>75</v>
      </c>
      <c r="J93" s="58"/>
      <c r="K93" s="66"/>
      <c r="L93" s="66"/>
      <c r="M93" s="57"/>
      <c r="N93" s="59" t="str">
        <f>IF(ISBLANK(J93),"",IF(OR(M93="Completed",M93="Closed"),"",IF(H93="Issue",IF(I93="High",WORKDAY(J93,2,[3]DATA!A93:A121),IF(I93="Medium",WORKDAY(J93,14,[3]DATA!A93:A121),IF(OR(I93="Low"),WORKDAY(J93,30,[3]DATA!A93:A121),""))),
"")
))</f>
        <v/>
      </c>
      <c r="O93" s="60" t="str">
        <f ca="1">IF(OR(ISBLANK(#REF!), M93="Completed", M93="Closed", H93&lt;&gt;"Issue"), "",
   (NETWORKDAYS.INTL(TODAY(), N93, 1, [3]DATA!A93:A121) - 1))</f>
        <v/>
      </c>
      <c r="P93" s="78" t="str">
        <f t="shared" ca="1" si="2"/>
        <v/>
      </c>
      <c r="Q93" s="62" t="str">
        <f t="shared" ca="1" si="3"/>
        <v/>
      </c>
    </row>
    <row r="94" spans="1:17" x14ac:dyDescent="0.3">
      <c r="A94" s="57"/>
      <c r="B94" s="57"/>
      <c r="C94" s="57"/>
      <c r="D94" s="57"/>
      <c r="E94" s="57"/>
      <c r="F94" s="57"/>
      <c r="G94" s="57"/>
      <c r="H94" s="57"/>
      <c r="I94" s="57" t="s">
        <v>75</v>
      </c>
      <c r="J94" s="58"/>
      <c r="K94" s="66"/>
      <c r="L94" s="66"/>
      <c r="M94" s="57"/>
      <c r="N94" s="59" t="str">
        <f>IF(ISBLANK(J94),"",IF(OR(M94="Completed",M94="Closed"),"",IF(H94="Issue",IF(I94="High",WORKDAY(J94,2,[3]DATA!A94:A122),IF(I94="Medium",WORKDAY(J94,14,[3]DATA!A94:A122),IF(OR(I94="Low"),WORKDAY(J94,30,[3]DATA!A94:A122),""))),
"")
))</f>
        <v/>
      </c>
      <c r="O94" s="60" t="str">
        <f ca="1">IF(OR(ISBLANK(#REF!), M94="Completed", M94="Closed", H94&lt;&gt;"Issue"), "",
   (NETWORKDAYS.INTL(TODAY(), N94, 1, [3]DATA!A94:A122) - 1))</f>
        <v/>
      </c>
      <c r="P94" s="78" t="str">
        <f t="shared" ca="1" si="2"/>
        <v/>
      </c>
      <c r="Q94" s="62" t="str">
        <f t="shared" ca="1" si="3"/>
        <v/>
      </c>
    </row>
    <row r="95" spans="1:17" x14ac:dyDescent="0.3">
      <c r="A95" s="57"/>
      <c r="B95" s="57"/>
      <c r="C95" s="57"/>
      <c r="D95" s="57"/>
      <c r="E95" s="57"/>
      <c r="F95" s="57"/>
      <c r="G95" s="57"/>
      <c r="H95" s="57"/>
      <c r="I95" s="57" t="s">
        <v>75</v>
      </c>
      <c r="J95" s="58"/>
      <c r="K95" s="66"/>
      <c r="L95" s="66"/>
      <c r="M95" s="57"/>
      <c r="N95" s="59" t="str">
        <f>IF(ISBLANK(J95),"",IF(OR(M95="Completed",M95="Closed"),"",IF(H95="Issue",IF(I95="High",WORKDAY(J95,2,[3]DATA!A95:A123),IF(I95="Medium",WORKDAY(J95,14,[3]DATA!A95:A123),IF(OR(I95="Low"),WORKDAY(J95,30,[3]DATA!A95:A123),""))),
"")
))</f>
        <v/>
      </c>
      <c r="O95" s="60" t="str">
        <f ca="1">IF(OR(ISBLANK(#REF!), M95="Completed", M95="Closed", H95&lt;&gt;"Issue"), "",
   (NETWORKDAYS.INTL(TODAY(), N95, 1, [3]DATA!A95:A123) - 1))</f>
        <v/>
      </c>
      <c r="P95" s="78" t="str">
        <f t="shared" ca="1" si="2"/>
        <v/>
      </c>
      <c r="Q95" s="62" t="str">
        <f t="shared" ca="1" si="3"/>
        <v/>
      </c>
    </row>
    <row r="96" spans="1:17" x14ac:dyDescent="0.3">
      <c r="I96" s="57" t="s">
        <v>75</v>
      </c>
      <c r="P96" s="78" t="str">
        <f t="shared" si="2"/>
        <v/>
      </c>
      <c r="Q96" s="62" t="str">
        <f t="shared" si="3"/>
        <v/>
      </c>
    </row>
    <row r="97" spans="9:17" x14ac:dyDescent="0.3">
      <c r="I97" s="57" t="s">
        <v>75</v>
      </c>
      <c r="P97" s="78" t="str">
        <f t="shared" si="2"/>
        <v/>
      </c>
      <c r="Q97" s="62" t="str">
        <f t="shared" si="3"/>
        <v/>
      </c>
    </row>
    <row r="98" spans="9:17" x14ac:dyDescent="0.3">
      <c r="I98" s="57" t="s">
        <v>75</v>
      </c>
      <c r="P98" s="78" t="str">
        <f t="shared" si="2"/>
        <v/>
      </c>
      <c r="Q98" s="62" t="str">
        <f t="shared" si="3"/>
        <v/>
      </c>
    </row>
    <row r="99" spans="9:17" x14ac:dyDescent="0.3">
      <c r="I99" s="57" t="s">
        <v>75</v>
      </c>
      <c r="P99" s="78" t="str">
        <f t="shared" si="2"/>
        <v/>
      </c>
      <c r="Q99" s="62" t="str">
        <f t="shared" si="3"/>
        <v/>
      </c>
    </row>
    <row r="100" spans="9:17" x14ac:dyDescent="0.3">
      <c r="I100" s="57" t="s">
        <v>75</v>
      </c>
      <c r="P100" s="78" t="str">
        <f t="shared" si="2"/>
        <v/>
      </c>
      <c r="Q100" s="62" t="str">
        <f t="shared" si="3"/>
        <v/>
      </c>
    </row>
    <row r="101" spans="9:17" x14ac:dyDescent="0.3">
      <c r="I101" s="57" t="s">
        <v>75</v>
      </c>
      <c r="P101" s="78" t="str">
        <f t="shared" si="2"/>
        <v/>
      </c>
      <c r="Q101" s="62" t="str">
        <f t="shared" si="3"/>
        <v/>
      </c>
    </row>
    <row r="102" spans="9:17" x14ac:dyDescent="0.3">
      <c r="I102" s="57" t="s">
        <v>75</v>
      </c>
      <c r="P102" s="78" t="str">
        <f t="shared" si="2"/>
        <v/>
      </c>
      <c r="Q102" s="62" t="str">
        <f t="shared" si="3"/>
        <v/>
      </c>
    </row>
    <row r="103" spans="9:17" x14ac:dyDescent="0.3">
      <c r="I103" s="57" t="s">
        <v>75</v>
      </c>
      <c r="P103" s="78" t="str">
        <f t="shared" si="2"/>
        <v/>
      </c>
      <c r="Q103" s="62" t="str">
        <f t="shared" si="3"/>
        <v/>
      </c>
    </row>
    <row r="104" spans="9:17" x14ac:dyDescent="0.3">
      <c r="I104" s="57" t="s">
        <v>75</v>
      </c>
      <c r="P104" s="78" t="str">
        <f t="shared" si="2"/>
        <v/>
      </c>
      <c r="Q104" s="62" t="str">
        <f t="shared" si="3"/>
        <v/>
      </c>
    </row>
    <row r="105" spans="9:17" x14ac:dyDescent="0.3">
      <c r="I105" s="57" t="s">
        <v>75</v>
      </c>
      <c r="P105" s="78" t="str">
        <f t="shared" si="2"/>
        <v/>
      </c>
      <c r="Q105" s="62" t="str">
        <f t="shared" si="3"/>
        <v/>
      </c>
    </row>
    <row r="106" spans="9:17" x14ac:dyDescent="0.3">
      <c r="I106" s="57" t="s">
        <v>75</v>
      </c>
      <c r="P106" s="78" t="str">
        <f t="shared" si="2"/>
        <v/>
      </c>
      <c r="Q106" s="62" t="str">
        <f t="shared" si="3"/>
        <v/>
      </c>
    </row>
    <row r="107" spans="9:17" x14ac:dyDescent="0.3">
      <c r="I107" s="57" t="s">
        <v>75</v>
      </c>
      <c r="P107" s="78" t="str">
        <f t="shared" si="2"/>
        <v/>
      </c>
      <c r="Q107" s="62" t="str">
        <f t="shared" si="3"/>
        <v/>
      </c>
    </row>
    <row r="108" spans="9:17" x14ac:dyDescent="0.3">
      <c r="I108" s="57" t="s">
        <v>75</v>
      </c>
      <c r="P108" s="78" t="str">
        <f t="shared" si="2"/>
        <v/>
      </c>
      <c r="Q108" s="62" t="str">
        <f t="shared" si="3"/>
        <v/>
      </c>
    </row>
    <row r="109" spans="9:17" x14ac:dyDescent="0.3">
      <c r="I109" s="57" t="s">
        <v>75</v>
      </c>
      <c r="P109" s="78" t="str">
        <f t="shared" si="2"/>
        <v/>
      </c>
      <c r="Q109" s="62" t="str">
        <f t="shared" si="3"/>
        <v/>
      </c>
    </row>
    <row r="110" spans="9:17" x14ac:dyDescent="0.3">
      <c r="I110" s="57" t="s">
        <v>75</v>
      </c>
      <c r="P110" s="78" t="str">
        <f t="shared" si="2"/>
        <v/>
      </c>
      <c r="Q110" s="62" t="str">
        <f t="shared" si="3"/>
        <v/>
      </c>
    </row>
    <row r="111" spans="9:17" x14ac:dyDescent="0.3">
      <c r="I111" s="57" t="s">
        <v>75</v>
      </c>
      <c r="P111" s="78" t="str">
        <f t="shared" si="2"/>
        <v/>
      </c>
      <c r="Q111" s="62" t="str">
        <f t="shared" si="3"/>
        <v/>
      </c>
    </row>
    <row r="112" spans="9:17" x14ac:dyDescent="0.3">
      <c r="I112" s="57" t="s">
        <v>75</v>
      </c>
      <c r="P112" s="78" t="str">
        <f t="shared" si="2"/>
        <v/>
      </c>
      <c r="Q112" s="62" t="str">
        <f t="shared" si="3"/>
        <v/>
      </c>
    </row>
    <row r="113" spans="9:17" x14ac:dyDescent="0.3">
      <c r="I113" s="57" t="s">
        <v>75</v>
      </c>
      <c r="P113" s="78" t="str">
        <f t="shared" si="2"/>
        <v/>
      </c>
      <c r="Q113" s="62" t="str">
        <f t="shared" si="3"/>
        <v/>
      </c>
    </row>
    <row r="114" spans="9:17" x14ac:dyDescent="0.3">
      <c r="I114" s="57" t="s">
        <v>75</v>
      </c>
      <c r="P114" s="78" t="str">
        <f t="shared" si="2"/>
        <v/>
      </c>
      <c r="Q114" s="62" t="str">
        <f t="shared" si="3"/>
        <v/>
      </c>
    </row>
    <row r="115" spans="9:17" x14ac:dyDescent="0.3">
      <c r="I115" s="57" t="s">
        <v>75</v>
      </c>
      <c r="P115" s="78" t="str">
        <f t="shared" si="2"/>
        <v/>
      </c>
      <c r="Q115" s="62" t="str">
        <f t="shared" si="3"/>
        <v/>
      </c>
    </row>
    <row r="116" spans="9:17" x14ac:dyDescent="0.3">
      <c r="I116" s="57" t="s">
        <v>75</v>
      </c>
      <c r="P116" s="78" t="str">
        <f t="shared" si="2"/>
        <v/>
      </c>
      <c r="Q116" s="62" t="str">
        <f t="shared" si="3"/>
        <v/>
      </c>
    </row>
    <row r="117" spans="9:17" x14ac:dyDescent="0.3">
      <c r="I117" s="57" t="s">
        <v>75</v>
      </c>
      <c r="P117" s="78" t="str">
        <f t="shared" si="2"/>
        <v/>
      </c>
      <c r="Q117" s="62" t="str">
        <f t="shared" si="3"/>
        <v/>
      </c>
    </row>
    <row r="118" spans="9:17" x14ac:dyDescent="0.3">
      <c r="I118" s="57" t="s">
        <v>75</v>
      </c>
      <c r="P118" s="78" t="str">
        <f t="shared" si="2"/>
        <v/>
      </c>
      <c r="Q118" s="62" t="str">
        <f t="shared" si="3"/>
        <v/>
      </c>
    </row>
    <row r="119" spans="9:17" x14ac:dyDescent="0.3">
      <c r="I119" s="57" t="s">
        <v>75</v>
      </c>
      <c r="P119" s="78" t="str">
        <f t="shared" si="2"/>
        <v/>
      </c>
      <c r="Q119" s="62" t="str">
        <f t="shared" si="3"/>
        <v/>
      </c>
    </row>
    <row r="120" spans="9:17" x14ac:dyDescent="0.3">
      <c r="I120" s="57" t="s">
        <v>75</v>
      </c>
      <c r="P120" s="78" t="str">
        <f t="shared" si="2"/>
        <v/>
      </c>
      <c r="Q120" s="62" t="str">
        <f t="shared" si="3"/>
        <v/>
      </c>
    </row>
    <row r="121" spans="9:17" x14ac:dyDescent="0.3">
      <c r="I121" s="57" t="s">
        <v>75</v>
      </c>
      <c r="P121" s="78" t="str">
        <f t="shared" si="2"/>
        <v/>
      </c>
      <c r="Q121" s="62" t="str">
        <f t="shared" si="3"/>
        <v/>
      </c>
    </row>
    <row r="122" spans="9:17" x14ac:dyDescent="0.3">
      <c r="I122" s="57" t="s">
        <v>75</v>
      </c>
      <c r="P122" s="78" t="str">
        <f t="shared" si="2"/>
        <v/>
      </c>
      <c r="Q122" s="62" t="str">
        <f t="shared" si="3"/>
        <v/>
      </c>
    </row>
    <row r="123" spans="9:17" x14ac:dyDescent="0.3">
      <c r="I123" s="57" t="s">
        <v>75</v>
      </c>
      <c r="P123" s="78" t="str">
        <f t="shared" si="2"/>
        <v/>
      </c>
      <c r="Q123" s="62" t="str">
        <f t="shared" si="3"/>
        <v/>
      </c>
    </row>
    <row r="124" spans="9:17" x14ac:dyDescent="0.3">
      <c r="I124" s="57" t="s">
        <v>75</v>
      </c>
      <c r="P124" s="78" t="str">
        <f t="shared" si="2"/>
        <v/>
      </c>
      <c r="Q124" s="62" t="str">
        <f t="shared" si="3"/>
        <v/>
      </c>
    </row>
    <row r="125" spans="9:17" x14ac:dyDescent="0.3">
      <c r="I125" s="57" t="s">
        <v>75</v>
      </c>
      <c r="P125" s="78" t="str">
        <f t="shared" si="2"/>
        <v/>
      </c>
      <c r="Q125" s="62" t="str">
        <f t="shared" si="3"/>
        <v/>
      </c>
    </row>
    <row r="126" spans="9:17" x14ac:dyDescent="0.3">
      <c r="I126" s="57" t="s">
        <v>75</v>
      </c>
      <c r="P126" s="78" t="str">
        <f t="shared" si="2"/>
        <v/>
      </c>
      <c r="Q126" s="62" t="str">
        <f t="shared" si="3"/>
        <v/>
      </c>
    </row>
    <row r="127" spans="9:17" x14ac:dyDescent="0.3">
      <c r="I127" s="57" t="s">
        <v>75</v>
      </c>
      <c r="P127" s="78" t="str">
        <f t="shared" si="2"/>
        <v/>
      </c>
      <c r="Q127" s="62" t="str">
        <f t="shared" si="3"/>
        <v/>
      </c>
    </row>
    <row r="128" spans="9:17" x14ac:dyDescent="0.3">
      <c r="I128" s="57" t="s">
        <v>75</v>
      </c>
      <c r="P128" s="78" t="str">
        <f t="shared" si="2"/>
        <v/>
      </c>
      <c r="Q128" s="62" t="str">
        <f t="shared" si="3"/>
        <v/>
      </c>
    </row>
    <row r="129" spans="9:17" x14ac:dyDescent="0.3">
      <c r="I129" s="57" t="s">
        <v>75</v>
      </c>
      <c r="P129" s="78" t="str">
        <f t="shared" si="2"/>
        <v/>
      </c>
      <c r="Q129" s="62" t="str">
        <f t="shared" si="3"/>
        <v/>
      </c>
    </row>
    <row r="130" spans="9:17" x14ac:dyDescent="0.3">
      <c r="I130" s="57" t="s">
        <v>75</v>
      </c>
      <c r="P130" s="78" t="str">
        <f t="shared" si="2"/>
        <v/>
      </c>
      <c r="Q130" s="62" t="str">
        <f t="shared" si="3"/>
        <v/>
      </c>
    </row>
    <row r="131" spans="9:17" x14ac:dyDescent="0.3">
      <c r="I131" s="57" t="s">
        <v>75</v>
      </c>
      <c r="P131" s="78" t="str">
        <f t="shared" si="2"/>
        <v/>
      </c>
      <c r="Q131" s="62" t="str">
        <f t="shared" si="3"/>
        <v/>
      </c>
    </row>
    <row r="132" spans="9:17" x14ac:dyDescent="0.3">
      <c r="I132" s="57" t="s">
        <v>75</v>
      </c>
      <c r="P132" s="78" t="str">
        <f t="shared" ref="P132:P190" si="4">IF(O132="","",LEFT(O132,10)*(-1))</f>
        <v/>
      </c>
      <c r="Q132" s="62" t="str">
        <f t="shared" ref="Q132:Q190" si="5">IF(P132="","",
IF(P132&lt;=0,"Not Due",
IF(P132&lt;=30,"1-30 Days",
IF(P132&lt;=60,"31-60 Days",
"&gt;60 Days"))))</f>
        <v/>
      </c>
    </row>
    <row r="133" spans="9:17" x14ac:dyDescent="0.3">
      <c r="I133" s="57" t="s">
        <v>75</v>
      </c>
      <c r="P133" s="78" t="str">
        <f t="shared" si="4"/>
        <v/>
      </c>
      <c r="Q133" s="62" t="str">
        <f t="shared" si="5"/>
        <v/>
      </c>
    </row>
    <row r="134" spans="9:17" x14ac:dyDescent="0.3">
      <c r="I134" s="57" t="s">
        <v>75</v>
      </c>
      <c r="P134" s="78" t="str">
        <f t="shared" si="4"/>
        <v/>
      </c>
      <c r="Q134" s="62" t="str">
        <f t="shared" si="5"/>
        <v/>
      </c>
    </row>
    <row r="135" spans="9:17" x14ac:dyDescent="0.3">
      <c r="I135" s="57" t="s">
        <v>75</v>
      </c>
      <c r="P135" s="78" t="str">
        <f t="shared" si="4"/>
        <v/>
      </c>
      <c r="Q135" s="62" t="str">
        <f t="shared" si="5"/>
        <v/>
      </c>
    </row>
    <row r="136" spans="9:17" x14ac:dyDescent="0.3">
      <c r="I136" s="57" t="s">
        <v>75</v>
      </c>
      <c r="P136" s="78" t="str">
        <f t="shared" si="4"/>
        <v/>
      </c>
      <c r="Q136" s="62" t="str">
        <f t="shared" si="5"/>
        <v/>
      </c>
    </row>
    <row r="137" spans="9:17" x14ac:dyDescent="0.3">
      <c r="I137" s="57" t="s">
        <v>75</v>
      </c>
      <c r="P137" s="78" t="str">
        <f t="shared" si="4"/>
        <v/>
      </c>
      <c r="Q137" s="62" t="str">
        <f t="shared" si="5"/>
        <v/>
      </c>
    </row>
    <row r="138" spans="9:17" x14ac:dyDescent="0.3">
      <c r="I138" s="57" t="s">
        <v>75</v>
      </c>
      <c r="P138" s="78" t="str">
        <f t="shared" si="4"/>
        <v/>
      </c>
      <c r="Q138" s="62" t="str">
        <f t="shared" si="5"/>
        <v/>
      </c>
    </row>
    <row r="139" spans="9:17" x14ac:dyDescent="0.3">
      <c r="I139" s="57" t="s">
        <v>75</v>
      </c>
      <c r="P139" s="78" t="str">
        <f t="shared" si="4"/>
        <v/>
      </c>
      <c r="Q139" s="62" t="str">
        <f t="shared" si="5"/>
        <v/>
      </c>
    </row>
    <row r="140" spans="9:17" x14ac:dyDescent="0.3">
      <c r="I140" s="57" t="s">
        <v>75</v>
      </c>
      <c r="P140" s="78" t="str">
        <f t="shared" si="4"/>
        <v/>
      </c>
      <c r="Q140" s="62" t="str">
        <f t="shared" si="5"/>
        <v/>
      </c>
    </row>
    <row r="141" spans="9:17" x14ac:dyDescent="0.3">
      <c r="I141" s="57" t="s">
        <v>75</v>
      </c>
      <c r="P141" s="78" t="str">
        <f t="shared" si="4"/>
        <v/>
      </c>
      <c r="Q141" s="62" t="str">
        <f t="shared" si="5"/>
        <v/>
      </c>
    </row>
    <row r="142" spans="9:17" x14ac:dyDescent="0.3">
      <c r="I142" s="57" t="s">
        <v>75</v>
      </c>
      <c r="P142" s="78" t="str">
        <f t="shared" si="4"/>
        <v/>
      </c>
      <c r="Q142" s="62" t="str">
        <f t="shared" si="5"/>
        <v/>
      </c>
    </row>
    <row r="143" spans="9:17" x14ac:dyDescent="0.3">
      <c r="I143" s="57" t="s">
        <v>75</v>
      </c>
      <c r="P143" s="78" t="str">
        <f t="shared" si="4"/>
        <v/>
      </c>
      <c r="Q143" s="62" t="str">
        <f t="shared" si="5"/>
        <v/>
      </c>
    </row>
    <row r="144" spans="9:17" x14ac:dyDescent="0.3">
      <c r="I144" s="57" t="s">
        <v>75</v>
      </c>
      <c r="P144" s="78" t="str">
        <f t="shared" si="4"/>
        <v/>
      </c>
      <c r="Q144" s="62" t="str">
        <f t="shared" si="5"/>
        <v/>
      </c>
    </row>
    <row r="145" spans="9:17" x14ac:dyDescent="0.3">
      <c r="I145" s="57" t="s">
        <v>75</v>
      </c>
      <c r="P145" s="78" t="str">
        <f t="shared" si="4"/>
        <v/>
      </c>
      <c r="Q145" s="62" t="str">
        <f t="shared" si="5"/>
        <v/>
      </c>
    </row>
    <row r="146" spans="9:17" x14ac:dyDescent="0.3">
      <c r="I146" s="57" t="s">
        <v>75</v>
      </c>
      <c r="P146" s="78" t="str">
        <f t="shared" si="4"/>
        <v/>
      </c>
      <c r="Q146" s="62" t="str">
        <f t="shared" si="5"/>
        <v/>
      </c>
    </row>
    <row r="147" spans="9:17" x14ac:dyDescent="0.3">
      <c r="I147" s="57" t="s">
        <v>75</v>
      </c>
      <c r="P147" s="78" t="str">
        <f t="shared" si="4"/>
        <v/>
      </c>
      <c r="Q147" s="62" t="str">
        <f t="shared" si="5"/>
        <v/>
      </c>
    </row>
    <row r="148" spans="9:17" x14ac:dyDescent="0.3">
      <c r="I148" s="57" t="s">
        <v>75</v>
      </c>
      <c r="P148" s="78" t="str">
        <f t="shared" si="4"/>
        <v/>
      </c>
      <c r="Q148" s="62" t="str">
        <f t="shared" si="5"/>
        <v/>
      </c>
    </row>
    <row r="149" spans="9:17" x14ac:dyDescent="0.3">
      <c r="I149" s="57" t="s">
        <v>75</v>
      </c>
      <c r="P149" s="78" t="str">
        <f t="shared" si="4"/>
        <v/>
      </c>
      <c r="Q149" s="62" t="str">
        <f t="shared" si="5"/>
        <v/>
      </c>
    </row>
    <row r="150" spans="9:17" x14ac:dyDescent="0.3">
      <c r="I150" s="57" t="s">
        <v>75</v>
      </c>
      <c r="P150" s="78" t="str">
        <f t="shared" si="4"/>
        <v/>
      </c>
      <c r="Q150" s="62" t="str">
        <f t="shared" si="5"/>
        <v/>
      </c>
    </row>
    <row r="151" spans="9:17" x14ac:dyDescent="0.3">
      <c r="I151" s="57" t="s">
        <v>75</v>
      </c>
      <c r="P151" s="78" t="str">
        <f t="shared" si="4"/>
        <v/>
      </c>
      <c r="Q151" s="62" t="str">
        <f t="shared" si="5"/>
        <v/>
      </c>
    </row>
    <row r="152" spans="9:17" x14ac:dyDescent="0.3">
      <c r="I152" s="57" t="s">
        <v>75</v>
      </c>
      <c r="P152" s="78" t="str">
        <f t="shared" si="4"/>
        <v/>
      </c>
      <c r="Q152" s="62" t="str">
        <f t="shared" si="5"/>
        <v/>
      </c>
    </row>
    <row r="153" spans="9:17" x14ac:dyDescent="0.3">
      <c r="I153" s="57" t="s">
        <v>75</v>
      </c>
      <c r="P153" s="78" t="str">
        <f t="shared" si="4"/>
        <v/>
      </c>
      <c r="Q153" s="62" t="str">
        <f t="shared" si="5"/>
        <v/>
      </c>
    </row>
    <row r="154" spans="9:17" x14ac:dyDescent="0.3">
      <c r="I154" s="57" t="s">
        <v>75</v>
      </c>
      <c r="P154" s="78" t="str">
        <f t="shared" si="4"/>
        <v/>
      </c>
      <c r="Q154" s="62" t="str">
        <f t="shared" si="5"/>
        <v/>
      </c>
    </row>
    <row r="155" spans="9:17" x14ac:dyDescent="0.3">
      <c r="I155" s="57" t="s">
        <v>75</v>
      </c>
      <c r="P155" s="78" t="str">
        <f t="shared" si="4"/>
        <v/>
      </c>
      <c r="Q155" s="62" t="str">
        <f t="shared" si="5"/>
        <v/>
      </c>
    </row>
    <row r="156" spans="9:17" x14ac:dyDescent="0.3">
      <c r="I156" s="57" t="s">
        <v>75</v>
      </c>
      <c r="P156" s="78" t="str">
        <f t="shared" si="4"/>
        <v/>
      </c>
      <c r="Q156" s="62" t="str">
        <f t="shared" si="5"/>
        <v/>
      </c>
    </row>
    <row r="157" spans="9:17" x14ac:dyDescent="0.3">
      <c r="I157" s="57" t="s">
        <v>75</v>
      </c>
      <c r="P157" s="78" t="str">
        <f t="shared" si="4"/>
        <v/>
      </c>
      <c r="Q157" s="62" t="str">
        <f t="shared" si="5"/>
        <v/>
      </c>
    </row>
    <row r="158" spans="9:17" x14ac:dyDescent="0.3">
      <c r="I158" s="57" t="s">
        <v>75</v>
      </c>
      <c r="P158" s="78" t="str">
        <f t="shared" si="4"/>
        <v/>
      </c>
      <c r="Q158" s="62" t="str">
        <f t="shared" si="5"/>
        <v/>
      </c>
    </row>
    <row r="159" spans="9:17" x14ac:dyDescent="0.3">
      <c r="I159" s="57" t="s">
        <v>75</v>
      </c>
      <c r="P159" s="78" t="str">
        <f t="shared" si="4"/>
        <v/>
      </c>
      <c r="Q159" s="62" t="str">
        <f t="shared" si="5"/>
        <v/>
      </c>
    </row>
    <row r="160" spans="9:17" x14ac:dyDescent="0.3">
      <c r="I160" s="57" t="s">
        <v>75</v>
      </c>
      <c r="P160" s="78" t="str">
        <f t="shared" si="4"/>
        <v/>
      </c>
      <c r="Q160" s="62" t="str">
        <f t="shared" si="5"/>
        <v/>
      </c>
    </row>
    <row r="161" spans="9:17" x14ac:dyDescent="0.3">
      <c r="I161" s="57" t="s">
        <v>75</v>
      </c>
      <c r="P161" s="78" t="str">
        <f t="shared" si="4"/>
        <v/>
      </c>
      <c r="Q161" s="62" t="str">
        <f t="shared" si="5"/>
        <v/>
      </c>
    </row>
    <row r="162" spans="9:17" x14ac:dyDescent="0.3">
      <c r="I162" s="57" t="s">
        <v>75</v>
      </c>
      <c r="P162" s="78" t="str">
        <f t="shared" si="4"/>
        <v/>
      </c>
      <c r="Q162" s="62" t="str">
        <f t="shared" si="5"/>
        <v/>
      </c>
    </row>
    <row r="163" spans="9:17" x14ac:dyDescent="0.3">
      <c r="I163" s="57" t="s">
        <v>75</v>
      </c>
      <c r="P163" s="78" t="str">
        <f t="shared" si="4"/>
        <v/>
      </c>
      <c r="Q163" s="62" t="str">
        <f t="shared" si="5"/>
        <v/>
      </c>
    </row>
    <row r="164" spans="9:17" x14ac:dyDescent="0.3">
      <c r="I164" s="57" t="s">
        <v>75</v>
      </c>
      <c r="P164" s="78" t="str">
        <f t="shared" si="4"/>
        <v/>
      </c>
      <c r="Q164" s="62" t="str">
        <f t="shared" si="5"/>
        <v/>
      </c>
    </row>
    <row r="165" spans="9:17" x14ac:dyDescent="0.3">
      <c r="I165" s="57" t="s">
        <v>75</v>
      </c>
      <c r="P165" s="78" t="str">
        <f t="shared" si="4"/>
        <v/>
      </c>
      <c r="Q165" s="62" t="str">
        <f t="shared" si="5"/>
        <v/>
      </c>
    </row>
    <row r="166" spans="9:17" x14ac:dyDescent="0.3">
      <c r="I166" s="57" t="s">
        <v>75</v>
      </c>
      <c r="P166" s="78" t="str">
        <f t="shared" si="4"/>
        <v/>
      </c>
      <c r="Q166" s="62" t="str">
        <f t="shared" si="5"/>
        <v/>
      </c>
    </row>
    <row r="167" spans="9:17" x14ac:dyDescent="0.3">
      <c r="I167" s="57" t="s">
        <v>75</v>
      </c>
      <c r="P167" s="78" t="str">
        <f t="shared" si="4"/>
        <v/>
      </c>
      <c r="Q167" s="62" t="str">
        <f t="shared" si="5"/>
        <v/>
      </c>
    </row>
    <row r="168" spans="9:17" x14ac:dyDescent="0.3">
      <c r="I168" s="57" t="s">
        <v>75</v>
      </c>
      <c r="P168" s="78" t="str">
        <f t="shared" si="4"/>
        <v/>
      </c>
      <c r="Q168" s="62" t="str">
        <f t="shared" si="5"/>
        <v/>
      </c>
    </row>
    <row r="169" spans="9:17" x14ac:dyDescent="0.3">
      <c r="I169" s="57" t="s">
        <v>75</v>
      </c>
      <c r="P169" s="78" t="str">
        <f t="shared" si="4"/>
        <v/>
      </c>
      <c r="Q169" s="62" t="str">
        <f t="shared" si="5"/>
        <v/>
      </c>
    </row>
    <row r="170" spans="9:17" x14ac:dyDescent="0.3">
      <c r="I170" s="57" t="s">
        <v>75</v>
      </c>
      <c r="P170" s="78" t="str">
        <f t="shared" si="4"/>
        <v/>
      </c>
      <c r="Q170" s="62" t="str">
        <f t="shared" si="5"/>
        <v/>
      </c>
    </row>
    <row r="171" spans="9:17" x14ac:dyDescent="0.3">
      <c r="I171" s="57" t="s">
        <v>75</v>
      </c>
      <c r="P171" s="78" t="str">
        <f t="shared" si="4"/>
        <v/>
      </c>
      <c r="Q171" s="62" t="str">
        <f t="shared" si="5"/>
        <v/>
      </c>
    </row>
    <row r="172" spans="9:17" x14ac:dyDescent="0.3">
      <c r="I172" s="57" t="s">
        <v>75</v>
      </c>
      <c r="P172" s="78" t="str">
        <f t="shared" si="4"/>
        <v/>
      </c>
      <c r="Q172" s="62" t="str">
        <f t="shared" si="5"/>
        <v/>
      </c>
    </row>
    <row r="173" spans="9:17" x14ac:dyDescent="0.3">
      <c r="I173" s="57" t="s">
        <v>75</v>
      </c>
      <c r="P173" s="78" t="str">
        <f t="shared" si="4"/>
        <v/>
      </c>
      <c r="Q173" s="62" t="str">
        <f t="shared" si="5"/>
        <v/>
      </c>
    </row>
    <row r="174" spans="9:17" x14ac:dyDescent="0.3">
      <c r="I174" s="57" t="s">
        <v>75</v>
      </c>
      <c r="P174" s="78" t="str">
        <f t="shared" si="4"/>
        <v/>
      </c>
      <c r="Q174" s="62" t="str">
        <f t="shared" si="5"/>
        <v/>
      </c>
    </row>
    <row r="175" spans="9:17" x14ac:dyDescent="0.3">
      <c r="I175" s="57" t="s">
        <v>75</v>
      </c>
      <c r="P175" s="78" t="str">
        <f t="shared" si="4"/>
        <v/>
      </c>
      <c r="Q175" s="62" t="str">
        <f t="shared" si="5"/>
        <v/>
      </c>
    </row>
    <row r="176" spans="9:17" x14ac:dyDescent="0.3">
      <c r="I176" s="57" t="s">
        <v>75</v>
      </c>
      <c r="P176" s="78" t="str">
        <f t="shared" si="4"/>
        <v/>
      </c>
      <c r="Q176" s="62" t="str">
        <f t="shared" si="5"/>
        <v/>
      </c>
    </row>
    <row r="177" spans="9:17" x14ac:dyDescent="0.3">
      <c r="I177" s="57" t="s">
        <v>75</v>
      </c>
      <c r="P177" s="78" t="str">
        <f t="shared" si="4"/>
        <v/>
      </c>
      <c r="Q177" s="62" t="str">
        <f t="shared" si="5"/>
        <v/>
      </c>
    </row>
    <row r="178" spans="9:17" x14ac:dyDescent="0.3">
      <c r="I178" s="57" t="s">
        <v>75</v>
      </c>
      <c r="P178" s="78" t="str">
        <f t="shared" si="4"/>
        <v/>
      </c>
      <c r="Q178" s="62" t="str">
        <f t="shared" si="5"/>
        <v/>
      </c>
    </row>
    <row r="179" spans="9:17" x14ac:dyDescent="0.3">
      <c r="I179" s="57" t="s">
        <v>75</v>
      </c>
      <c r="P179" s="78" t="str">
        <f t="shared" si="4"/>
        <v/>
      </c>
      <c r="Q179" s="62" t="str">
        <f t="shared" si="5"/>
        <v/>
      </c>
    </row>
    <row r="180" spans="9:17" x14ac:dyDescent="0.3">
      <c r="I180" s="57" t="s">
        <v>75</v>
      </c>
      <c r="P180" s="78" t="str">
        <f t="shared" si="4"/>
        <v/>
      </c>
      <c r="Q180" s="62" t="str">
        <f t="shared" si="5"/>
        <v/>
      </c>
    </row>
    <row r="181" spans="9:17" x14ac:dyDescent="0.3">
      <c r="I181" s="57" t="s">
        <v>75</v>
      </c>
      <c r="P181" s="78" t="str">
        <f t="shared" si="4"/>
        <v/>
      </c>
      <c r="Q181" s="62" t="str">
        <f t="shared" si="5"/>
        <v/>
      </c>
    </row>
    <row r="182" spans="9:17" x14ac:dyDescent="0.3">
      <c r="I182" s="57" t="s">
        <v>75</v>
      </c>
      <c r="P182" s="78" t="str">
        <f t="shared" si="4"/>
        <v/>
      </c>
      <c r="Q182" s="62" t="str">
        <f t="shared" si="5"/>
        <v/>
      </c>
    </row>
    <row r="183" spans="9:17" x14ac:dyDescent="0.3">
      <c r="I183" s="57" t="s">
        <v>75</v>
      </c>
      <c r="P183" s="78" t="str">
        <f t="shared" si="4"/>
        <v/>
      </c>
      <c r="Q183" s="62" t="str">
        <f t="shared" si="5"/>
        <v/>
      </c>
    </row>
    <row r="184" spans="9:17" x14ac:dyDescent="0.3">
      <c r="I184" s="57" t="s">
        <v>75</v>
      </c>
      <c r="P184" s="78" t="str">
        <f t="shared" si="4"/>
        <v/>
      </c>
      <c r="Q184" s="62" t="str">
        <f t="shared" si="5"/>
        <v/>
      </c>
    </row>
    <row r="185" spans="9:17" x14ac:dyDescent="0.3">
      <c r="I185" s="57" t="s">
        <v>75</v>
      </c>
      <c r="P185" s="78" t="str">
        <f t="shared" si="4"/>
        <v/>
      </c>
      <c r="Q185" s="62" t="str">
        <f t="shared" si="5"/>
        <v/>
      </c>
    </row>
    <row r="186" spans="9:17" x14ac:dyDescent="0.3">
      <c r="I186" s="57" t="s">
        <v>75</v>
      </c>
      <c r="P186" s="78" t="str">
        <f t="shared" si="4"/>
        <v/>
      </c>
      <c r="Q186" s="62" t="str">
        <f t="shared" si="5"/>
        <v/>
      </c>
    </row>
    <row r="187" spans="9:17" x14ac:dyDescent="0.3">
      <c r="I187" s="57" t="s">
        <v>75</v>
      </c>
      <c r="P187" s="78" t="str">
        <f t="shared" si="4"/>
        <v/>
      </c>
      <c r="Q187" s="62" t="str">
        <f t="shared" si="5"/>
        <v/>
      </c>
    </row>
    <row r="188" spans="9:17" x14ac:dyDescent="0.3">
      <c r="I188" s="57" t="s">
        <v>75</v>
      </c>
      <c r="P188" s="78" t="str">
        <f t="shared" si="4"/>
        <v/>
      </c>
      <c r="Q188" s="62" t="str">
        <f t="shared" si="5"/>
        <v/>
      </c>
    </row>
    <row r="189" spans="9:17" x14ac:dyDescent="0.3">
      <c r="I189" s="57" t="s">
        <v>75</v>
      </c>
      <c r="P189" s="78" t="str">
        <f t="shared" si="4"/>
        <v/>
      </c>
      <c r="Q189" s="62" t="str">
        <f t="shared" si="5"/>
        <v/>
      </c>
    </row>
    <row r="190" spans="9:17" x14ac:dyDescent="0.3">
      <c r="I190" s="57" t="s">
        <v>75</v>
      </c>
      <c r="P190" s="78" t="str">
        <f t="shared" si="4"/>
        <v/>
      </c>
      <c r="Q190" s="62" t="str">
        <f t="shared" si="5"/>
        <v/>
      </c>
    </row>
  </sheetData>
  <mergeCells count="1">
    <mergeCell ref="S8:S9"/>
  </mergeCells>
  <dataValidations count="3">
    <dataValidation type="list" allowBlank="1" showInputMessage="1" showErrorMessage="1" sqref="H3" xr:uid="{A3768CC2-F295-4756-B8E1-03580572E942}">
      <formula1>"Issue, Modification, Information, Change Request, Quotation"</formula1>
    </dataValidation>
    <dataValidation type="list" allowBlank="1" showInputMessage="1" showErrorMessage="1" sqref="M3:M95" xr:uid="{DF854079-4192-47E1-9987-1973A69995F3}">
      <formula1>"Pending, InProgress, Completed, Closed"</formula1>
    </dataValidation>
    <dataValidation type="list" allowBlank="1" showInputMessage="1" showErrorMessage="1" sqref="I3:I190" xr:uid="{559CC802-9BD4-482A-92D3-AA4C97156F65}">
      <formula1>"High, Medium, Low"</formula1>
    </dataValidation>
  </dataValidations>
  <hyperlinks>
    <hyperlink ref="A1" location="'All clients'!A1" display="&lt;---" xr:uid="{A12A65D6-9079-4797-B05B-E73E89CD817B}"/>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86BF4-06EC-4546-9D90-2A78AE0EF423}">
  <dimension ref="A1:V190"/>
  <sheetViews>
    <sheetView topLeftCell="A22" workbookViewId="0">
      <selection activeCell="O3" sqref="O3:O95"/>
    </sheetView>
  </sheetViews>
  <sheetFormatPr defaultRowHeight="15.6" x14ac:dyDescent="0.3"/>
  <cols>
    <col min="2" max="2" width="12" customWidth="1"/>
    <col min="3" max="3" width="9.8984375" customWidth="1"/>
    <col min="4" max="4" width="16.19921875" customWidth="1"/>
    <col min="6" max="6" width="24" customWidth="1"/>
    <col min="7" max="7" width="39.8984375" customWidth="1"/>
    <col min="10" max="10" width="15.3984375" customWidth="1"/>
    <col min="11" max="11" width="15.09765625" customWidth="1"/>
    <col min="12" max="12" width="15" customWidth="1"/>
    <col min="13" max="13" width="11.19921875" customWidth="1"/>
    <col min="14" max="14" width="11.296875" customWidth="1"/>
    <col min="15" max="15" width="13" customWidth="1"/>
    <col min="16" max="16" width="11.296875" style="62" customWidth="1"/>
    <col min="17" max="17" width="9.3984375" style="62" customWidth="1"/>
  </cols>
  <sheetData>
    <row r="1" spans="1:22" x14ac:dyDescent="0.3">
      <c r="A1" s="45" t="s">
        <v>48</v>
      </c>
      <c r="B1" s="46" t="s">
        <v>49</v>
      </c>
      <c r="C1" s="46">
        <f>T7</f>
        <v>32</v>
      </c>
      <c r="D1" s="47" t="s">
        <v>50</v>
      </c>
      <c r="E1" s="48">
        <f>SUM(T3:T4)</f>
        <v>23</v>
      </c>
      <c r="F1" s="49" t="s">
        <v>51</v>
      </c>
      <c r="G1" s="50">
        <f>SUM(T5:T6)</f>
        <v>9</v>
      </c>
      <c r="H1" s="51"/>
      <c r="I1" s="51"/>
      <c r="J1" s="51"/>
      <c r="K1" s="51"/>
      <c r="L1" s="51"/>
      <c r="M1" s="51"/>
      <c r="N1" s="51"/>
      <c r="O1" s="51"/>
    </row>
    <row r="2" spans="1:22" ht="27.6" x14ac:dyDescent="0.3">
      <c r="A2" s="54" t="s">
        <v>52</v>
      </c>
      <c r="B2" s="54" t="s">
        <v>53</v>
      </c>
      <c r="C2" s="54" t="s">
        <v>54</v>
      </c>
      <c r="D2" s="54" t="s">
        <v>55</v>
      </c>
      <c r="E2" s="54" t="s">
        <v>56</v>
      </c>
      <c r="F2" s="54" t="s">
        <v>57</v>
      </c>
      <c r="G2" s="54" t="s">
        <v>58</v>
      </c>
      <c r="H2" s="54" t="s">
        <v>59</v>
      </c>
      <c r="I2" s="54" t="s">
        <v>60</v>
      </c>
      <c r="J2" s="54" t="s">
        <v>61</v>
      </c>
      <c r="K2" s="54" t="s">
        <v>62</v>
      </c>
      <c r="L2" s="54" t="s">
        <v>63</v>
      </c>
      <c r="M2" s="54" t="s">
        <v>64</v>
      </c>
      <c r="N2" s="54" t="s">
        <v>65</v>
      </c>
      <c r="O2" s="54" t="s">
        <v>66</v>
      </c>
      <c r="P2" s="54" t="s">
        <v>67</v>
      </c>
      <c r="Q2" s="54" t="s">
        <v>68</v>
      </c>
    </row>
    <row r="3" spans="1:22" ht="41.4" x14ac:dyDescent="0.3">
      <c r="A3" s="92">
        <v>1</v>
      </c>
      <c r="B3" s="93" t="s">
        <v>1255</v>
      </c>
      <c r="C3" s="93" t="s">
        <v>70</v>
      </c>
      <c r="D3" s="93" t="s">
        <v>87</v>
      </c>
      <c r="E3" s="93" t="s">
        <v>1075</v>
      </c>
      <c r="F3" s="93" t="s">
        <v>1256</v>
      </c>
      <c r="G3" s="93" t="s">
        <v>1257</v>
      </c>
      <c r="H3" s="93" t="s">
        <v>74</v>
      </c>
      <c r="I3" s="57" t="s">
        <v>75</v>
      </c>
      <c r="J3" s="94">
        <v>46181.512499999997</v>
      </c>
      <c r="K3" s="94">
        <v>46211.473611111112</v>
      </c>
      <c r="L3" s="94">
        <v>46211.473611111112</v>
      </c>
      <c r="M3" s="93" t="s">
        <v>76</v>
      </c>
      <c r="N3" s="59" t="str">
        <f>IF(ISBLANK(J3),"",IF(OR(M3="Completed",M3="Closed"),"",IF(H3="Issue",IF(I3="High",WORKDAY(J3,2,DATA!A2:A30),IF(I3="Medium",WORKDAY(J3,14,DATA!A2:A30),IF(OR(I3="Low"),WORKDAY(J3,30,DATA!A2:A30),""))),
"")
))</f>
        <v/>
      </c>
      <c r="O3" s="60" t="str">
        <f ca="1">IF(OR(ISBLANK(#REF!), M3="Completed", M3="Closed", H3&lt;&gt;"Issue"), "",
   (NETWORKDAYS.INTL(TODAY(), N3, 1, DATA!A2:A30) - 1))</f>
        <v/>
      </c>
      <c r="P3" s="78" t="str">
        <f ca="1">IF(O3="","",LEFT(O3,10)*(-1))</f>
        <v/>
      </c>
      <c r="Q3" s="62" t="str">
        <f t="shared" ref="Q3:Q12" ca="1" si="0">IF(P3="","",
IF(P3&lt;=0,"Not Due",
IF(P3&lt;=30,"1-30 Days",
IF(P3&lt;=60,"31-60 Days",
"&gt;60 Days"))))</f>
        <v/>
      </c>
      <c r="S3" s="63" t="s">
        <v>77</v>
      </c>
      <c r="T3" s="64">
        <f>COUNTIF(M3:M299, "Pending")</f>
        <v>23</v>
      </c>
    </row>
    <row r="4" spans="1:22" ht="55.2" x14ac:dyDescent="0.3">
      <c r="A4" s="92">
        <v>2</v>
      </c>
      <c r="B4" s="93" t="s">
        <v>1258</v>
      </c>
      <c r="C4" s="93" t="s">
        <v>70</v>
      </c>
      <c r="D4" s="93" t="s">
        <v>87</v>
      </c>
      <c r="E4" s="93" t="s">
        <v>1075</v>
      </c>
      <c r="F4" s="93" t="s">
        <v>1256</v>
      </c>
      <c r="G4" s="93" t="s">
        <v>1259</v>
      </c>
      <c r="H4" s="93" t="s">
        <v>74</v>
      </c>
      <c r="I4" s="57" t="s">
        <v>75</v>
      </c>
      <c r="J4" s="94">
        <v>46181.513194444444</v>
      </c>
      <c r="K4" s="94">
        <v>46181.576388888891</v>
      </c>
      <c r="L4" s="94">
        <v>46181.57708333333</v>
      </c>
      <c r="M4" s="93" t="s">
        <v>76</v>
      </c>
      <c r="N4" s="59" t="str">
        <f>IF(ISBLANK(J4),"",IF(OR(M4="Completed",M4="Closed"),"",IF(H4="Issue",IF(I4="High",WORKDAY(J4,2,DATA!A3:A31),IF(I4="Medium",WORKDAY(J4,14,DATA!A3:A31),IF(OR(I4="Low"),WORKDAY(J4,30,DATA!A3:A31),""))),
"")
))</f>
        <v/>
      </c>
      <c r="O4" s="60" t="str">
        <f ca="1">IF(OR(ISBLANK(#REF!), M4="Completed", M4="Closed", H4&lt;&gt;"Issue"), "",
   (NETWORKDAYS.INTL(TODAY(), N4, 1, DATA!A3:A31) - 1))</f>
        <v/>
      </c>
      <c r="P4" s="78" t="str">
        <f t="shared" ref="P4:P67" ca="1" si="1">IF(O4="","",LEFT(O4,10)*(-1))</f>
        <v/>
      </c>
      <c r="Q4" s="62" t="str">
        <f t="shared" ca="1" si="0"/>
        <v/>
      </c>
      <c r="S4" s="63" t="s">
        <v>80</v>
      </c>
      <c r="T4" s="64">
        <f>COUNTIF(M3:M299, "InProgress")</f>
        <v>0</v>
      </c>
    </row>
    <row r="5" spans="1:22" ht="27.6" x14ac:dyDescent="0.3">
      <c r="A5" s="92">
        <v>3</v>
      </c>
      <c r="B5" s="93" t="s">
        <v>1260</v>
      </c>
      <c r="C5" s="93" t="s">
        <v>70</v>
      </c>
      <c r="D5" s="93" t="s">
        <v>87</v>
      </c>
      <c r="E5" s="93" t="s">
        <v>1075</v>
      </c>
      <c r="F5" s="93" t="s">
        <v>973</v>
      </c>
      <c r="G5" s="93" t="s">
        <v>1261</v>
      </c>
      <c r="H5" s="93" t="s">
        <v>74</v>
      </c>
      <c r="I5" s="57" t="s">
        <v>75</v>
      </c>
      <c r="J5" s="94">
        <v>46181.513888888891</v>
      </c>
      <c r="K5" s="94">
        <v>46211.475694444445</v>
      </c>
      <c r="L5" s="94">
        <v>46211.475694444445</v>
      </c>
      <c r="M5" s="93" t="s">
        <v>76</v>
      </c>
      <c r="N5" s="59" t="str">
        <f>IF(ISBLANK(J5),"",IF(OR(M5="Completed",M5="Closed"),"",IF(H5="Issue",IF(I5="High",WORKDAY(J5,2,DATA!A4:A32),IF(I5="Medium",WORKDAY(J5,14,DATA!A4:A32),IF(OR(I5="Low"),WORKDAY(J5,30,DATA!A4:A32),""))),
"")
))</f>
        <v/>
      </c>
      <c r="O5" s="60" t="str">
        <f ca="1">IF(OR(ISBLANK(#REF!), M5="Completed", M5="Closed", H5&lt;&gt;"Issue"), "",
   (NETWORKDAYS.INTL(TODAY(), N5, 1, DATA!A4:A32) - 1))</f>
        <v/>
      </c>
      <c r="P5" s="78" t="str">
        <f t="shared" ca="1" si="1"/>
        <v/>
      </c>
      <c r="Q5" s="62" t="str">
        <f t="shared" ca="1" si="0"/>
        <v/>
      </c>
      <c r="S5" s="65" t="s">
        <v>85</v>
      </c>
      <c r="T5" s="64">
        <f>COUNTIF(M3:M299, "Completed")</f>
        <v>0</v>
      </c>
    </row>
    <row r="6" spans="1:22" ht="41.4" x14ac:dyDescent="0.3">
      <c r="A6" s="92">
        <v>4</v>
      </c>
      <c r="B6" s="93" t="s">
        <v>1262</v>
      </c>
      <c r="C6" s="93" t="s">
        <v>70</v>
      </c>
      <c r="D6" s="93" t="s">
        <v>379</v>
      </c>
      <c r="E6" s="93" t="s">
        <v>1075</v>
      </c>
      <c r="F6" s="93" t="s">
        <v>1263</v>
      </c>
      <c r="G6" s="93" t="s">
        <v>1264</v>
      </c>
      <c r="H6" s="93" t="s">
        <v>74</v>
      </c>
      <c r="I6" s="57" t="s">
        <v>75</v>
      </c>
      <c r="J6" s="94">
        <v>46181.51458333333</v>
      </c>
      <c r="K6" s="94">
        <v>46181.574999999997</v>
      </c>
      <c r="L6" s="94">
        <v>46181.575694444444</v>
      </c>
      <c r="M6" s="93" t="s">
        <v>76</v>
      </c>
      <c r="N6" s="59" t="str">
        <f>IF(ISBLANK(J6),"",IF(OR(M6="Completed",M6="Closed"),"",IF(H6="Issue",IF(I6="High",WORKDAY(J6,2,DATA!A5:A33),IF(I6="Medium",WORKDAY(J6,14,DATA!A5:A33),IF(OR(I6="Low"),WORKDAY(J6,30,DATA!A5:A33),""))),
"")
))</f>
        <v/>
      </c>
      <c r="O6" s="60" t="str">
        <f ca="1">IF(OR(ISBLANK(#REF!), M6="Completed", M6="Closed", H6&lt;&gt;"Issue"), "",
   (NETWORKDAYS.INTL(TODAY(), N6, 1, DATA!A5:A33) - 1))</f>
        <v/>
      </c>
      <c r="P6" s="78" t="str">
        <f t="shared" ca="1" si="1"/>
        <v/>
      </c>
      <c r="Q6" s="62" t="str">
        <f t="shared" ca="1" si="0"/>
        <v/>
      </c>
      <c r="S6" s="65" t="s">
        <v>76</v>
      </c>
      <c r="T6" s="64">
        <f>COUNTIF(M3:M299, "Closed")</f>
        <v>9</v>
      </c>
    </row>
    <row r="7" spans="1:22" ht="41.4" x14ac:dyDescent="0.3">
      <c r="A7" s="92">
        <v>5</v>
      </c>
      <c r="B7" s="93" t="s">
        <v>1265</v>
      </c>
      <c r="C7" s="93" t="s">
        <v>70</v>
      </c>
      <c r="D7" s="93" t="s">
        <v>379</v>
      </c>
      <c r="E7" s="93" t="s">
        <v>1075</v>
      </c>
      <c r="F7" s="93" t="s">
        <v>1266</v>
      </c>
      <c r="G7" s="93" t="s">
        <v>1267</v>
      </c>
      <c r="H7" s="93" t="s">
        <v>74</v>
      </c>
      <c r="I7" s="57" t="s">
        <v>75</v>
      </c>
      <c r="J7" s="94">
        <v>46181.515277777777</v>
      </c>
      <c r="K7" s="94">
        <v>46181.574305555558</v>
      </c>
      <c r="L7" s="94">
        <v>46181.574999999997</v>
      </c>
      <c r="M7" s="93" t="s">
        <v>76</v>
      </c>
      <c r="N7" s="59" t="str">
        <f>IF(ISBLANK(J7),"",IF(OR(M7="Completed",M7="Closed"),"",IF(H7="Issue",IF(I7="High",WORKDAY(J7,2,DATA!A6:A34),IF(I7="Medium",WORKDAY(J7,14,DATA!A6:A34),IF(OR(I7="Low"),WORKDAY(J7,30,DATA!A6:A34),""))),
"")
))</f>
        <v/>
      </c>
      <c r="O7" s="60" t="str">
        <f ca="1">IF(OR(ISBLANK(#REF!), M7="Completed", M7="Closed", H7&lt;&gt;"Issue"), "",
   (NETWORKDAYS.INTL(TODAY(), N7, 1, DATA!A6:A34) - 1))</f>
        <v/>
      </c>
      <c r="P7" s="78" t="str">
        <f t="shared" ca="1" si="1"/>
        <v/>
      </c>
      <c r="Q7" s="62" t="str">
        <f t="shared" ca="1" si="0"/>
        <v/>
      </c>
      <c r="S7" s="76" t="s">
        <v>49</v>
      </c>
      <c r="T7" s="64">
        <f>SUM(T3:T6)</f>
        <v>32</v>
      </c>
    </row>
    <row r="8" spans="1:22" ht="27.6" x14ac:dyDescent="0.3">
      <c r="A8" s="92">
        <v>6</v>
      </c>
      <c r="B8" s="93" t="s">
        <v>1268</v>
      </c>
      <c r="C8" s="79"/>
      <c r="D8" s="93" t="s">
        <v>238</v>
      </c>
      <c r="E8" s="93" t="s">
        <v>1075</v>
      </c>
      <c r="F8" s="93" t="s">
        <v>1269</v>
      </c>
      <c r="G8" s="93" t="s">
        <v>1270</v>
      </c>
      <c r="H8" s="93" t="s">
        <v>74</v>
      </c>
      <c r="I8" s="57" t="s">
        <v>75</v>
      </c>
      <c r="J8" s="94">
        <v>46181.515972222223</v>
      </c>
      <c r="K8" s="79"/>
      <c r="L8" s="79"/>
      <c r="M8" s="93" t="s">
        <v>77</v>
      </c>
      <c r="N8" s="59">
        <f>IF(ISBLANK(J8),"",IF(OR(M8="Completed",M8="Closed"),"",IF(H8="Issue",IF(I8="High",WORKDAY(J8,2,DATA!A7:A35),IF(I8="Medium",WORKDAY(J8,14,DATA!A7:A35),IF(OR(I8="Low"),WORKDAY(J8,30,DATA!A7:A35),""))),
"")
))</f>
        <v>46199</v>
      </c>
      <c r="O8" s="60">
        <f ca="1">IF(OR(ISBLANK(#REF!), M8="Completed", M8="Closed", H8&lt;&gt;"Issue"), "",
   (NETWORKDAYS.INTL(TODAY(), N8, 1, DATA!A7:A35) - 1))</f>
        <v>-20</v>
      </c>
      <c r="P8" s="78">
        <f t="shared" ca="1" si="1"/>
        <v>20</v>
      </c>
      <c r="Q8" s="62" t="str">
        <f t="shared" ca="1" si="0"/>
        <v>1-30 Days</v>
      </c>
      <c r="S8" s="139" t="s">
        <v>66</v>
      </c>
      <c r="T8" s="90" t="s">
        <v>94</v>
      </c>
      <c r="U8" s="90" t="s">
        <v>95</v>
      </c>
      <c r="V8" s="90" t="s">
        <v>96</v>
      </c>
    </row>
    <row r="9" spans="1:22" ht="27.6" x14ac:dyDescent="0.3">
      <c r="A9" s="92">
        <v>7</v>
      </c>
      <c r="B9" s="93" t="s">
        <v>1271</v>
      </c>
      <c r="C9" s="79"/>
      <c r="D9" s="93" t="s">
        <v>238</v>
      </c>
      <c r="E9" s="93" t="s">
        <v>1075</v>
      </c>
      <c r="F9" s="93" t="s">
        <v>1269</v>
      </c>
      <c r="G9" s="93" t="s">
        <v>1272</v>
      </c>
      <c r="H9" s="93" t="s">
        <v>74</v>
      </c>
      <c r="I9" s="57" t="s">
        <v>75</v>
      </c>
      <c r="J9" s="94">
        <v>46181.519444444442</v>
      </c>
      <c r="K9" s="79"/>
      <c r="L9" s="79"/>
      <c r="M9" s="93" t="s">
        <v>77</v>
      </c>
      <c r="N9" s="59">
        <f>IF(ISBLANK(J9),"",IF(OR(M9="Completed",M9="Closed"),"",IF(H9="Issue",IF(I9="High",WORKDAY(J9,2,DATA!A8:A36),IF(I9="Medium",WORKDAY(J9,14,DATA!A8:A36),IF(OR(I9="Low"),WORKDAY(J9,30,DATA!A8:A36),""))),
"")
))</f>
        <v>46199</v>
      </c>
      <c r="O9" s="60">
        <f ca="1">IF(OR(ISBLANK(#REF!), M9="Completed", M9="Closed", H9&lt;&gt;"Issue"), "",
   (NETWORKDAYS.INTL(TODAY(), N9, 1, DATA!A8:A36) - 1))</f>
        <v>-20</v>
      </c>
      <c r="P9" s="78">
        <f t="shared" ca="1" si="1"/>
        <v>20</v>
      </c>
      <c r="Q9" s="62" t="str">
        <f t="shared" ca="1" si="0"/>
        <v>1-30 Days</v>
      </c>
      <c r="S9" s="139"/>
      <c r="T9" s="70">
        <f ca="1">COUNTIFS(P3:P277,"&gt;=1",P3:P277,"&lt;=30")</f>
        <v>23</v>
      </c>
      <c r="U9" s="70">
        <f ca="1">COUNTIFS(P3:P277,"&gt;=31",P3:P277,"&lt;=60")</f>
        <v>0</v>
      </c>
      <c r="V9" s="70">
        <f ca="1">COUNTIFS(P3:P277,"&gt;60")</f>
        <v>0</v>
      </c>
    </row>
    <row r="10" spans="1:22" ht="27.6" x14ac:dyDescent="0.3">
      <c r="A10" s="92">
        <v>8</v>
      </c>
      <c r="B10" s="93" t="s">
        <v>1273</v>
      </c>
      <c r="C10" s="93" t="s">
        <v>70</v>
      </c>
      <c r="D10" s="93" t="s">
        <v>199</v>
      </c>
      <c r="E10" s="93" t="s">
        <v>1075</v>
      </c>
      <c r="F10" s="93" t="s">
        <v>1274</v>
      </c>
      <c r="G10" s="93" t="s">
        <v>1275</v>
      </c>
      <c r="H10" s="93" t="s">
        <v>74</v>
      </c>
      <c r="I10" s="57" t="s">
        <v>75</v>
      </c>
      <c r="J10" s="94">
        <v>46181.525694444441</v>
      </c>
      <c r="K10" s="94">
        <v>46181.571527777778</v>
      </c>
      <c r="L10" s="94">
        <v>46181.571527777778</v>
      </c>
      <c r="M10" s="93" t="s">
        <v>76</v>
      </c>
      <c r="N10" s="59" t="str">
        <f>IF(ISBLANK(J10),"",IF(OR(M10="Completed",M10="Closed"),"",IF(H10="Issue",IF(I10="High",WORKDAY(J10,2,DATA!A9:A37),IF(I10="Medium",WORKDAY(J10,14,DATA!A9:A37),IF(OR(I10="Low"),WORKDAY(J10,30,DATA!A9:A37),""))),
"")
))</f>
        <v/>
      </c>
      <c r="O10" s="60" t="str">
        <f ca="1">IF(OR(ISBLANK(#REF!), M10="Completed", M10="Closed", H10&lt;&gt;"Issue"), "",
   (NETWORKDAYS.INTL(TODAY(), N10, 1, DATA!A9:A37) - 1))</f>
        <v/>
      </c>
      <c r="P10" s="78" t="str">
        <f t="shared" ca="1" si="1"/>
        <v/>
      </c>
      <c r="Q10" s="62" t="str">
        <f t="shared" ca="1" si="0"/>
        <v/>
      </c>
    </row>
    <row r="11" spans="1:22" ht="27.6" x14ac:dyDescent="0.3">
      <c r="A11" s="92">
        <v>9</v>
      </c>
      <c r="B11" s="93" t="s">
        <v>1276</v>
      </c>
      <c r="C11" s="79"/>
      <c r="D11" s="93" t="s">
        <v>199</v>
      </c>
      <c r="E11" s="93" t="s">
        <v>1075</v>
      </c>
      <c r="F11" s="93" t="s">
        <v>1277</v>
      </c>
      <c r="G11" s="93" t="s">
        <v>1278</v>
      </c>
      <c r="H11" s="93" t="s">
        <v>74</v>
      </c>
      <c r="I11" s="57" t="s">
        <v>75</v>
      </c>
      <c r="J11" s="94">
        <v>46181.527083333334</v>
      </c>
      <c r="K11" s="79"/>
      <c r="L11" s="79"/>
      <c r="M11" s="93" t="s">
        <v>77</v>
      </c>
      <c r="N11" s="59">
        <f>IF(ISBLANK(J11),"",IF(OR(M11="Completed",M11="Closed"),"",IF(H11="Issue",IF(I11="High",WORKDAY(J11,2,DATA!A10:A38),IF(I11="Medium",WORKDAY(J11,14,DATA!A10:A38),IF(OR(I11="Low"),WORKDAY(J11,30,DATA!A10:A38),""))),
"")
))</f>
        <v>46199</v>
      </c>
      <c r="O11" s="60">
        <f ca="1">IF(OR(ISBLANK(#REF!), M11="Completed", M11="Closed", H11&lt;&gt;"Issue"), "",
   (NETWORKDAYS.INTL(TODAY(), N11, 1, DATA!A10:A38) - 1))</f>
        <v>-20</v>
      </c>
      <c r="P11" s="78">
        <f t="shared" ca="1" si="1"/>
        <v>20</v>
      </c>
      <c r="Q11" s="62" t="str">
        <f t="shared" ca="1" si="0"/>
        <v>1-30 Days</v>
      </c>
    </row>
    <row r="12" spans="1:22" ht="27.6" x14ac:dyDescent="0.3">
      <c r="A12" s="92">
        <v>10</v>
      </c>
      <c r="B12" s="93" t="s">
        <v>1279</v>
      </c>
      <c r="C12" s="79"/>
      <c r="D12" s="93" t="s">
        <v>452</v>
      </c>
      <c r="E12" s="93" t="s">
        <v>1075</v>
      </c>
      <c r="F12" s="93" t="s">
        <v>1280</v>
      </c>
      <c r="G12" s="93" t="s">
        <v>1278</v>
      </c>
      <c r="H12" s="93" t="s">
        <v>74</v>
      </c>
      <c r="I12" s="57" t="s">
        <v>75</v>
      </c>
      <c r="J12" s="94">
        <v>46181.529861111114</v>
      </c>
      <c r="K12" s="79"/>
      <c r="L12" s="79"/>
      <c r="M12" s="93" t="s">
        <v>77</v>
      </c>
      <c r="N12" s="59">
        <f>IF(ISBLANK(J12),"",IF(OR(M12="Completed",M12="Closed"),"",IF(H12="Issue",IF(I12="High",WORKDAY(J12,2,DATA!A11:A39),IF(I12="Medium",WORKDAY(J12,14,DATA!A11:A39),IF(OR(I12="Low"),WORKDAY(J12,30,DATA!A11:A39),""))),
"")
))</f>
        <v>46199</v>
      </c>
      <c r="O12" s="60">
        <f ca="1">IF(OR(ISBLANK(#REF!), M12="Completed", M12="Closed", H12&lt;&gt;"Issue"), "",
   (NETWORKDAYS.INTL(TODAY(), N12, 1, DATA!A11:A39) - 1))</f>
        <v>-20</v>
      </c>
      <c r="P12" s="78">
        <f t="shared" ca="1" si="1"/>
        <v>20</v>
      </c>
      <c r="Q12" s="62" t="str">
        <f t="shared" ca="1" si="0"/>
        <v>1-30 Days</v>
      </c>
    </row>
    <row r="13" spans="1:22" ht="27.6" x14ac:dyDescent="0.3">
      <c r="A13" s="92">
        <v>11</v>
      </c>
      <c r="B13" s="93" t="s">
        <v>1281</v>
      </c>
      <c r="C13" s="79"/>
      <c r="D13" s="93" t="s">
        <v>238</v>
      </c>
      <c r="E13" s="93" t="s">
        <v>1075</v>
      </c>
      <c r="F13" s="93" t="s">
        <v>1269</v>
      </c>
      <c r="G13" s="93" t="s">
        <v>1282</v>
      </c>
      <c r="H13" s="93" t="s">
        <v>74</v>
      </c>
      <c r="I13" s="57" t="s">
        <v>75</v>
      </c>
      <c r="J13" s="94">
        <v>46181.530555555553</v>
      </c>
      <c r="K13" s="79"/>
      <c r="L13" s="79"/>
      <c r="M13" s="93" t="s">
        <v>77</v>
      </c>
      <c r="N13" s="59">
        <f>IF(ISBLANK(J13),"",IF(OR(M13="Completed",M13="Closed"),"",IF(H13="Issue",IF(I13="High",WORKDAY(J13,2,DATA!A12:A40),IF(I13="Medium",WORKDAY(J13,14,DATA!A12:A40),IF(OR(I13="Low"),WORKDAY(J13,30,DATA!A12:A40),""))),
"")
))</f>
        <v>46199</v>
      </c>
      <c r="O13" s="60">
        <f ca="1">IF(OR(ISBLANK(#REF!), M13="Completed", M13="Closed", H13&lt;&gt;"Issue"), "",
   (NETWORKDAYS.INTL(TODAY(), N13, 1, DATA!A12:A40) - 1))</f>
        <v>-20</v>
      </c>
      <c r="P13" s="78">
        <f t="shared" ca="1" si="1"/>
        <v>20</v>
      </c>
      <c r="Q13" s="62" t="str">
        <f ca="1">IF(P13="","",
IF(P13&lt;=0,"Not Due",
IF(P13&lt;=30,"1-30 Days",
IF(P13&lt;=60,"31-60 Days",
"&gt;60 Days"))))</f>
        <v>1-30 Days</v>
      </c>
    </row>
    <row r="14" spans="1:22" ht="41.4" x14ac:dyDescent="0.3">
      <c r="A14" s="92">
        <v>12</v>
      </c>
      <c r="B14" s="93" t="s">
        <v>1283</v>
      </c>
      <c r="C14" s="79"/>
      <c r="D14" s="93" t="s">
        <v>238</v>
      </c>
      <c r="E14" s="93" t="s">
        <v>1075</v>
      </c>
      <c r="F14" s="93" t="s">
        <v>1284</v>
      </c>
      <c r="G14" s="93" t="s">
        <v>1285</v>
      </c>
      <c r="H14" s="93" t="s">
        <v>74</v>
      </c>
      <c r="I14" s="57" t="s">
        <v>75</v>
      </c>
      <c r="J14" s="94">
        <v>46181.53125</v>
      </c>
      <c r="K14" s="79"/>
      <c r="L14" s="79"/>
      <c r="M14" s="93" t="s">
        <v>77</v>
      </c>
      <c r="N14" s="59">
        <f>IF(ISBLANK(J14),"",IF(OR(M14="Completed",M14="Closed"),"",IF(H14="Issue",IF(I14="High",WORKDAY(J14,2,DATA!A13:A41),IF(I14="Medium",WORKDAY(J14,14,DATA!A13:A41),IF(OR(I14="Low"),WORKDAY(J14,30,DATA!A13:A41),""))),
"")
))</f>
        <v>46199</v>
      </c>
      <c r="O14" s="60">
        <f ca="1">IF(OR(ISBLANK(#REF!), M14="Completed", M14="Closed", H14&lt;&gt;"Issue"), "",
   (NETWORKDAYS.INTL(TODAY(), N14, 1, DATA!A13:A41) - 1))</f>
        <v>-20</v>
      </c>
      <c r="P14" s="78">
        <f t="shared" ca="1" si="1"/>
        <v>20</v>
      </c>
      <c r="Q14" s="62" t="str">
        <f t="shared" ref="Q14:Q15" ca="1" si="2">IF(P14="","",
IF(P14&lt;=0,"Not Due",
IF(P14&lt;=30,"1-30 Days",
IF(P14&lt;=60,"31-60 Days",
"&gt;60 Days"))))</f>
        <v>1-30 Days</v>
      </c>
    </row>
    <row r="15" spans="1:22" ht="27.6" x14ac:dyDescent="0.3">
      <c r="A15" s="92">
        <v>13</v>
      </c>
      <c r="B15" s="93" t="s">
        <v>1286</v>
      </c>
      <c r="C15" s="79"/>
      <c r="D15" s="93" t="s">
        <v>238</v>
      </c>
      <c r="E15" s="93" t="s">
        <v>1075</v>
      </c>
      <c r="F15" s="93" t="s">
        <v>1284</v>
      </c>
      <c r="G15" s="93" t="s">
        <v>1287</v>
      </c>
      <c r="H15" s="93" t="s">
        <v>74</v>
      </c>
      <c r="I15" s="57" t="s">
        <v>75</v>
      </c>
      <c r="J15" s="94">
        <v>46181.53125</v>
      </c>
      <c r="K15" s="79"/>
      <c r="L15" s="79"/>
      <c r="M15" s="93" t="s">
        <v>77</v>
      </c>
      <c r="N15" s="59">
        <f>IF(ISBLANK(J15),"",IF(OR(M15="Completed",M15="Closed"),"",IF(H15="Issue",IF(I15="High",WORKDAY(J15,2,DATA!A14:A42),IF(I15="Medium",WORKDAY(J15,14,DATA!A14:A42),IF(OR(I15="Low"),WORKDAY(J15,30,DATA!A14:A42),""))),
"")
))</f>
        <v>46199</v>
      </c>
      <c r="O15" s="60">
        <f ca="1">IF(OR(ISBLANK(#REF!), M15="Completed", M15="Closed", H15&lt;&gt;"Issue"), "",
   (NETWORKDAYS.INTL(TODAY(), N15, 1, DATA!A14:A42) - 1))</f>
        <v>-20</v>
      </c>
      <c r="P15" s="78">
        <f t="shared" ca="1" si="1"/>
        <v>20</v>
      </c>
      <c r="Q15" s="62" t="str">
        <f t="shared" ca="1" si="2"/>
        <v>1-30 Days</v>
      </c>
    </row>
    <row r="16" spans="1:22" x14ac:dyDescent="0.3">
      <c r="A16" s="92">
        <v>14</v>
      </c>
      <c r="B16" s="93" t="s">
        <v>1288</v>
      </c>
      <c r="C16" s="79"/>
      <c r="D16" s="93" t="s">
        <v>238</v>
      </c>
      <c r="E16" s="93" t="s">
        <v>1075</v>
      </c>
      <c r="F16" s="93" t="s">
        <v>1284</v>
      </c>
      <c r="G16" s="93" t="s">
        <v>1289</v>
      </c>
      <c r="H16" s="93" t="s">
        <v>74</v>
      </c>
      <c r="I16" s="57" t="s">
        <v>75</v>
      </c>
      <c r="J16" s="94">
        <v>46181.532638888886</v>
      </c>
      <c r="K16" s="79"/>
      <c r="L16" s="79"/>
      <c r="M16" s="93" t="s">
        <v>77</v>
      </c>
      <c r="N16" s="59">
        <f>IF(ISBLANK(J16),"",IF(OR(M16="Completed",M16="Closed"),"",IF(H16="Issue",IF(I16="High",WORKDAY(J16,2,DATA!A15:A43),IF(I16="Medium",WORKDAY(J16,14,DATA!A15:A43),IF(OR(I16="Low"),WORKDAY(J16,30,DATA!A15:A43),""))),
"")
))</f>
        <v>46199</v>
      </c>
      <c r="O16" s="60">
        <f ca="1">IF(OR(ISBLANK(#REF!), M16="Completed", M16="Closed", H16&lt;&gt;"Issue"), "",
   (NETWORKDAYS.INTL(TODAY(), N16, 1, DATA!A15:A43) - 1))</f>
        <v>-20</v>
      </c>
      <c r="P16" s="78">
        <f t="shared" ca="1" si="1"/>
        <v>20</v>
      </c>
      <c r="Q16" s="62" t="str">
        <f t="shared" ref="Q16:Q79" ca="1" si="3">IF(P16="","",
IF(P16&lt;=30,"1-30 Days",
IF(AND(P16&gt;=31,P16&lt;=60),"31-60 Days",
"&gt;60 Days")))</f>
        <v>1-30 Days</v>
      </c>
    </row>
    <row r="17" spans="1:17" ht="27.6" x14ac:dyDescent="0.3">
      <c r="A17" s="92">
        <v>15</v>
      </c>
      <c r="B17" s="93" t="s">
        <v>1290</v>
      </c>
      <c r="C17" s="93" t="s">
        <v>70</v>
      </c>
      <c r="D17" s="93" t="s">
        <v>238</v>
      </c>
      <c r="E17" s="93" t="s">
        <v>1075</v>
      </c>
      <c r="F17" s="93" t="s">
        <v>1291</v>
      </c>
      <c r="G17" s="93" t="s">
        <v>1292</v>
      </c>
      <c r="H17" s="93" t="s">
        <v>74</v>
      </c>
      <c r="I17" s="57" t="s">
        <v>75</v>
      </c>
      <c r="J17" s="94">
        <v>46181.53402777778</v>
      </c>
      <c r="K17" s="94">
        <v>46181.573611111111</v>
      </c>
      <c r="L17" s="94">
        <v>46181.574305555558</v>
      </c>
      <c r="M17" s="93" t="s">
        <v>76</v>
      </c>
      <c r="N17" s="59" t="str">
        <f>IF(ISBLANK(J17),"",IF(OR(M17="Completed",M17="Closed"),"",IF(H17="Issue",IF(I17="High",WORKDAY(J17,2,DATA!A16:A44),IF(I17="Medium",WORKDAY(J17,14,DATA!A16:A44),IF(OR(I17="Low"),WORKDAY(J17,30,DATA!A16:A44),""))),
"")
))</f>
        <v/>
      </c>
      <c r="O17" s="60" t="str">
        <f ca="1">IF(OR(ISBLANK(#REF!), M17="Completed", M17="Closed", H17&lt;&gt;"Issue"), "",
   (NETWORKDAYS.INTL(TODAY(), N17, 1, DATA!A16:A44) - 1))</f>
        <v/>
      </c>
      <c r="P17" s="78" t="str">
        <f t="shared" ca="1" si="1"/>
        <v/>
      </c>
      <c r="Q17" s="62" t="str">
        <f t="shared" ca="1" si="3"/>
        <v/>
      </c>
    </row>
    <row r="18" spans="1:17" ht="27.6" x14ac:dyDescent="0.3">
      <c r="A18" s="92">
        <v>16</v>
      </c>
      <c r="B18" s="93" t="s">
        <v>1293</v>
      </c>
      <c r="C18" s="79"/>
      <c r="D18" s="93" t="s">
        <v>238</v>
      </c>
      <c r="E18" s="93" t="s">
        <v>1075</v>
      </c>
      <c r="F18" s="93" t="s">
        <v>1291</v>
      </c>
      <c r="G18" s="93" t="s">
        <v>1292</v>
      </c>
      <c r="H18" s="93" t="s">
        <v>74</v>
      </c>
      <c r="I18" s="57" t="s">
        <v>75</v>
      </c>
      <c r="J18" s="94">
        <v>46181.53402777778</v>
      </c>
      <c r="K18" s="79"/>
      <c r="L18" s="79"/>
      <c r="M18" s="93" t="s">
        <v>77</v>
      </c>
      <c r="N18" s="59">
        <f>IF(ISBLANK(J18),"",IF(OR(M18="Completed",M18="Closed"),"",IF(H18="Issue",IF(I18="High",WORKDAY(J18,2,DATA!A17:A45),IF(I18="Medium",WORKDAY(J18,14,DATA!A17:A45),IF(OR(I18="Low"),WORKDAY(J18,30,DATA!A17:A45),""))),
"")
))</f>
        <v>46199</v>
      </c>
      <c r="O18" s="60">
        <f ca="1">IF(OR(ISBLANK(#REF!), M18="Completed", M18="Closed", H18&lt;&gt;"Issue"), "",
   (NETWORKDAYS.INTL(TODAY(), N18, 1, DATA!A17:A45) - 1))</f>
        <v>-20</v>
      </c>
      <c r="P18" s="78">
        <f t="shared" ca="1" si="1"/>
        <v>20</v>
      </c>
      <c r="Q18" s="62" t="str">
        <f t="shared" ca="1" si="3"/>
        <v>1-30 Days</v>
      </c>
    </row>
    <row r="19" spans="1:17" ht="27.6" x14ac:dyDescent="0.3">
      <c r="A19" s="92">
        <v>17</v>
      </c>
      <c r="B19" s="93" t="s">
        <v>1294</v>
      </c>
      <c r="C19" s="79"/>
      <c r="D19" s="93" t="s">
        <v>238</v>
      </c>
      <c r="E19" s="93" t="s">
        <v>1075</v>
      </c>
      <c r="F19" s="93" t="s">
        <v>1291</v>
      </c>
      <c r="G19" s="93" t="s">
        <v>1295</v>
      </c>
      <c r="H19" s="93" t="s">
        <v>74</v>
      </c>
      <c r="I19" s="57" t="s">
        <v>75</v>
      </c>
      <c r="J19" s="94">
        <v>46181.534722222219</v>
      </c>
      <c r="K19" s="79"/>
      <c r="L19" s="79"/>
      <c r="M19" s="93" t="s">
        <v>77</v>
      </c>
      <c r="N19" s="59">
        <f>IF(ISBLANK(J19),"",IF(OR(M19="Completed",M19="Closed"),"",IF(H19="Issue",IF(I19="High",WORKDAY(J19,2,DATA!A18:A46),IF(I19="Medium",WORKDAY(J19,14,DATA!A18:A46),IF(OR(I19="Low"),WORKDAY(J19,30,DATA!A18:A46),""))),
"")
))</f>
        <v>46199</v>
      </c>
      <c r="O19" s="60">
        <f ca="1">IF(OR(ISBLANK(#REF!), M19="Completed", M19="Closed", H19&lt;&gt;"Issue"), "",
   (NETWORKDAYS.INTL(TODAY(), N19, 1, DATA!A18:A46) - 1))</f>
        <v>-20</v>
      </c>
      <c r="P19" s="78">
        <f t="shared" ca="1" si="1"/>
        <v>20</v>
      </c>
      <c r="Q19" s="62" t="str">
        <f t="shared" ca="1" si="3"/>
        <v>1-30 Days</v>
      </c>
    </row>
    <row r="20" spans="1:17" ht="41.4" x14ac:dyDescent="0.3">
      <c r="A20" s="92">
        <v>18</v>
      </c>
      <c r="B20" s="93" t="s">
        <v>1296</v>
      </c>
      <c r="C20" s="79"/>
      <c r="D20" s="93" t="s">
        <v>238</v>
      </c>
      <c r="E20" s="93" t="s">
        <v>1075</v>
      </c>
      <c r="F20" s="93" t="s">
        <v>1291</v>
      </c>
      <c r="G20" s="93" t="s">
        <v>1297</v>
      </c>
      <c r="H20" s="93" t="s">
        <v>74</v>
      </c>
      <c r="I20" s="57" t="s">
        <v>75</v>
      </c>
      <c r="J20" s="94">
        <v>46181.536111111112</v>
      </c>
      <c r="K20" s="79"/>
      <c r="L20" s="79"/>
      <c r="M20" s="93" t="s">
        <v>77</v>
      </c>
      <c r="N20" s="59">
        <f>IF(ISBLANK(J20),"",IF(OR(M20="Completed",M20="Closed"),"",IF(H20="Issue",IF(I20="High",WORKDAY(J20,2,DATA!A19:A47),IF(I20="Medium",WORKDAY(J20,14,DATA!A19:A47),IF(OR(I20="Low"),WORKDAY(J20,30,DATA!A19:A47),""))),
"")
))</f>
        <v>46199</v>
      </c>
      <c r="O20" s="60">
        <f ca="1">IF(OR(ISBLANK(#REF!), M20="Completed", M20="Closed", H20&lt;&gt;"Issue"), "",
   (NETWORKDAYS.INTL(TODAY(), N20, 1, DATA!A19:A47) - 1))</f>
        <v>-20</v>
      </c>
      <c r="P20" s="78">
        <f t="shared" ca="1" si="1"/>
        <v>20</v>
      </c>
      <c r="Q20" s="62" t="str">
        <f t="shared" ca="1" si="3"/>
        <v>1-30 Days</v>
      </c>
    </row>
    <row r="21" spans="1:17" ht="151.80000000000001" x14ac:dyDescent="0.3">
      <c r="A21" s="92">
        <v>19</v>
      </c>
      <c r="B21" s="93" t="s">
        <v>1298</v>
      </c>
      <c r="C21" s="79"/>
      <c r="D21" s="93" t="s">
        <v>238</v>
      </c>
      <c r="E21" s="93" t="s">
        <v>1075</v>
      </c>
      <c r="F21" s="93" t="s">
        <v>1299</v>
      </c>
      <c r="G21" s="93" t="s">
        <v>1300</v>
      </c>
      <c r="H21" s="93" t="s">
        <v>74</v>
      </c>
      <c r="I21" s="57" t="s">
        <v>75</v>
      </c>
      <c r="J21" s="94">
        <v>46181.537499999999</v>
      </c>
      <c r="K21" s="79"/>
      <c r="L21" s="79"/>
      <c r="M21" s="93" t="s">
        <v>77</v>
      </c>
      <c r="N21" s="59">
        <f>IF(ISBLANK(J21),"",IF(OR(M21="Completed",M21="Closed"),"",IF(H21="Issue",IF(I21="High",WORKDAY(J21,2,DATA!A20:A48),IF(I21="Medium",WORKDAY(J21,14,DATA!A20:A48),IF(OR(I21="Low"),WORKDAY(J21,30,DATA!A20:A48),""))),
"")
))</f>
        <v>46199</v>
      </c>
      <c r="O21" s="60">
        <f ca="1">IF(OR(ISBLANK(#REF!), M21="Completed", M21="Closed", H21&lt;&gt;"Issue"), "",
   (NETWORKDAYS.INTL(TODAY(), N21, 1, DATA!A20:A48) - 1))</f>
        <v>-20</v>
      </c>
      <c r="P21" s="78">
        <f t="shared" ca="1" si="1"/>
        <v>20</v>
      </c>
      <c r="Q21" s="62" t="str">
        <f t="shared" ca="1" si="3"/>
        <v>1-30 Days</v>
      </c>
    </row>
    <row r="22" spans="1:17" ht="27.6" x14ac:dyDescent="0.3">
      <c r="A22" s="92">
        <v>20</v>
      </c>
      <c r="B22" s="93" t="s">
        <v>1301</v>
      </c>
      <c r="C22" s="79"/>
      <c r="D22" s="93" t="s">
        <v>238</v>
      </c>
      <c r="E22" s="93" t="s">
        <v>1075</v>
      </c>
      <c r="F22" s="93" t="s">
        <v>1302</v>
      </c>
      <c r="G22" s="93" t="s">
        <v>1303</v>
      </c>
      <c r="H22" s="93" t="s">
        <v>74</v>
      </c>
      <c r="I22" s="57" t="s">
        <v>75</v>
      </c>
      <c r="J22" s="94">
        <v>46181.538194444445</v>
      </c>
      <c r="K22" s="79"/>
      <c r="L22" s="79"/>
      <c r="M22" s="93" t="s">
        <v>77</v>
      </c>
      <c r="N22" s="59">
        <f>IF(ISBLANK(J22),"",IF(OR(M22="Completed",M22="Closed"),"",IF(H22="Issue",IF(I22="High",WORKDAY(J22,2,DATA!A21:A49),IF(I22="Medium",WORKDAY(J22,14,DATA!A21:A49),IF(OR(I22="Low"),WORKDAY(J22,30,DATA!A21:A49),""))),
"")
))</f>
        <v>46199</v>
      </c>
      <c r="O22" s="60">
        <f ca="1">IF(OR(ISBLANK(#REF!), M22="Completed", M22="Closed", H22&lt;&gt;"Issue"), "",
   (NETWORKDAYS.INTL(TODAY(), N22, 1, DATA!A21:A49) - 1))</f>
        <v>-20</v>
      </c>
      <c r="P22" s="78">
        <f t="shared" ca="1" si="1"/>
        <v>20</v>
      </c>
      <c r="Q22" s="62" t="str">
        <f t="shared" ca="1" si="3"/>
        <v>1-30 Days</v>
      </c>
    </row>
    <row r="23" spans="1:17" ht="27.6" x14ac:dyDescent="0.3">
      <c r="A23" s="92">
        <v>21</v>
      </c>
      <c r="B23" s="93" t="s">
        <v>1304</v>
      </c>
      <c r="C23" s="79"/>
      <c r="D23" s="93" t="s">
        <v>238</v>
      </c>
      <c r="E23" s="93" t="s">
        <v>1075</v>
      </c>
      <c r="F23" s="93" t="s">
        <v>1302</v>
      </c>
      <c r="G23" s="93" t="s">
        <v>1305</v>
      </c>
      <c r="H23" s="93" t="s">
        <v>74</v>
      </c>
      <c r="I23" s="57" t="s">
        <v>75</v>
      </c>
      <c r="J23" s="94">
        <v>46181.538888888892</v>
      </c>
      <c r="K23" s="79"/>
      <c r="L23" s="79"/>
      <c r="M23" s="93" t="s">
        <v>77</v>
      </c>
      <c r="N23" s="59">
        <f>IF(ISBLANK(J23),"",IF(OR(M23="Completed",M23="Closed"),"",IF(H23="Issue",IF(I23="High",WORKDAY(J23,2,DATA!A22:A50),IF(I23="Medium",WORKDAY(J23,14,DATA!A22:A50),IF(OR(I23="Low"),WORKDAY(J23,30,DATA!A22:A50),""))),
"")
))</f>
        <v>46199</v>
      </c>
      <c r="O23" s="60">
        <f ca="1">IF(OR(ISBLANK(#REF!), M23="Completed", M23="Closed", H23&lt;&gt;"Issue"), "",
   (NETWORKDAYS.INTL(TODAY(), N23, 1, DATA!A22:A50) - 1))</f>
        <v>-20</v>
      </c>
      <c r="P23" s="78">
        <f t="shared" ca="1" si="1"/>
        <v>20</v>
      </c>
      <c r="Q23" s="62" t="str">
        <f t="shared" ca="1" si="3"/>
        <v>1-30 Days</v>
      </c>
    </row>
    <row r="24" spans="1:17" ht="27.6" x14ac:dyDescent="0.3">
      <c r="A24" s="92">
        <v>22</v>
      </c>
      <c r="B24" s="93" t="s">
        <v>1306</v>
      </c>
      <c r="C24" s="79"/>
      <c r="D24" s="93" t="s">
        <v>238</v>
      </c>
      <c r="E24" s="93" t="s">
        <v>1075</v>
      </c>
      <c r="F24" s="93" t="s">
        <v>1302</v>
      </c>
      <c r="G24" s="93" t="s">
        <v>1307</v>
      </c>
      <c r="H24" s="93" t="s">
        <v>74</v>
      </c>
      <c r="I24" s="57" t="s">
        <v>75</v>
      </c>
      <c r="J24" s="94">
        <v>46181.539583333331</v>
      </c>
      <c r="K24" s="79"/>
      <c r="L24" s="79"/>
      <c r="M24" s="93" t="s">
        <v>77</v>
      </c>
      <c r="N24" s="59">
        <f>IF(ISBLANK(J24),"",IF(OR(M24="Completed",M24="Closed"),"",IF(H24="Issue",IF(I24="High",WORKDAY(J24,2,DATA!A23:A51),IF(I24="Medium",WORKDAY(J24,14,DATA!A23:A51),IF(OR(I24="Low"),WORKDAY(J24,30,DATA!A23:A51),""))),
"")
))</f>
        <v>46199</v>
      </c>
      <c r="O24" s="60">
        <f ca="1">IF(OR(ISBLANK(#REF!), M24="Completed", M24="Closed", H24&lt;&gt;"Issue"), "",
   (NETWORKDAYS.INTL(TODAY(), N24, 1, DATA!A23:A51) - 1))</f>
        <v>-20</v>
      </c>
      <c r="P24" s="78">
        <f t="shared" ca="1" si="1"/>
        <v>20</v>
      </c>
      <c r="Q24" s="62" t="str">
        <f t="shared" ca="1" si="3"/>
        <v>1-30 Days</v>
      </c>
    </row>
    <row r="25" spans="1:17" ht="82.8" x14ac:dyDescent="0.3">
      <c r="A25" s="92">
        <v>23</v>
      </c>
      <c r="B25" s="93" t="s">
        <v>1308</v>
      </c>
      <c r="C25" s="79"/>
      <c r="D25" s="93" t="s">
        <v>238</v>
      </c>
      <c r="E25" s="93" t="s">
        <v>1075</v>
      </c>
      <c r="F25" s="93" t="s">
        <v>1309</v>
      </c>
      <c r="G25" s="93" t="s">
        <v>1310</v>
      </c>
      <c r="H25" s="93" t="s">
        <v>74</v>
      </c>
      <c r="I25" s="57" t="s">
        <v>75</v>
      </c>
      <c r="J25" s="94">
        <v>46181.540277777778</v>
      </c>
      <c r="K25" s="79"/>
      <c r="L25" s="79"/>
      <c r="M25" s="93" t="s">
        <v>77</v>
      </c>
      <c r="N25" s="59">
        <f>IF(ISBLANK(J25),"",IF(OR(M25="Completed",M25="Closed"),"",IF(H25="Issue",IF(I25="High",WORKDAY(J25,2,DATA!A24:A52),IF(I25="Medium",WORKDAY(J25,14,DATA!A24:A52),IF(OR(I25="Low"),WORKDAY(J25,30,DATA!A24:A52),""))),
"")
))</f>
        <v>46199</v>
      </c>
      <c r="O25" s="60">
        <f ca="1">IF(OR(ISBLANK(#REF!), M25="Completed", M25="Closed", H25&lt;&gt;"Issue"), "",
   (NETWORKDAYS.INTL(TODAY(), N25, 1, DATA!A24:A52) - 1))</f>
        <v>-20</v>
      </c>
      <c r="P25" s="78">
        <f t="shared" ca="1" si="1"/>
        <v>20</v>
      </c>
      <c r="Q25" s="62" t="str">
        <f t="shared" ca="1" si="3"/>
        <v>1-30 Days</v>
      </c>
    </row>
    <row r="26" spans="1:17" ht="27.6" x14ac:dyDescent="0.3">
      <c r="A26" s="92">
        <v>24</v>
      </c>
      <c r="B26" s="93" t="s">
        <v>1311</v>
      </c>
      <c r="C26" s="79"/>
      <c r="D26" s="93" t="s">
        <v>238</v>
      </c>
      <c r="E26" s="93" t="s">
        <v>1075</v>
      </c>
      <c r="F26" s="93" t="s">
        <v>1309</v>
      </c>
      <c r="G26" s="93" t="s">
        <v>1312</v>
      </c>
      <c r="H26" s="93" t="s">
        <v>74</v>
      </c>
      <c r="I26" s="57" t="s">
        <v>75</v>
      </c>
      <c r="J26" s="94">
        <v>46181.540972222225</v>
      </c>
      <c r="K26" s="79"/>
      <c r="L26" s="79"/>
      <c r="M26" s="93" t="s">
        <v>77</v>
      </c>
      <c r="N26" s="59">
        <f>IF(ISBLANK(J26),"",IF(OR(M26="Completed",M26="Closed"),"",IF(H26="Issue",IF(I26="High",WORKDAY(J26,2,DATA!A25:A53),IF(I26="Medium",WORKDAY(J26,14,DATA!A25:A53),IF(OR(I26="Low"),WORKDAY(J26,30,DATA!A25:A53),""))),
"")
))</f>
        <v>46199</v>
      </c>
      <c r="O26" s="60">
        <f ca="1">IF(OR(ISBLANK(#REF!), M26="Completed", M26="Closed", H26&lt;&gt;"Issue"), "",
   (NETWORKDAYS.INTL(TODAY(), N26, 1, DATA!A25:A53) - 1))</f>
        <v>-20</v>
      </c>
      <c r="P26" s="78">
        <f t="shared" ca="1" si="1"/>
        <v>20</v>
      </c>
      <c r="Q26" s="62" t="str">
        <f t="shared" ca="1" si="3"/>
        <v>1-30 Days</v>
      </c>
    </row>
    <row r="27" spans="1:17" ht="27.6" x14ac:dyDescent="0.3">
      <c r="A27" s="92">
        <v>25</v>
      </c>
      <c r="B27" s="93" t="s">
        <v>1313</v>
      </c>
      <c r="C27" s="79"/>
      <c r="D27" s="93" t="s">
        <v>238</v>
      </c>
      <c r="E27" s="93" t="s">
        <v>1075</v>
      </c>
      <c r="F27" s="93" t="s">
        <v>1309</v>
      </c>
      <c r="G27" s="93" t="s">
        <v>1314</v>
      </c>
      <c r="H27" s="93" t="s">
        <v>74</v>
      </c>
      <c r="I27" s="57" t="s">
        <v>75</v>
      </c>
      <c r="J27" s="94">
        <v>46181.541666666664</v>
      </c>
      <c r="K27" s="79"/>
      <c r="L27" s="79"/>
      <c r="M27" s="93" t="s">
        <v>77</v>
      </c>
      <c r="N27" s="59">
        <f>IF(ISBLANK(J27),"",IF(OR(M27="Completed",M27="Closed"),"",IF(H27="Issue",IF(I27="High",WORKDAY(J27,2,DATA!A26:A54),IF(I27="Medium",WORKDAY(J27,14,DATA!A26:A54),IF(OR(I27="Low"),WORKDAY(J27,30,DATA!A26:A54),""))),
"")
))</f>
        <v>46199</v>
      </c>
      <c r="O27" s="60">
        <f ca="1">IF(OR(ISBLANK(#REF!), M27="Completed", M27="Closed", H27&lt;&gt;"Issue"), "",
   (NETWORKDAYS.INTL(TODAY(), N27, 1, DATA!A26:A54) - 1))</f>
        <v>-20</v>
      </c>
      <c r="P27" s="78">
        <f t="shared" ca="1" si="1"/>
        <v>20</v>
      </c>
      <c r="Q27" s="62" t="str">
        <f t="shared" ca="1" si="3"/>
        <v>1-30 Days</v>
      </c>
    </row>
    <row r="28" spans="1:17" ht="27.6" x14ac:dyDescent="0.3">
      <c r="A28" s="92">
        <v>26</v>
      </c>
      <c r="B28" s="93" t="s">
        <v>1315</v>
      </c>
      <c r="C28" s="79"/>
      <c r="D28" s="93" t="s">
        <v>238</v>
      </c>
      <c r="E28" s="93" t="s">
        <v>1075</v>
      </c>
      <c r="F28" s="93" t="s">
        <v>1309</v>
      </c>
      <c r="G28" s="93" t="s">
        <v>1316</v>
      </c>
      <c r="H28" s="93" t="s">
        <v>74</v>
      </c>
      <c r="I28" s="57" t="s">
        <v>75</v>
      </c>
      <c r="J28" s="94">
        <v>46181.542361111111</v>
      </c>
      <c r="K28" s="79"/>
      <c r="L28" s="79"/>
      <c r="M28" s="93" t="s">
        <v>77</v>
      </c>
      <c r="N28" s="59">
        <f>IF(ISBLANK(J28),"",IF(OR(M28="Completed",M28="Closed"),"",IF(H28="Issue",IF(I28="High",WORKDAY(J28,2,DATA!A27:A55),IF(I28="Medium",WORKDAY(J28,14,DATA!A27:A55),IF(OR(I28="Low"),WORKDAY(J28,30,DATA!A27:A55),""))),
"")
))</f>
        <v>46199</v>
      </c>
      <c r="O28" s="60">
        <f ca="1">IF(OR(ISBLANK(#REF!), M28="Completed", M28="Closed", H28&lt;&gt;"Issue"), "",
   (NETWORKDAYS.INTL(TODAY(), N28, 1, DATA!A27:A55) - 1))</f>
        <v>-20</v>
      </c>
      <c r="P28" s="78">
        <f t="shared" ca="1" si="1"/>
        <v>20</v>
      </c>
      <c r="Q28" s="62" t="str">
        <f t="shared" ca="1" si="3"/>
        <v>1-30 Days</v>
      </c>
    </row>
    <row r="29" spans="1:17" ht="41.4" x14ac:dyDescent="0.3">
      <c r="A29" s="92">
        <v>27</v>
      </c>
      <c r="B29" s="93" t="s">
        <v>1317</v>
      </c>
      <c r="C29" s="93" t="s">
        <v>70</v>
      </c>
      <c r="D29" s="93" t="s">
        <v>500</v>
      </c>
      <c r="E29" s="93" t="s">
        <v>1075</v>
      </c>
      <c r="F29" s="93" t="s">
        <v>1318</v>
      </c>
      <c r="G29" s="93" t="s">
        <v>1319</v>
      </c>
      <c r="H29" s="93" t="s">
        <v>74</v>
      </c>
      <c r="I29" s="57" t="s">
        <v>75</v>
      </c>
      <c r="J29" s="94">
        <v>46181.542361111111</v>
      </c>
      <c r="K29" s="94">
        <v>46211.476388888892</v>
      </c>
      <c r="L29" s="94">
        <v>46211.476388888892</v>
      </c>
      <c r="M29" s="93" t="s">
        <v>76</v>
      </c>
      <c r="N29" s="59" t="str">
        <f>IF(ISBLANK(J29),"",IF(OR(M29="Completed",M29="Closed"),"",IF(H29="Issue",IF(I29="High",WORKDAY(J29,2,DATA!A28:A56),IF(I29="Medium",WORKDAY(J29,14,DATA!A28:A56),IF(OR(I29="Low"),WORKDAY(J29,30,DATA!A28:A56),""))),
"")
))</f>
        <v/>
      </c>
      <c r="O29" s="60" t="str">
        <f ca="1">IF(OR(ISBLANK(#REF!), M29="Completed", M29="Closed", H29&lt;&gt;"Issue"), "",
   (NETWORKDAYS.INTL(TODAY(), N29, 1, DATA!A28:A56) - 1))</f>
        <v/>
      </c>
      <c r="P29" s="78" t="str">
        <f t="shared" ca="1" si="1"/>
        <v/>
      </c>
      <c r="Q29" s="62" t="str">
        <f t="shared" ca="1" si="3"/>
        <v/>
      </c>
    </row>
    <row r="30" spans="1:17" ht="41.4" x14ac:dyDescent="0.3">
      <c r="A30" s="92">
        <v>28</v>
      </c>
      <c r="B30" s="93" t="s">
        <v>1320</v>
      </c>
      <c r="C30" s="93" t="s">
        <v>70</v>
      </c>
      <c r="D30" s="93" t="s">
        <v>238</v>
      </c>
      <c r="E30" s="93" t="s">
        <v>1075</v>
      </c>
      <c r="F30" s="93" t="s">
        <v>1321</v>
      </c>
      <c r="G30" s="93" t="s">
        <v>1322</v>
      </c>
      <c r="H30" s="93" t="s">
        <v>74</v>
      </c>
      <c r="I30" s="57" t="s">
        <v>75</v>
      </c>
      <c r="J30" s="94">
        <v>46181.543749999997</v>
      </c>
      <c r="K30" s="94">
        <v>46181.572916666664</v>
      </c>
      <c r="L30" s="94">
        <v>46181.572916666664</v>
      </c>
      <c r="M30" s="93" t="s">
        <v>76</v>
      </c>
      <c r="N30" s="59" t="str">
        <f>IF(ISBLANK(J30),"",IF(OR(M30="Completed",M30="Closed"),"",IF(H30="Issue",IF(I30="High",WORKDAY(J30,2,DATA!A29:A57),IF(I30="Medium",WORKDAY(J30,14,DATA!A29:A57),IF(OR(I30="Low"),WORKDAY(J30,30,DATA!A29:A57),""))),
"")
))</f>
        <v/>
      </c>
      <c r="O30" s="60" t="str">
        <f ca="1">IF(OR(ISBLANK(#REF!), M30="Completed", M30="Closed", H30&lt;&gt;"Issue"), "",
   (NETWORKDAYS.INTL(TODAY(), N30, 1, DATA!A29:A57) - 1))</f>
        <v/>
      </c>
      <c r="P30" s="78" t="str">
        <f t="shared" ca="1" si="1"/>
        <v/>
      </c>
      <c r="Q30" s="62" t="str">
        <f t="shared" ca="1" si="3"/>
        <v/>
      </c>
    </row>
    <row r="31" spans="1:17" ht="41.4" x14ac:dyDescent="0.3">
      <c r="A31" s="92">
        <v>29</v>
      </c>
      <c r="B31" s="93" t="s">
        <v>1323</v>
      </c>
      <c r="C31" s="79"/>
      <c r="D31" s="93" t="s">
        <v>238</v>
      </c>
      <c r="E31" s="93" t="s">
        <v>1075</v>
      </c>
      <c r="F31" s="93" t="s">
        <v>1324</v>
      </c>
      <c r="G31" s="93" t="s">
        <v>1325</v>
      </c>
      <c r="H31" s="93" t="s">
        <v>74</v>
      </c>
      <c r="I31" s="57" t="s">
        <v>75</v>
      </c>
      <c r="J31" s="94">
        <v>46181.543749999997</v>
      </c>
      <c r="K31" s="79"/>
      <c r="L31" s="79"/>
      <c r="M31" s="93" t="s">
        <v>77</v>
      </c>
      <c r="N31" s="59">
        <f>IF(ISBLANK(J31),"",IF(OR(M31="Completed",M31="Closed"),"",IF(H31="Issue",IF(I31="High",WORKDAY(J31,2,DATA!A30:A58),IF(I31="Medium",WORKDAY(J31,14,DATA!A30:A58),IF(OR(I31="Low"),WORKDAY(J31,30,DATA!A30:A58),""))),
"")
))</f>
        <v>46199</v>
      </c>
      <c r="O31" s="60">
        <f ca="1">IF(OR(ISBLANK(#REF!), M31="Completed", M31="Closed", H31&lt;&gt;"Issue"), "",
   (NETWORKDAYS.INTL(TODAY(), N31, 1, DATA!A30:A58) - 1))</f>
        <v>-20</v>
      </c>
      <c r="P31" s="78">
        <f t="shared" ca="1" si="1"/>
        <v>20</v>
      </c>
      <c r="Q31" s="62" t="str">
        <f t="shared" ca="1" si="3"/>
        <v>1-30 Days</v>
      </c>
    </row>
    <row r="32" spans="1:17" ht="55.2" x14ac:dyDescent="0.3">
      <c r="A32" s="92">
        <v>30</v>
      </c>
      <c r="B32" s="93" t="s">
        <v>1326</v>
      </c>
      <c r="C32" s="79"/>
      <c r="D32" s="93" t="s">
        <v>238</v>
      </c>
      <c r="E32" s="93" t="s">
        <v>1075</v>
      </c>
      <c r="F32" s="93" t="s">
        <v>1327</v>
      </c>
      <c r="G32" s="93" t="s">
        <v>1328</v>
      </c>
      <c r="H32" s="93" t="s">
        <v>74</v>
      </c>
      <c r="I32" s="57" t="s">
        <v>75</v>
      </c>
      <c r="J32" s="94">
        <v>46181.544444444444</v>
      </c>
      <c r="K32" s="79"/>
      <c r="L32" s="79"/>
      <c r="M32" s="93" t="s">
        <v>77</v>
      </c>
      <c r="N32" s="59">
        <f>IF(ISBLANK(J32),"",IF(OR(M32="Completed",M32="Closed"),"",IF(H32="Issue",IF(I32="High",WORKDAY(J32,2,DATA!A31:A59),IF(I32="Medium",WORKDAY(J32,14,DATA!A31:A59),IF(OR(I32="Low"),WORKDAY(J32,30,DATA!A31:A59),""))),
"")
))</f>
        <v>46199</v>
      </c>
      <c r="O32" s="60">
        <f ca="1">IF(OR(ISBLANK(#REF!), M32="Completed", M32="Closed", H32&lt;&gt;"Issue"), "",
   (NETWORKDAYS.INTL(TODAY(), N32, 1, DATA!A31:A59) - 1))</f>
        <v>-20</v>
      </c>
      <c r="P32" s="78">
        <f t="shared" ca="1" si="1"/>
        <v>20</v>
      </c>
      <c r="Q32" s="62" t="str">
        <f t="shared" ca="1" si="3"/>
        <v>1-30 Days</v>
      </c>
    </row>
    <row r="33" spans="1:17" ht="27.6" x14ac:dyDescent="0.3">
      <c r="A33" s="92">
        <v>31</v>
      </c>
      <c r="B33" s="93" t="s">
        <v>1329</v>
      </c>
      <c r="C33" s="79"/>
      <c r="D33" s="93" t="s">
        <v>238</v>
      </c>
      <c r="E33" s="93" t="s">
        <v>1075</v>
      </c>
      <c r="F33" s="93" t="s">
        <v>1330</v>
      </c>
      <c r="G33" s="93" t="s">
        <v>1331</v>
      </c>
      <c r="H33" s="93" t="s">
        <v>74</v>
      </c>
      <c r="I33" s="57" t="s">
        <v>75</v>
      </c>
      <c r="J33" s="94">
        <v>46191.381249999999</v>
      </c>
      <c r="K33" s="79"/>
      <c r="L33" s="79"/>
      <c r="M33" s="93" t="s">
        <v>77</v>
      </c>
      <c r="N33" s="59">
        <f>IF(ISBLANK(J33),"",IF(OR(M33="Completed",M33="Closed"),"",IF(H33="Issue",IF(I33="High",WORKDAY(J33,2,DATA!A32:A60),IF(I33="Medium",WORKDAY(J33,14,DATA!A32:A60),IF(OR(I33="Low"),WORKDAY(J33,30,DATA!A32:A60),""))),
"")
))</f>
        <v>46211</v>
      </c>
      <c r="O33" s="60">
        <f ca="1">IF(OR(ISBLANK(#REF!), M33="Completed", M33="Closed", H33&lt;&gt;"Issue"), "",
   (NETWORKDAYS.INTL(TODAY(), N33, 1, DATA!A32:A60) - 1))</f>
        <v>-12</v>
      </c>
      <c r="P33" s="78">
        <f t="shared" ca="1" si="1"/>
        <v>12</v>
      </c>
      <c r="Q33" s="62" t="str">
        <f t="shared" ca="1" si="3"/>
        <v>1-30 Days</v>
      </c>
    </row>
    <row r="34" spans="1:17" x14ac:dyDescent="0.3">
      <c r="A34" s="92">
        <v>32</v>
      </c>
      <c r="B34" s="93" t="s">
        <v>1332</v>
      </c>
      <c r="C34" s="79"/>
      <c r="D34" s="93" t="s">
        <v>238</v>
      </c>
      <c r="E34" s="93" t="s">
        <v>1075</v>
      </c>
      <c r="F34" s="93" t="s">
        <v>1333</v>
      </c>
      <c r="G34" s="93" t="s">
        <v>1334</v>
      </c>
      <c r="H34" s="93" t="s">
        <v>74</v>
      </c>
      <c r="I34" s="57" t="s">
        <v>75</v>
      </c>
      <c r="J34" s="94">
        <v>46191.383333333331</v>
      </c>
      <c r="K34" s="79"/>
      <c r="L34" s="79"/>
      <c r="M34" s="93" t="s">
        <v>77</v>
      </c>
      <c r="N34" s="59">
        <f>IF(ISBLANK(J34),"",IF(OR(M34="Completed",M34="Closed"),"",IF(H34="Issue",IF(I34="High",WORKDAY(J34,2,DATA!A33:A61),IF(I34="Medium",WORKDAY(J34,14,DATA!A33:A61),IF(OR(I34="Low"),WORKDAY(J34,30,DATA!A33:A61),""))),
"")
))</f>
        <v>46211</v>
      </c>
      <c r="O34" s="60">
        <f ca="1">IF(OR(ISBLANK(#REF!), M34="Completed", M34="Closed", H34&lt;&gt;"Issue"), "",
   (NETWORKDAYS.INTL(TODAY(), N34, 1, DATA!A33:A61) - 1))</f>
        <v>-12</v>
      </c>
      <c r="P34" s="78">
        <f t="shared" ca="1" si="1"/>
        <v>12</v>
      </c>
      <c r="Q34" s="62" t="str">
        <f t="shared" ca="1" si="3"/>
        <v>1-30 Days</v>
      </c>
    </row>
    <row r="35" spans="1:17" x14ac:dyDescent="0.3">
      <c r="A35" s="57"/>
      <c r="B35" s="57"/>
      <c r="C35" s="57"/>
      <c r="D35" s="57"/>
      <c r="E35" s="57"/>
      <c r="F35" s="57"/>
      <c r="G35" s="57"/>
      <c r="H35" s="57"/>
      <c r="I35" s="57" t="s">
        <v>75</v>
      </c>
      <c r="J35" s="58"/>
      <c r="K35" s="66"/>
      <c r="L35" s="66"/>
      <c r="M35" s="57"/>
      <c r="N35" s="59" t="str">
        <f>IF(ISBLANK(J35),"",IF(OR(M35="Completed",M35="Closed"),"",IF(H35="Issue",IF(I35="High",WORKDAY(J35,2,DATA!A34:A62),IF(I35="Medium",WORKDAY(J35,14,DATA!A34:A62),IF(OR(I35="Low"),WORKDAY(J35,30,DATA!A34:A62),""))),
"")
))</f>
        <v/>
      </c>
      <c r="O35" s="60" t="str">
        <f ca="1">IF(OR(ISBLANK(#REF!), M35="Completed", M35="Closed", H35&lt;&gt;"Issue"), "",
   (NETWORKDAYS.INTL(TODAY(), N35, 1, DATA!A34:A62) - 1))</f>
        <v/>
      </c>
      <c r="P35" s="78" t="str">
        <f t="shared" ca="1" si="1"/>
        <v/>
      </c>
      <c r="Q35" s="62" t="str">
        <f t="shared" ca="1" si="3"/>
        <v/>
      </c>
    </row>
    <row r="36" spans="1:17" x14ac:dyDescent="0.3">
      <c r="A36" s="57"/>
      <c r="B36" s="57"/>
      <c r="C36" s="57"/>
      <c r="D36" s="57"/>
      <c r="E36" s="57"/>
      <c r="F36" s="57"/>
      <c r="G36" s="57"/>
      <c r="H36" s="57"/>
      <c r="I36" s="57" t="s">
        <v>75</v>
      </c>
      <c r="J36" s="58"/>
      <c r="K36" s="66"/>
      <c r="L36" s="66"/>
      <c r="M36" s="57"/>
      <c r="N36" s="59" t="str">
        <f>IF(ISBLANK(J36),"",IF(OR(M36="Completed",M36="Closed"),"",IF(H36="Issue",IF(I36="High",WORKDAY(J36,2,DATA!A35:A63),IF(I36="Medium",WORKDAY(J36,14,DATA!A35:A63),IF(OR(I36="Low"),WORKDAY(J36,30,DATA!A35:A63),""))),
"")
))</f>
        <v/>
      </c>
      <c r="O36" s="60" t="str">
        <f ca="1">IF(OR(ISBLANK(#REF!), M36="Completed", M36="Closed", H36&lt;&gt;"Issue"), "",
   (NETWORKDAYS.INTL(TODAY(), N36, 1, DATA!A35:A63) - 1))</f>
        <v/>
      </c>
      <c r="P36" s="78" t="str">
        <f t="shared" ca="1" si="1"/>
        <v/>
      </c>
      <c r="Q36" s="62" t="str">
        <f t="shared" ca="1" si="3"/>
        <v/>
      </c>
    </row>
    <row r="37" spans="1:17" x14ac:dyDescent="0.3">
      <c r="A37" s="57"/>
      <c r="B37" s="57"/>
      <c r="C37" s="57"/>
      <c r="D37" s="57"/>
      <c r="E37" s="57"/>
      <c r="F37" s="57"/>
      <c r="G37" s="57"/>
      <c r="H37" s="57"/>
      <c r="I37" s="57" t="s">
        <v>75</v>
      </c>
      <c r="J37" s="58"/>
      <c r="K37" s="58"/>
      <c r="L37" s="58"/>
      <c r="M37" s="57"/>
      <c r="N37" s="59" t="str">
        <f>IF(ISBLANK(J37),"",IF(OR(M37="Completed",M37="Closed"),"",IF(H37="Issue",IF(I37="High",WORKDAY(J37,2,DATA!A36:A64),IF(I37="Medium",WORKDAY(J37,14,DATA!A36:A64),IF(OR(I37="Low"),WORKDAY(J37,30,DATA!A36:A64),""))),
"")
))</f>
        <v/>
      </c>
      <c r="O37" s="60" t="str">
        <f ca="1">IF(OR(ISBLANK(#REF!), M37="Completed", M37="Closed", H37&lt;&gt;"Issue"), "",
   (NETWORKDAYS.INTL(TODAY(), N37, 1, DATA!A36:A64) - 1))</f>
        <v/>
      </c>
      <c r="P37" s="78" t="str">
        <f t="shared" ca="1" si="1"/>
        <v/>
      </c>
      <c r="Q37" s="62" t="str">
        <f t="shared" ca="1" si="3"/>
        <v/>
      </c>
    </row>
    <row r="38" spans="1:17" x14ac:dyDescent="0.3">
      <c r="A38" s="57"/>
      <c r="B38" s="57"/>
      <c r="C38" s="57"/>
      <c r="D38" s="57"/>
      <c r="E38" s="57"/>
      <c r="F38" s="57"/>
      <c r="G38" s="57"/>
      <c r="H38" s="57"/>
      <c r="I38" s="57" t="s">
        <v>75</v>
      </c>
      <c r="J38" s="58"/>
      <c r="K38" s="58"/>
      <c r="L38" s="66"/>
      <c r="M38" s="57"/>
      <c r="N38" s="59" t="str">
        <f>IF(ISBLANK(J38),"",IF(OR(M38="Completed",M38="Closed"),"",IF(H38="Issue",IF(I38="High",WORKDAY(J38,2,DATA!A37:A65),IF(I38="Medium",WORKDAY(J38,14,DATA!A37:A65),IF(OR(I38="Low"),WORKDAY(J38,30,DATA!A37:A65),""))),
"")
))</f>
        <v/>
      </c>
      <c r="O38" s="60" t="str">
        <f ca="1">IF(OR(ISBLANK(#REF!), M38="Completed", M38="Closed", H38&lt;&gt;"Issue"), "",
   (NETWORKDAYS.INTL(TODAY(), N38, 1, DATA!A37:A65) - 1))</f>
        <v/>
      </c>
      <c r="P38" s="78" t="str">
        <f t="shared" ca="1" si="1"/>
        <v/>
      </c>
      <c r="Q38" s="62" t="str">
        <f t="shared" ca="1" si="3"/>
        <v/>
      </c>
    </row>
    <row r="39" spans="1:17" x14ac:dyDescent="0.3">
      <c r="A39" s="57"/>
      <c r="B39" s="57"/>
      <c r="C39" s="57"/>
      <c r="D39" s="57"/>
      <c r="E39" s="57"/>
      <c r="F39" s="57"/>
      <c r="G39" s="57"/>
      <c r="H39" s="57"/>
      <c r="I39" s="57" t="s">
        <v>75</v>
      </c>
      <c r="J39" s="58"/>
      <c r="K39" s="66"/>
      <c r="L39" s="66"/>
      <c r="M39" s="57"/>
      <c r="N39" s="59" t="str">
        <f>IF(ISBLANK(J39),"",IF(OR(M39="Completed",M39="Closed"),"",IF(H39="Issue",IF(I39="High",WORKDAY(J39,2,DATA!A38:A66),IF(I39="Medium",WORKDAY(J39,14,DATA!A38:A66),IF(OR(I39="Low"),WORKDAY(J39,30,DATA!A38:A66),""))),
"")
))</f>
        <v/>
      </c>
      <c r="O39" s="60" t="str">
        <f ca="1">IF(OR(ISBLANK(#REF!), M39="Completed", M39="Closed", H39&lt;&gt;"Issue"), "",
   (NETWORKDAYS.INTL(TODAY(), N39, 1, DATA!A38:A66) - 1))</f>
        <v/>
      </c>
      <c r="P39" s="78" t="str">
        <f t="shared" ca="1" si="1"/>
        <v/>
      </c>
      <c r="Q39" s="62" t="str">
        <f t="shared" ca="1" si="3"/>
        <v/>
      </c>
    </row>
    <row r="40" spans="1:17" x14ac:dyDescent="0.3">
      <c r="A40" s="57"/>
      <c r="B40" s="57"/>
      <c r="C40" s="57"/>
      <c r="D40" s="57"/>
      <c r="E40" s="57"/>
      <c r="F40" s="57"/>
      <c r="G40" s="57"/>
      <c r="H40" s="57"/>
      <c r="I40" s="57" t="s">
        <v>75</v>
      </c>
      <c r="J40" s="58"/>
      <c r="K40" s="66"/>
      <c r="L40" s="66"/>
      <c r="M40" s="57"/>
      <c r="N40" s="59" t="str">
        <f>IF(ISBLANK(J40),"",IF(OR(M40="Completed",M40="Closed"),"",IF(H40="Issue",IF(I40="High",WORKDAY(J40,2,DATA!A39:A67),IF(I40="Medium",WORKDAY(J40,14,DATA!A39:A67),IF(OR(I40="Low"),WORKDAY(J40,30,DATA!A39:A67),""))),
"")
))</f>
        <v/>
      </c>
      <c r="O40" s="60" t="str">
        <f ca="1">IF(OR(ISBLANK(#REF!), M40="Completed", M40="Closed", H40&lt;&gt;"Issue"), "",
   (NETWORKDAYS.INTL(TODAY(), N40, 1, DATA!A39:A67) - 1))</f>
        <v/>
      </c>
      <c r="P40" s="78" t="str">
        <f t="shared" ca="1" si="1"/>
        <v/>
      </c>
      <c r="Q40" s="62" t="str">
        <f t="shared" ca="1" si="3"/>
        <v/>
      </c>
    </row>
    <row r="41" spans="1:17" x14ac:dyDescent="0.3">
      <c r="A41" s="57"/>
      <c r="B41" s="57"/>
      <c r="C41" s="57"/>
      <c r="D41" s="57"/>
      <c r="E41" s="57"/>
      <c r="F41" s="57"/>
      <c r="G41" s="57"/>
      <c r="H41" s="57"/>
      <c r="I41" s="57" t="s">
        <v>75</v>
      </c>
      <c r="J41" s="58"/>
      <c r="K41" s="66"/>
      <c r="L41" s="66"/>
      <c r="M41" s="57"/>
      <c r="N41" s="59" t="str">
        <f>IF(ISBLANK(J41),"",IF(OR(M41="Completed",M41="Closed"),"",IF(H41="Issue",IF(I41="High",WORKDAY(J41,2,DATA!A40:A68),IF(I41="Medium",WORKDAY(J41,14,DATA!A40:A68),IF(OR(I41="Low"),WORKDAY(J41,30,DATA!A40:A68),""))),
"")
))</f>
        <v/>
      </c>
      <c r="O41" s="60" t="str">
        <f ca="1">IF(OR(ISBLANK(#REF!), M41="Completed", M41="Closed", H41&lt;&gt;"Issue"), "",
   (NETWORKDAYS.INTL(TODAY(), N41, 1, DATA!A40:A68) - 1))</f>
        <v/>
      </c>
      <c r="P41" s="78" t="str">
        <f t="shared" ca="1" si="1"/>
        <v/>
      </c>
      <c r="Q41" s="62" t="str">
        <f t="shared" ca="1" si="3"/>
        <v/>
      </c>
    </row>
    <row r="42" spans="1:17" x14ac:dyDescent="0.3">
      <c r="A42" s="57"/>
      <c r="B42" s="57"/>
      <c r="C42" s="57"/>
      <c r="D42" s="57"/>
      <c r="E42" s="57"/>
      <c r="F42" s="57"/>
      <c r="G42" s="57"/>
      <c r="H42" s="57"/>
      <c r="I42" s="57" t="s">
        <v>75</v>
      </c>
      <c r="J42" s="58"/>
      <c r="K42" s="66"/>
      <c r="L42" s="66"/>
      <c r="M42" s="57"/>
      <c r="N42" s="59" t="str">
        <f>IF(ISBLANK(J42),"",IF(OR(M42="Completed",M42="Closed"),"",IF(H42="Issue",IF(I42="High",WORKDAY(J42,2,DATA!A41:A69),IF(I42="Medium",WORKDAY(J42,14,DATA!A41:A69),IF(OR(I42="Low"),WORKDAY(J42,30,DATA!A41:A69),""))),
"")
))</f>
        <v/>
      </c>
      <c r="O42" s="60" t="str">
        <f ca="1">IF(OR(ISBLANK(#REF!), M42="Completed", M42="Closed", H42&lt;&gt;"Issue"), "",
   (NETWORKDAYS.INTL(TODAY(), N42, 1, DATA!A41:A69) - 1))</f>
        <v/>
      </c>
      <c r="P42" s="78" t="str">
        <f t="shared" ca="1" si="1"/>
        <v/>
      </c>
      <c r="Q42" s="62" t="str">
        <f t="shared" ca="1" si="3"/>
        <v/>
      </c>
    </row>
    <row r="43" spans="1:17" x14ac:dyDescent="0.3">
      <c r="A43" s="57"/>
      <c r="B43" s="57"/>
      <c r="C43" s="57"/>
      <c r="D43" s="57"/>
      <c r="E43" s="57"/>
      <c r="F43" s="57"/>
      <c r="G43" s="57"/>
      <c r="H43" s="57"/>
      <c r="I43" s="57" t="s">
        <v>75</v>
      </c>
      <c r="J43" s="58"/>
      <c r="K43" s="58"/>
      <c r="L43" s="58"/>
      <c r="M43" s="57"/>
      <c r="N43" s="59" t="str">
        <f>IF(ISBLANK(J43),"",IF(OR(M43="Completed",M43="Closed"),"",IF(H43="Issue",IF(I43="High",WORKDAY(J43,2,DATA!A42:A70),IF(I43="Medium",WORKDAY(J43,14,DATA!A42:A70),IF(OR(I43="Low"),WORKDAY(J43,30,DATA!A42:A70),""))),
"")
))</f>
        <v/>
      </c>
      <c r="O43" s="60" t="str">
        <f ca="1">IF(OR(ISBLANK(#REF!), M43="Completed", M43="Closed", H43&lt;&gt;"Issue"), "",
   (NETWORKDAYS.INTL(TODAY(), N43, 1, DATA!A42:A70) - 1))</f>
        <v/>
      </c>
      <c r="P43" s="78" t="str">
        <f t="shared" ca="1" si="1"/>
        <v/>
      </c>
      <c r="Q43" s="62" t="str">
        <f t="shared" ca="1" si="3"/>
        <v/>
      </c>
    </row>
    <row r="44" spans="1:17" x14ac:dyDescent="0.3">
      <c r="A44" s="57"/>
      <c r="B44" s="57"/>
      <c r="C44" s="57"/>
      <c r="D44" s="57"/>
      <c r="E44" s="57"/>
      <c r="F44" s="57"/>
      <c r="G44" s="57"/>
      <c r="H44" s="57"/>
      <c r="I44" s="57" t="s">
        <v>75</v>
      </c>
      <c r="J44" s="58"/>
      <c r="K44" s="66"/>
      <c r="L44" s="66"/>
      <c r="M44" s="57"/>
      <c r="N44" s="59" t="str">
        <f>IF(ISBLANK(J44),"",IF(OR(M44="Completed",M44="Closed"),"",IF(H44="Issue",IF(I44="High",WORKDAY(J44,2,DATA!A43:A71),IF(I44="Medium",WORKDAY(J44,14,DATA!A43:A71),IF(OR(I44="Low"),WORKDAY(J44,30,DATA!A43:A71),""))),
"")
))</f>
        <v/>
      </c>
      <c r="O44" s="60" t="str">
        <f ca="1">IF(OR(ISBLANK(#REF!), M44="Completed", M44="Closed", H44&lt;&gt;"Issue"), "",
   (NETWORKDAYS.INTL(TODAY(), N44, 1, DATA!A43:A71) - 1))</f>
        <v/>
      </c>
      <c r="P44" s="78" t="str">
        <f t="shared" ca="1" si="1"/>
        <v/>
      </c>
      <c r="Q44" s="62" t="str">
        <f t="shared" ca="1" si="3"/>
        <v/>
      </c>
    </row>
    <row r="45" spans="1:17" x14ac:dyDescent="0.3">
      <c r="A45" s="57"/>
      <c r="B45" s="57"/>
      <c r="C45" s="57"/>
      <c r="D45" s="57"/>
      <c r="E45" s="57"/>
      <c r="F45" s="57"/>
      <c r="G45" s="57"/>
      <c r="H45" s="57"/>
      <c r="I45" s="57" t="s">
        <v>75</v>
      </c>
      <c r="J45" s="58"/>
      <c r="K45" s="58"/>
      <c r="L45" s="58"/>
      <c r="M45" s="57"/>
      <c r="N45" s="59" t="str">
        <f>IF(ISBLANK(J45),"",IF(OR(M45="Completed",M45="Closed"),"",IF(H45="Issue",IF(I45="High",WORKDAY(J45,2,DATA!A44:A72),IF(I45="Medium",WORKDAY(J45,14,DATA!A44:A72),IF(OR(I45="Low"),WORKDAY(J45,30,DATA!A44:A72),""))),
"")
))</f>
        <v/>
      </c>
      <c r="O45" s="60" t="str">
        <f ca="1">IF(OR(ISBLANK(#REF!), M45="Completed", M45="Closed", H45&lt;&gt;"Issue"), "",
   (NETWORKDAYS.INTL(TODAY(), N45, 1, DATA!A44:A72) - 1))</f>
        <v/>
      </c>
      <c r="P45" s="78" t="str">
        <f t="shared" ca="1" si="1"/>
        <v/>
      </c>
      <c r="Q45" s="62" t="str">
        <f t="shared" ca="1" si="3"/>
        <v/>
      </c>
    </row>
    <row r="46" spans="1:17" x14ac:dyDescent="0.3">
      <c r="A46" s="57"/>
      <c r="B46" s="57"/>
      <c r="C46" s="57"/>
      <c r="D46" s="57"/>
      <c r="E46" s="57"/>
      <c r="F46" s="57"/>
      <c r="G46" s="57"/>
      <c r="H46" s="57"/>
      <c r="I46" s="57" t="s">
        <v>75</v>
      </c>
      <c r="J46" s="58"/>
      <c r="K46" s="58"/>
      <c r="L46" s="58"/>
      <c r="M46" s="57"/>
      <c r="N46" s="59" t="str">
        <f>IF(ISBLANK(J46),"",IF(OR(M46="Completed",M46="Closed"),"",IF(H46="Issue",IF(I46="High",WORKDAY(J46,2,DATA!A45:A73),IF(I46="Medium",WORKDAY(J46,14,DATA!A45:A73),IF(OR(I46="Low"),WORKDAY(J46,30,DATA!A45:A73),""))),
"")
))</f>
        <v/>
      </c>
      <c r="O46" s="60" t="str">
        <f ca="1">IF(OR(ISBLANK(#REF!), M46="Completed", M46="Closed", H46&lt;&gt;"Issue"), "",
   (NETWORKDAYS.INTL(TODAY(), N46, 1, DATA!A45:A73) - 1))</f>
        <v/>
      </c>
      <c r="P46" s="78" t="str">
        <f t="shared" ca="1" si="1"/>
        <v/>
      </c>
      <c r="Q46" s="62" t="str">
        <f t="shared" ca="1" si="3"/>
        <v/>
      </c>
    </row>
    <row r="47" spans="1:17" x14ac:dyDescent="0.3">
      <c r="A47" s="57"/>
      <c r="B47" s="57"/>
      <c r="C47" s="57"/>
      <c r="D47" s="57"/>
      <c r="E47" s="57"/>
      <c r="F47" s="57"/>
      <c r="G47" s="57"/>
      <c r="H47" s="57"/>
      <c r="I47" s="57" t="s">
        <v>75</v>
      </c>
      <c r="J47" s="58"/>
      <c r="K47" s="66"/>
      <c r="L47" s="66"/>
      <c r="M47" s="57"/>
      <c r="N47" s="59" t="str">
        <f>IF(ISBLANK(J47),"",IF(OR(M47="Completed",M47="Closed"),"",IF(H47="Issue",IF(I47="High",WORKDAY(J47,2,DATA!A46:A74),IF(I47="Medium",WORKDAY(J47,14,DATA!A46:A74),IF(OR(I47="Low"),WORKDAY(J47,30,DATA!A46:A74),""))),
"")
))</f>
        <v/>
      </c>
      <c r="O47" s="60" t="str">
        <f ca="1">IF(OR(ISBLANK(#REF!), M47="Completed", M47="Closed", H47&lt;&gt;"Issue"), "",
   (NETWORKDAYS.INTL(TODAY(), N47, 1, DATA!A46:A74) - 1))</f>
        <v/>
      </c>
      <c r="P47" s="78" t="str">
        <f t="shared" ca="1" si="1"/>
        <v/>
      </c>
      <c r="Q47" s="62" t="str">
        <f t="shared" ca="1" si="3"/>
        <v/>
      </c>
    </row>
    <row r="48" spans="1:17" x14ac:dyDescent="0.3">
      <c r="A48" s="57"/>
      <c r="B48" s="57"/>
      <c r="C48" s="57"/>
      <c r="D48" s="57"/>
      <c r="E48" s="57"/>
      <c r="F48" s="57"/>
      <c r="G48" s="57"/>
      <c r="H48" s="57"/>
      <c r="I48" s="57" t="s">
        <v>75</v>
      </c>
      <c r="J48" s="58"/>
      <c r="K48" s="66"/>
      <c r="L48" s="66"/>
      <c r="M48" s="57"/>
      <c r="N48" s="59" t="str">
        <f>IF(ISBLANK(J48),"",IF(OR(M48="Completed",M48="Closed"),"",IF(H48="Issue",IF(I48="High",WORKDAY(J48,2,DATA!A47:A75),IF(I48="Medium",WORKDAY(J48,14,DATA!A47:A75),IF(OR(I48="Low"),WORKDAY(J48,30,DATA!A47:A75),""))),
"")
))</f>
        <v/>
      </c>
      <c r="O48" s="60" t="str">
        <f ca="1">IF(OR(ISBLANK(#REF!), M48="Completed", M48="Closed", H48&lt;&gt;"Issue"), "",
   (NETWORKDAYS.INTL(TODAY(), N48, 1, DATA!A47:A75) - 1))</f>
        <v/>
      </c>
      <c r="P48" s="78" t="str">
        <f t="shared" ca="1" si="1"/>
        <v/>
      </c>
      <c r="Q48" s="62" t="str">
        <f t="shared" ca="1" si="3"/>
        <v/>
      </c>
    </row>
    <row r="49" spans="1:17" x14ac:dyDescent="0.3">
      <c r="A49" s="57"/>
      <c r="B49" s="57"/>
      <c r="C49" s="57"/>
      <c r="D49" s="57"/>
      <c r="E49" s="57"/>
      <c r="F49" s="57"/>
      <c r="G49" s="57"/>
      <c r="H49" s="57"/>
      <c r="I49" s="57" t="s">
        <v>75</v>
      </c>
      <c r="J49" s="58"/>
      <c r="K49" s="58"/>
      <c r="L49" s="58"/>
      <c r="M49" s="57"/>
      <c r="N49" s="59" t="str">
        <f>IF(ISBLANK(J49),"",IF(OR(M49="Completed",M49="Closed"),"",IF(H49="Issue",IF(I49="High",WORKDAY(J49,2,DATA!A48:A76),IF(I49="Medium",WORKDAY(J49,14,DATA!A48:A76),IF(OR(I49="Low"),WORKDAY(J49,30,DATA!A48:A76),""))),
"")
))</f>
        <v/>
      </c>
      <c r="O49" s="60" t="str">
        <f ca="1">IF(OR(ISBLANK(#REF!), M49="Completed", M49="Closed", H49&lt;&gt;"Issue"), "",
   (NETWORKDAYS.INTL(TODAY(), N49, 1, DATA!A48:A76) - 1))</f>
        <v/>
      </c>
      <c r="P49" s="78" t="str">
        <f t="shared" ca="1" si="1"/>
        <v/>
      </c>
      <c r="Q49" s="62" t="str">
        <f t="shared" ca="1" si="3"/>
        <v/>
      </c>
    </row>
    <row r="50" spans="1:17" x14ac:dyDescent="0.3">
      <c r="A50" s="57"/>
      <c r="B50" s="57"/>
      <c r="C50" s="57"/>
      <c r="D50" s="57"/>
      <c r="E50" s="57"/>
      <c r="F50" s="57"/>
      <c r="G50" s="57"/>
      <c r="H50" s="57"/>
      <c r="I50" s="57" t="s">
        <v>75</v>
      </c>
      <c r="J50" s="58"/>
      <c r="K50" s="58"/>
      <c r="L50" s="58"/>
      <c r="M50" s="57"/>
      <c r="N50" s="59" t="str">
        <f>IF(ISBLANK(J50),"",IF(OR(M50="Completed",M50="Closed"),"",IF(H50="Issue",IF(I50="High",WORKDAY(J50,2,DATA!A49:A77),IF(I50="Medium",WORKDAY(J50,14,DATA!A49:A77),IF(OR(I50="Low"),WORKDAY(J50,30,DATA!A49:A77),""))),
"")
))</f>
        <v/>
      </c>
      <c r="O50" s="60" t="str">
        <f ca="1">IF(OR(ISBLANK(#REF!), M50="Completed", M50="Closed", H50&lt;&gt;"Issue"), "",
   (NETWORKDAYS.INTL(TODAY(), N50, 1, DATA!A49:A77) - 1))</f>
        <v/>
      </c>
      <c r="P50" s="78" t="str">
        <f t="shared" ca="1" si="1"/>
        <v/>
      </c>
      <c r="Q50" s="62" t="str">
        <f t="shared" ca="1" si="3"/>
        <v/>
      </c>
    </row>
    <row r="51" spans="1:17" x14ac:dyDescent="0.3">
      <c r="A51" s="57"/>
      <c r="B51" s="57"/>
      <c r="C51" s="57"/>
      <c r="D51" s="57"/>
      <c r="E51" s="57"/>
      <c r="F51" s="57"/>
      <c r="G51" s="57"/>
      <c r="H51" s="57"/>
      <c r="I51" s="57" t="s">
        <v>75</v>
      </c>
      <c r="J51" s="58"/>
      <c r="K51" s="58"/>
      <c r="L51" s="58"/>
      <c r="M51" s="57"/>
      <c r="N51" s="59" t="str">
        <f>IF(ISBLANK(J51),"",IF(OR(M51="Completed",M51="Closed"),"",IF(H51="Issue",IF(I51="High",WORKDAY(J51,2,DATA!A50:A78),IF(I51="Medium",WORKDAY(J51,14,DATA!A50:A78),IF(OR(I51="Low"),WORKDAY(J51,30,DATA!A50:A78),""))),
"")
))</f>
        <v/>
      </c>
      <c r="O51" s="60" t="str">
        <f ca="1">IF(OR(ISBLANK(#REF!), M51="Completed", M51="Closed", H51&lt;&gt;"Issue"), "",
   (NETWORKDAYS.INTL(TODAY(), N51, 1, DATA!A50:A78) - 1))</f>
        <v/>
      </c>
      <c r="P51" s="78" t="str">
        <f t="shared" ca="1" si="1"/>
        <v/>
      </c>
      <c r="Q51" s="62" t="str">
        <f t="shared" ca="1" si="3"/>
        <v/>
      </c>
    </row>
    <row r="52" spans="1:17" x14ac:dyDescent="0.3">
      <c r="A52" s="57"/>
      <c r="B52" s="57"/>
      <c r="C52" s="57"/>
      <c r="D52" s="57"/>
      <c r="E52" s="57"/>
      <c r="F52" s="57"/>
      <c r="G52" s="57"/>
      <c r="H52" s="57"/>
      <c r="I52" s="57" t="s">
        <v>75</v>
      </c>
      <c r="J52" s="58"/>
      <c r="K52" s="58"/>
      <c r="L52" s="58"/>
      <c r="M52" s="57"/>
      <c r="N52" s="59" t="str">
        <f>IF(ISBLANK(J52),"",IF(OR(M52="Completed",M52="Closed"),"",IF(H52="Issue",IF(I52="High",WORKDAY(J52,2,DATA!A51:A79),IF(I52="Medium",WORKDAY(J52,14,DATA!A51:A79),IF(OR(I52="Low"),WORKDAY(J52,30,DATA!A51:A79),""))),
"")
))</f>
        <v/>
      </c>
      <c r="O52" s="60" t="str">
        <f ca="1">IF(OR(ISBLANK(#REF!), M52="Completed", M52="Closed", H52&lt;&gt;"Issue"), "",
   (NETWORKDAYS.INTL(TODAY(), N52, 1, DATA!A51:A79) - 1))</f>
        <v/>
      </c>
      <c r="P52" s="78" t="str">
        <f t="shared" ca="1" si="1"/>
        <v/>
      </c>
      <c r="Q52" s="62" t="str">
        <f t="shared" ca="1" si="3"/>
        <v/>
      </c>
    </row>
    <row r="53" spans="1:17" x14ac:dyDescent="0.3">
      <c r="A53" s="57"/>
      <c r="B53" s="57"/>
      <c r="C53" s="57"/>
      <c r="D53" s="57"/>
      <c r="E53" s="57"/>
      <c r="F53" s="57"/>
      <c r="G53" s="57"/>
      <c r="H53" s="57"/>
      <c r="I53" s="57" t="s">
        <v>75</v>
      </c>
      <c r="J53" s="58"/>
      <c r="K53" s="66"/>
      <c r="L53" s="66"/>
      <c r="M53" s="57"/>
      <c r="N53" s="59" t="str">
        <f>IF(ISBLANK(J53),"",IF(OR(M53="Completed",M53="Closed"),"",IF(H53="Issue",IF(I53="High",WORKDAY(J53,2,DATA!A52:A80),IF(I53="Medium",WORKDAY(J53,14,DATA!A52:A80),IF(OR(I53="Low"),WORKDAY(J53,30,DATA!A52:A80),""))),
"")
))</f>
        <v/>
      </c>
      <c r="O53" s="60" t="str">
        <f ca="1">IF(OR(ISBLANK(#REF!), M53="Completed", M53="Closed", H53&lt;&gt;"Issue"), "",
   (NETWORKDAYS.INTL(TODAY(), N53, 1, DATA!A52:A80) - 1))</f>
        <v/>
      </c>
      <c r="P53" s="78" t="str">
        <f t="shared" ca="1" si="1"/>
        <v/>
      </c>
      <c r="Q53" s="62" t="str">
        <f t="shared" ca="1" si="3"/>
        <v/>
      </c>
    </row>
    <row r="54" spans="1:17" x14ac:dyDescent="0.3">
      <c r="A54" s="57"/>
      <c r="B54" s="57"/>
      <c r="C54" s="57"/>
      <c r="D54" s="57"/>
      <c r="E54" s="57"/>
      <c r="F54" s="57"/>
      <c r="G54" s="57"/>
      <c r="H54" s="57"/>
      <c r="I54" s="57" t="s">
        <v>75</v>
      </c>
      <c r="J54" s="58"/>
      <c r="K54" s="58"/>
      <c r="L54" s="58"/>
      <c r="M54" s="57"/>
      <c r="N54" s="59" t="str">
        <f>IF(ISBLANK(J54),"",IF(OR(M54="Completed",M54="Closed"),"",IF(H54="Issue",IF(I54="High",WORKDAY(J54,2,DATA!A53:A81),IF(I54="Medium",WORKDAY(J54,14,DATA!A53:A81),IF(OR(I54="Low"),WORKDAY(J54,30,DATA!A53:A81),""))),
"")
))</f>
        <v/>
      </c>
      <c r="O54" s="60" t="str">
        <f ca="1">IF(OR(ISBLANK(#REF!), M54="Completed", M54="Closed", H54&lt;&gt;"Issue"), "",
   (NETWORKDAYS.INTL(TODAY(), N54, 1, DATA!A53:A81) - 1))</f>
        <v/>
      </c>
      <c r="P54" s="78" t="str">
        <f t="shared" ca="1" si="1"/>
        <v/>
      </c>
      <c r="Q54" s="62" t="str">
        <f t="shared" ca="1" si="3"/>
        <v/>
      </c>
    </row>
    <row r="55" spans="1:17" x14ac:dyDescent="0.3">
      <c r="A55" s="57"/>
      <c r="B55" s="57"/>
      <c r="C55" s="57"/>
      <c r="D55" s="57"/>
      <c r="E55" s="57"/>
      <c r="F55" s="57"/>
      <c r="G55" s="57"/>
      <c r="H55" s="57"/>
      <c r="I55" s="57" t="s">
        <v>75</v>
      </c>
      <c r="J55" s="58"/>
      <c r="K55" s="66"/>
      <c r="L55" s="66"/>
      <c r="M55" s="57"/>
      <c r="N55" s="59" t="str">
        <f>IF(ISBLANK(J55),"",IF(OR(M55="Completed",M55="Closed"),"",IF(H55="Issue",IF(I55="High",WORKDAY(J55,2,DATA!A54:A82),IF(I55="Medium",WORKDAY(J55,14,DATA!A54:A82),IF(OR(I55="Low"),WORKDAY(J55,30,DATA!A54:A82),""))),
"")
))</f>
        <v/>
      </c>
      <c r="O55" s="60" t="str">
        <f ca="1">IF(OR(ISBLANK(#REF!), M55="Completed", M55="Closed", H55&lt;&gt;"Issue"), "",
   (NETWORKDAYS.INTL(TODAY(), N55, 1, DATA!A54:A82) - 1))</f>
        <v/>
      </c>
      <c r="P55" s="78" t="str">
        <f t="shared" ca="1" si="1"/>
        <v/>
      </c>
      <c r="Q55" s="62" t="str">
        <f t="shared" ca="1" si="3"/>
        <v/>
      </c>
    </row>
    <row r="56" spans="1:17" x14ac:dyDescent="0.3">
      <c r="A56" s="57"/>
      <c r="B56" s="57"/>
      <c r="C56" s="57"/>
      <c r="D56" s="57"/>
      <c r="E56" s="57"/>
      <c r="F56" s="57"/>
      <c r="G56" s="57"/>
      <c r="H56" s="57"/>
      <c r="I56" s="57" t="s">
        <v>75</v>
      </c>
      <c r="J56" s="58"/>
      <c r="K56" s="66"/>
      <c r="L56" s="66"/>
      <c r="M56" s="57"/>
      <c r="N56" s="59" t="str">
        <f>IF(ISBLANK(J56),"",IF(OR(M56="Completed",M56="Closed"),"",IF(H56="Issue",IF(I56="High",WORKDAY(J56,2,DATA!A55:A83),IF(I56="Medium",WORKDAY(J56,14,DATA!A55:A83),IF(OR(I56="Low"),WORKDAY(J56,30,DATA!A55:A83),""))),
"")
))</f>
        <v/>
      </c>
      <c r="O56" s="60" t="str">
        <f ca="1">IF(OR(ISBLANK(#REF!), M56="Completed", M56="Closed", H56&lt;&gt;"Issue"), "",
   (NETWORKDAYS.INTL(TODAY(), N56, 1, DATA!A55:A83) - 1))</f>
        <v/>
      </c>
      <c r="P56" s="78" t="str">
        <f t="shared" ca="1" si="1"/>
        <v/>
      </c>
      <c r="Q56" s="62" t="str">
        <f t="shared" ca="1" si="3"/>
        <v/>
      </c>
    </row>
    <row r="57" spans="1:17" x14ac:dyDescent="0.3">
      <c r="A57" s="57"/>
      <c r="B57" s="57"/>
      <c r="C57" s="57"/>
      <c r="D57" s="57"/>
      <c r="E57" s="57"/>
      <c r="F57" s="57"/>
      <c r="G57" s="57"/>
      <c r="H57" s="57"/>
      <c r="I57" s="57" t="s">
        <v>75</v>
      </c>
      <c r="J57" s="58"/>
      <c r="K57" s="66"/>
      <c r="L57" s="66"/>
      <c r="M57" s="57"/>
      <c r="N57" s="59" t="str">
        <f>IF(ISBLANK(J57),"",IF(OR(M57="Completed",M57="Closed"),"",IF(H57="Issue",IF(I57="High",WORKDAY(J57,2,DATA!A56:A84),IF(I57="Medium",WORKDAY(J57,14,DATA!A56:A84),IF(OR(I57="Low"),WORKDAY(J57,30,DATA!A56:A84),""))),
"")
))</f>
        <v/>
      </c>
      <c r="O57" s="60" t="str">
        <f ca="1">IF(OR(ISBLANK(#REF!), M57="Completed", M57="Closed", H57&lt;&gt;"Issue"), "",
   (NETWORKDAYS.INTL(TODAY(), N57, 1, DATA!A56:A84) - 1))</f>
        <v/>
      </c>
      <c r="P57" s="78" t="str">
        <f t="shared" ca="1" si="1"/>
        <v/>
      </c>
      <c r="Q57" s="62" t="str">
        <f t="shared" ca="1" si="3"/>
        <v/>
      </c>
    </row>
    <row r="58" spans="1:17" x14ac:dyDescent="0.3">
      <c r="A58" s="57"/>
      <c r="B58" s="57"/>
      <c r="C58" s="57"/>
      <c r="D58" s="57"/>
      <c r="E58" s="57"/>
      <c r="F58" s="57"/>
      <c r="G58" s="57"/>
      <c r="H58" s="57"/>
      <c r="I58" s="57" t="s">
        <v>75</v>
      </c>
      <c r="J58" s="58"/>
      <c r="K58" s="58"/>
      <c r="L58" s="58"/>
      <c r="M58" s="57"/>
      <c r="N58" s="59" t="str">
        <f>IF(ISBLANK(J58),"",IF(OR(M58="Completed",M58="Closed"),"",IF(H58="Issue",IF(I58="High",WORKDAY(J58,2,DATA!A57:A85),IF(I58="Medium",WORKDAY(J58,14,DATA!A57:A85),IF(OR(I58="Low"),WORKDAY(J58,30,DATA!A57:A85),""))),
"")
))</f>
        <v/>
      </c>
      <c r="O58" s="60" t="str">
        <f ca="1">IF(OR(ISBLANK(#REF!), M58="Completed", M58="Closed", H58&lt;&gt;"Issue"), "",
   (NETWORKDAYS.INTL(TODAY(), N58, 1, DATA!A57:A85) - 1))</f>
        <v/>
      </c>
      <c r="P58" s="78" t="str">
        <f t="shared" ca="1" si="1"/>
        <v/>
      </c>
      <c r="Q58" s="62" t="str">
        <f t="shared" ca="1" si="3"/>
        <v/>
      </c>
    </row>
    <row r="59" spans="1:17" x14ac:dyDescent="0.3">
      <c r="A59" s="57"/>
      <c r="B59" s="57"/>
      <c r="C59" s="57"/>
      <c r="D59" s="57"/>
      <c r="E59" s="57"/>
      <c r="F59" s="57"/>
      <c r="G59" s="57"/>
      <c r="H59" s="57"/>
      <c r="I59" s="57" t="s">
        <v>75</v>
      </c>
      <c r="J59" s="58"/>
      <c r="K59" s="58"/>
      <c r="L59" s="66"/>
      <c r="M59" s="57"/>
      <c r="N59" s="59" t="str">
        <f>IF(ISBLANK(J59),"",IF(OR(M59="Completed",M59="Closed"),"",IF(H59="Issue",IF(I59="High",WORKDAY(J59,2,DATA!A58:A86),IF(I59="Medium",WORKDAY(J59,14,DATA!A58:A86),IF(OR(I59="Low"),WORKDAY(J59,30,DATA!A58:A86),""))),
"")
))</f>
        <v/>
      </c>
      <c r="O59" s="60" t="str">
        <f ca="1">IF(OR(ISBLANK(#REF!), M59="Completed", M59="Closed", H59&lt;&gt;"Issue"), "",
   (NETWORKDAYS.INTL(TODAY(), N59, 1, DATA!A58:A86) - 1))</f>
        <v/>
      </c>
      <c r="P59" s="78" t="str">
        <f t="shared" ca="1" si="1"/>
        <v/>
      </c>
      <c r="Q59" s="62" t="str">
        <f t="shared" ca="1" si="3"/>
        <v/>
      </c>
    </row>
    <row r="60" spans="1:17" x14ac:dyDescent="0.3">
      <c r="A60" s="57"/>
      <c r="B60" s="57"/>
      <c r="C60" s="57"/>
      <c r="D60" s="57"/>
      <c r="E60" s="57"/>
      <c r="F60" s="57"/>
      <c r="G60" s="57"/>
      <c r="H60" s="57"/>
      <c r="I60" s="57" t="s">
        <v>75</v>
      </c>
      <c r="J60" s="58"/>
      <c r="K60" s="66"/>
      <c r="L60" s="66"/>
      <c r="M60" s="57"/>
      <c r="N60" s="59" t="str">
        <f>IF(ISBLANK(J60),"",IF(OR(M60="Completed",M60="Closed"),"",IF(H60="Issue",IF(I60="High",WORKDAY(J60,2,DATA!A59:A87),IF(I60="Medium",WORKDAY(J60,14,DATA!A59:A87),IF(OR(I60="Low"),WORKDAY(J60,30,DATA!A59:A87),""))),
"")
))</f>
        <v/>
      </c>
      <c r="O60" s="60" t="str">
        <f ca="1">IF(OR(ISBLANK(#REF!), M60="Completed", M60="Closed", H60&lt;&gt;"Issue"), "",
   (NETWORKDAYS.INTL(TODAY(), N60, 1, DATA!A59:A87) - 1))</f>
        <v/>
      </c>
      <c r="P60" s="78" t="str">
        <f t="shared" ca="1" si="1"/>
        <v/>
      </c>
      <c r="Q60" s="62" t="str">
        <f t="shared" ca="1" si="3"/>
        <v/>
      </c>
    </row>
    <row r="61" spans="1:17" x14ac:dyDescent="0.3">
      <c r="A61" s="57"/>
      <c r="B61" s="57"/>
      <c r="C61" s="57"/>
      <c r="D61" s="57"/>
      <c r="E61" s="57"/>
      <c r="F61" s="57"/>
      <c r="G61" s="57"/>
      <c r="H61" s="57"/>
      <c r="I61" s="57" t="s">
        <v>75</v>
      </c>
      <c r="J61" s="58"/>
      <c r="K61" s="66"/>
      <c r="L61" s="66"/>
      <c r="M61" s="57"/>
      <c r="N61" s="59" t="str">
        <f>IF(ISBLANK(J61),"",IF(OR(M61="Completed",M61="Closed"),"",IF(H61="Issue",IF(I61="High",WORKDAY(J61,2,DATA!A60:A88),IF(I61="Medium",WORKDAY(J61,14,DATA!A60:A88),IF(OR(I61="Low"),WORKDAY(J61,30,DATA!A60:A88),""))),
"")
))</f>
        <v/>
      </c>
      <c r="O61" s="60" t="str">
        <f ca="1">IF(OR(ISBLANK(#REF!), M61="Completed", M61="Closed", H61&lt;&gt;"Issue"), "",
   (NETWORKDAYS.INTL(TODAY(), N61, 1, DATA!A60:A88) - 1))</f>
        <v/>
      </c>
      <c r="P61" s="78" t="str">
        <f t="shared" ca="1" si="1"/>
        <v/>
      </c>
      <c r="Q61" s="62" t="str">
        <f t="shared" ca="1" si="3"/>
        <v/>
      </c>
    </row>
    <row r="62" spans="1:17" x14ac:dyDescent="0.3">
      <c r="A62" s="57"/>
      <c r="B62" s="57"/>
      <c r="C62" s="57"/>
      <c r="D62" s="57"/>
      <c r="E62" s="57"/>
      <c r="F62" s="57"/>
      <c r="G62" s="57"/>
      <c r="H62" s="57"/>
      <c r="I62" s="57" t="s">
        <v>75</v>
      </c>
      <c r="J62" s="58"/>
      <c r="K62" s="58"/>
      <c r="L62" s="58"/>
      <c r="M62" s="57"/>
      <c r="N62" s="59" t="str">
        <f>IF(ISBLANK(J62),"",IF(OR(M62="Completed",M62="Closed"),"",IF(H62="Issue",IF(I62="High",WORKDAY(J62,2,DATA!A61:A89),IF(I62="Medium",WORKDAY(J62,14,DATA!A61:A89),IF(OR(I62="Low"),WORKDAY(J62,30,DATA!A61:A89),""))),
"")
))</f>
        <v/>
      </c>
      <c r="O62" s="60" t="str">
        <f ca="1">IF(OR(ISBLANK(#REF!), M62="Completed", M62="Closed", H62&lt;&gt;"Issue"), "",
   (NETWORKDAYS.INTL(TODAY(), N62, 1, DATA!A61:A89) - 1))</f>
        <v/>
      </c>
      <c r="P62" s="78" t="str">
        <f t="shared" ca="1" si="1"/>
        <v/>
      </c>
      <c r="Q62" s="62" t="str">
        <f t="shared" ca="1" si="3"/>
        <v/>
      </c>
    </row>
    <row r="63" spans="1:17" x14ac:dyDescent="0.3">
      <c r="A63" s="57"/>
      <c r="B63" s="57"/>
      <c r="C63" s="57"/>
      <c r="D63" s="57"/>
      <c r="E63" s="57"/>
      <c r="F63" s="57"/>
      <c r="G63" s="57"/>
      <c r="H63" s="57"/>
      <c r="I63" s="57" t="s">
        <v>75</v>
      </c>
      <c r="J63" s="58"/>
      <c r="K63" s="66"/>
      <c r="L63" s="66"/>
      <c r="M63" s="57"/>
      <c r="N63" s="59" t="str">
        <f>IF(ISBLANK(J63),"",IF(OR(M63="Completed",M63="Closed"),"",IF(H63="Issue",IF(I63="High",WORKDAY(J63,2,DATA!A62:A90),IF(I63="Medium",WORKDAY(J63,14,DATA!A62:A90),IF(OR(I63="Low"),WORKDAY(J63,30,DATA!A62:A90),""))),
"")
))</f>
        <v/>
      </c>
      <c r="O63" s="60" t="str">
        <f ca="1">IF(OR(ISBLANK(#REF!), M63="Completed", M63="Closed", H63&lt;&gt;"Issue"), "",
   (NETWORKDAYS.INTL(TODAY(), N63, 1, DATA!A62:A90) - 1))</f>
        <v/>
      </c>
      <c r="P63" s="78" t="str">
        <f t="shared" ca="1" si="1"/>
        <v/>
      </c>
      <c r="Q63" s="62" t="str">
        <f t="shared" ca="1" si="3"/>
        <v/>
      </c>
    </row>
    <row r="64" spans="1:17" x14ac:dyDescent="0.3">
      <c r="A64" s="57"/>
      <c r="B64" s="57"/>
      <c r="C64" s="57"/>
      <c r="D64" s="57"/>
      <c r="E64" s="57"/>
      <c r="F64" s="57"/>
      <c r="G64" s="57"/>
      <c r="H64" s="57"/>
      <c r="I64" s="57" t="s">
        <v>75</v>
      </c>
      <c r="J64" s="58"/>
      <c r="K64" s="66"/>
      <c r="L64" s="66"/>
      <c r="M64" s="57"/>
      <c r="N64" s="59" t="str">
        <f>IF(ISBLANK(J64),"",IF(OR(M64="Completed",M64="Closed"),"",IF(H64="Issue",IF(I64="High",WORKDAY(J64,2,DATA!A63:A91),IF(I64="Medium",WORKDAY(J64,14,DATA!A63:A91),IF(OR(I64="Low"),WORKDAY(J64,30,DATA!A63:A91),""))),
"")
))</f>
        <v/>
      </c>
      <c r="O64" s="60" t="str">
        <f ca="1">IF(OR(ISBLANK(#REF!), M64="Completed", M64="Closed", H64&lt;&gt;"Issue"), "",
   (NETWORKDAYS.INTL(TODAY(), N64, 1, DATA!A63:A91) - 1))</f>
        <v/>
      </c>
      <c r="P64" s="78" t="str">
        <f t="shared" ca="1" si="1"/>
        <v/>
      </c>
      <c r="Q64" s="62" t="str">
        <f t="shared" ca="1" si="3"/>
        <v/>
      </c>
    </row>
    <row r="65" spans="1:17" x14ac:dyDescent="0.3">
      <c r="A65" s="57"/>
      <c r="B65" s="57"/>
      <c r="C65" s="57"/>
      <c r="D65" s="57"/>
      <c r="E65" s="57"/>
      <c r="F65" s="57"/>
      <c r="G65" s="57"/>
      <c r="H65" s="57"/>
      <c r="I65" s="57" t="s">
        <v>75</v>
      </c>
      <c r="J65" s="58"/>
      <c r="K65" s="58"/>
      <c r="L65" s="58"/>
      <c r="M65" s="57"/>
      <c r="N65" s="59" t="str">
        <f>IF(ISBLANK(J65),"",IF(OR(M65="Completed",M65="Closed"),"",IF(H65="Issue",IF(I65="High",WORKDAY(J65,2,DATA!A64:A92),IF(I65="Medium",WORKDAY(J65,14,DATA!A64:A92),IF(OR(I65="Low"),WORKDAY(J65,30,DATA!A64:A92),""))),
"")
))</f>
        <v/>
      </c>
      <c r="O65" s="60" t="str">
        <f ca="1">IF(OR(ISBLANK(#REF!), M65="Completed", M65="Closed", H65&lt;&gt;"Issue"), "",
   (NETWORKDAYS.INTL(TODAY(), N65, 1, DATA!A64:A92) - 1))</f>
        <v/>
      </c>
      <c r="P65" s="78" t="str">
        <f t="shared" ca="1" si="1"/>
        <v/>
      </c>
      <c r="Q65" s="62" t="str">
        <f t="shared" ca="1" si="3"/>
        <v/>
      </c>
    </row>
    <row r="66" spans="1:17" x14ac:dyDescent="0.3">
      <c r="A66" s="57"/>
      <c r="B66" s="57"/>
      <c r="C66" s="57"/>
      <c r="D66" s="57"/>
      <c r="E66" s="57"/>
      <c r="F66" s="57"/>
      <c r="G66" s="57"/>
      <c r="H66" s="57"/>
      <c r="I66" s="57" t="s">
        <v>75</v>
      </c>
      <c r="J66" s="58"/>
      <c r="K66" s="66"/>
      <c r="L66" s="66"/>
      <c r="M66" s="57"/>
      <c r="N66" s="59" t="str">
        <f>IF(ISBLANK(J66),"",IF(OR(M66="Completed",M66="Closed"),"",IF(H66="Issue",IF(I66="High",WORKDAY(J66,2,DATA!A65:A93),IF(I66="Medium",WORKDAY(J66,14,DATA!A65:A93),IF(OR(I66="Low"),WORKDAY(J66,30,DATA!A65:A93),""))),
"")
))</f>
        <v/>
      </c>
      <c r="O66" s="60" t="str">
        <f ca="1">IF(OR(ISBLANK(#REF!), M66="Completed", M66="Closed", H66&lt;&gt;"Issue"), "",
   (NETWORKDAYS.INTL(TODAY(), N66, 1, DATA!A65:A93) - 1))</f>
        <v/>
      </c>
      <c r="P66" s="78" t="str">
        <f t="shared" ca="1" si="1"/>
        <v/>
      </c>
      <c r="Q66" s="62" t="str">
        <f t="shared" ca="1" si="3"/>
        <v/>
      </c>
    </row>
    <row r="67" spans="1:17" x14ac:dyDescent="0.3">
      <c r="A67" s="57"/>
      <c r="B67" s="57"/>
      <c r="C67" s="57"/>
      <c r="D67" s="57"/>
      <c r="E67" s="57"/>
      <c r="F67" s="57"/>
      <c r="G67" s="57"/>
      <c r="H67" s="57"/>
      <c r="I67" s="57" t="s">
        <v>75</v>
      </c>
      <c r="J67" s="58"/>
      <c r="K67" s="58"/>
      <c r="L67" s="58"/>
      <c r="M67" s="57"/>
      <c r="N67" s="59" t="str">
        <f>IF(ISBLANK(J67),"",IF(OR(M67="Completed",M67="Closed"),"",IF(H67="Issue",IF(I67="High",WORKDAY(J67,2,DATA!A66:A94),IF(I67="Medium",WORKDAY(J67,14,DATA!A66:A94),IF(OR(I67="Low"),WORKDAY(J67,30,DATA!A66:A94),""))),
"")
))</f>
        <v/>
      </c>
      <c r="O67" s="60" t="str">
        <f ca="1">IF(OR(ISBLANK(#REF!), M67="Completed", M67="Closed", H67&lt;&gt;"Issue"), "",
   (NETWORKDAYS.INTL(TODAY(), N67, 1, DATA!A66:A94) - 1))</f>
        <v/>
      </c>
      <c r="P67" s="78" t="str">
        <f t="shared" ca="1" si="1"/>
        <v/>
      </c>
      <c r="Q67" s="62" t="str">
        <f t="shared" ca="1" si="3"/>
        <v/>
      </c>
    </row>
    <row r="68" spans="1:17" x14ac:dyDescent="0.3">
      <c r="A68" s="57"/>
      <c r="B68" s="57"/>
      <c r="C68" s="57"/>
      <c r="D68" s="57"/>
      <c r="E68" s="57"/>
      <c r="F68" s="57"/>
      <c r="G68" s="57"/>
      <c r="H68" s="57"/>
      <c r="I68" s="57" t="s">
        <v>75</v>
      </c>
      <c r="J68" s="58"/>
      <c r="K68" s="66"/>
      <c r="L68" s="66"/>
      <c r="M68" s="57"/>
      <c r="N68" s="59" t="str">
        <f>IF(ISBLANK(J68),"",IF(OR(M68="Completed",M68="Closed"),"",IF(H68="Issue",IF(I68="High",WORKDAY(J68,2,DATA!A67:A95),IF(I68="Medium",WORKDAY(J68,14,DATA!A67:A95),IF(OR(I68="Low"),WORKDAY(J68,30,DATA!A67:A95),""))),
"")
))</f>
        <v/>
      </c>
      <c r="O68" s="60" t="str">
        <f ca="1">IF(OR(ISBLANK(#REF!), M68="Completed", M68="Closed", H68&lt;&gt;"Issue"), "",
   (NETWORKDAYS.INTL(TODAY(), N68, 1, DATA!A67:A95) - 1))</f>
        <v/>
      </c>
      <c r="P68" s="78" t="str">
        <f t="shared" ref="P68:P131" ca="1" si="4">IF(O68="","",LEFT(O68,10)*(-1))</f>
        <v/>
      </c>
      <c r="Q68" s="62" t="str">
        <f t="shared" ca="1" si="3"/>
        <v/>
      </c>
    </row>
    <row r="69" spans="1:17" x14ac:dyDescent="0.3">
      <c r="A69" s="57"/>
      <c r="B69" s="57"/>
      <c r="C69" s="57"/>
      <c r="D69" s="57"/>
      <c r="E69" s="57"/>
      <c r="F69" s="57"/>
      <c r="G69" s="57"/>
      <c r="H69" s="57"/>
      <c r="I69" s="57" t="s">
        <v>75</v>
      </c>
      <c r="J69" s="58"/>
      <c r="K69" s="58"/>
      <c r="L69" s="58"/>
      <c r="M69" s="57"/>
      <c r="N69" s="59" t="str">
        <f>IF(ISBLANK(J69),"",IF(OR(M69="Completed",M69="Closed"),"",IF(H69="Issue",IF(I69="High",WORKDAY(J69,2,DATA!A68:A96),IF(I69="Medium",WORKDAY(J69,14,DATA!A68:A96),IF(OR(I69="Low"),WORKDAY(J69,30,DATA!A68:A96),""))),
"")
))</f>
        <v/>
      </c>
      <c r="O69" s="60" t="str">
        <f ca="1">IF(OR(ISBLANK(#REF!), M69="Completed", M69="Closed", H69&lt;&gt;"Issue"), "",
   (NETWORKDAYS.INTL(TODAY(), N69, 1, DATA!A68:A96) - 1))</f>
        <v/>
      </c>
      <c r="P69" s="78" t="str">
        <f t="shared" ca="1" si="4"/>
        <v/>
      </c>
      <c r="Q69" s="62" t="str">
        <f t="shared" ca="1" si="3"/>
        <v/>
      </c>
    </row>
    <row r="70" spans="1:17" x14ac:dyDescent="0.3">
      <c r="A70" s="57"/>
      <c r="B70" s="57"/>
      <c r="C70" s="57"/>
      <c r="D70" s="57"/>
      <c r="E70" s="57"/>
      <c r="F70" s="57"/>
      <c r="G70" s="57"/>
      <c r="H70" s="57"/>
      <c r="I70" s="57" t="s">
        <v>75</v>
      </c>
      <c r="J70" s="58"/>
      <c r="K70" s="58"/>
      <c r="L70" s="58"/>
      <c r="M70" s="57"/>
      <c r="N70" s="59" t="str">
        <f>IF(ISBLANK(J70),"",IF(OR(M70="Completed",M70="Closed"),"",IF(H70="Issue",IF(I70="High",WORKDAY(J70,2,DATA!A69:A97),IF(I70="Medium",WORKDAY(J70,14,DATA!A69:A97),IF(OR(I70="Low"),WORKDAY(J70,30,DATA!A69:A97),""))),
"")
))</f>
        <v/>
      </c>
      <c r="O70" s="60" t="str">
        <f ca="1">IF(OR(ISBLANK(#REF!), M70="Completed", M70="Closed", H70&lt;&gt;"Issue"), "",
   (NETWORKDAYS.INTL(TODAY(), N70, 1, DATA!A69:A97) - 1))</f>
        <v/>
      </c>
      <c r="P70" s="78" t="str">
        <f t="shared" ca="1" si="4"/>
        <v/>
      </c>
      <c r="Q70" s="62" t="str">
        <f t="shared" ca="1" si="3"/>
        <v/>
      </c>
    </row>
    <row r="71" spans="1:17" x14ac:dyDescent="0.3">
      <c r="A71" s="57"/>
      <c r="B71" s="57"/>
      <c r="C71" s="57"/>
      <c r="D71" s="57"/>
      <c r="E71" s="57"/>
      <c r="F71" s="57"/>
      <c r="G71" s="57"/>
      <c r="H71" s="57"/>
      <c r="I71" s="57" t="s">
        <v>75</v>
      </c>
      <c r="J71" s="58"/>
      <c r="K71" s="58"/>
      <c r="L71" s="58"/>
      <c r="M71" s="57"/>
      <c r="N71" s="59" t="str">
        <f>IF(ISBLANK(J71),"",IF(OR(M71="Completed",M71="Closed"),"",IF(H71="Issue",IF(I71="High",WORKDAY(J71,2,DATA!A70:A98),IF(I71="Medium",WORKDAY(J71,14,DATA!A70:A98),IF(OR(I71="Low"),WORKDAY(J71,30,DATA!A70:A98),""))),
"")
))</f>
        <v/>
      </c>
      <c r="O71" s="60" t="str">
        <f ca="1">IF(OR(ISBLANK(#REF!), M71="Completed", M71="Closed", H71&lt;&gt;"Issue"), "",
   (NETWORKDAYS.INTL(TODAY(), N71, 1, DATA!A70:A98) - 1))</f>
        <v/>
      </c>
      <c r="P71" s="78" t="str">
        <f t="shared" ca="1" si="4"/>
        <v/>
      </c>
      <c r="Q71" s="62" t="str">
        <f t="shared" ca="1" si="3"/>
        <v/>
      </c>
    </row>
    <row r="72" spans="1:17" x14ac:dyDescent="0.3">
      <c r="A72" s="57"/>
      <c r="B72" s="57"/>
      <c r="C72" s="57"/>
      <c r="D72" s="57"/>
      <c r="E72" s="57"/>
      <c r="F72" s="57"/>
      <c r="G72" s="57"/>
      <c r="H72" s="57"/>
      <c r="I72" s="57" t="s">
        <v>75</v>
      </c>
      <c r="J72" s="58"/>
      <c r="K72" s="66"/>
      <c r="L72" s="66"/>
      <c r="M72" s="57"/>
      <c r="N72" s="59" t="str">
        <f>IF(ISBLANK(J72),"",IF(OR(M72="Completed",M72="Closed"),"",IF(H72="Issue",IF(I72="High",WORKDAY(J72,2,DATA!A71:A99),IF(I72="Medium",WORKDAY(J72,14,DATA!A71:A99),IF(OR(I72="Low"),WORKDAY(J72,30,DATA!A71:A99),""))),
"")
))</f>
        <v/>
      </c>
      <c r="O72" s="60" t="str">
        <f ca="1">IF(OR(ISBLANK(#REF!), M72="Completed", M72="Closed", H72&lt;&gt;"Issue"), "",
   (NETWORKDAYS.INTL(TODAY(), N72, 1, DATA!A71:A99) - 1))</f>
        <v/>
      </c>
      <c r="P72" s="78" t="str">
        <f t="shared" ca="1" si="4"/>
        <v/>
      </c>
      <c r="Q72" s="62" t="str">
        <f t="shared" ca="1" si="3"/>
        <v/>
      </c>
    </row>
    <row r="73" spans="1:17" x14ac:dyDescent="0.3">
      <c r="A73" s="57"/>
      <c r="B73" s="57"/>
      <c r="C73" s="57"/>
      <c r="D73" s="57"/>
      <c r="E73" s="57"/>
      <c r="F73" s="57"/>
      <c r="G73" s="57"/>
      <c r="H73" s="57"/>
      <c r="I73" s="57" t="s">
        <v>75</v>
      </c>
      <c r="J73" s="58"/>
      <c r="K73" s="66"/>
      <c r="L73" s="66"/>
      <c r="M73" s="57"/>
      <c r="N73" s="59" t="str">
        <f>IF(ISBLANK(J73),"",IF(OR(M73="Completed",M73="Closed"),"",IF(H73="Issue",IF(I73="High",WORKDAY(J73,2,DATA!A72:A100),IF(I73="Medium",WORKDAY(J73,14,DATA!A72:A100),IF(OR(I73="Low"),WORKDAY(J73,30,DATA!A72:A100),""))),
"")
))</f>
        <v/>
      </c>
      <c r="O73" s="60" t="str">
        <f ca="1">IF(OR(ISBLANK(#REF!), M73="Completed", M73="Closed", H73&lt;&gt;"Issue"), "",
   (NETWORKDAYS.INTL(TODAY(), N73, 1, DATA!A72:A100) - 1))</f>
        <v/>
      </c>
      <c r="P73" s="78" t="str">
        <f t="shared" ca="1" si="4"/>
        <v/>
      </c>
      <c r="Q73" s="62" t="str">
        <f t="shared" ca="1" si="3"/>
        <v/>
      </c>
    </row>
    <row r="74" spans="1:17" x14ac:dyDescent="0.3">
      <c r="A74" s="57"/>
      <c r="B74" s="57"/>
      <c r="C74" s="57"/>
      <c r="D74" s="57"/>
      <c r="E74" s="57"/>
      <c r="F74" s="57"/>
      <c r="G74" s="57"/>
      <c r="H74" s="57"/>
      <c r="I74" s="57" t="s">
        <v>75</v>
      </c>
      <c r="J74" s="58"/>
      <c r="K74" s="58"/>
      <c r="L74" s="58"/>
      <c r="M74" s="57"/>
      <c r="N74" s="59" t="str">
        <f>IF(ISBLANK(J74),"",IF(OR(M74="Completed",M74="Closed"),"",IF(H74="Issue",IF(I74="High",WORKDAY(J74,2,DATA!A73:A101),IF(I74="Medium",WORKDAY(J74,14,DATA!A73:A101),IF(OR(I74="Low"),WORKDAY(J74,30,DATA!A73:A101),""))),
"")
))</f>
        <v/>
      </c>
      <c r="O74" s="60" t="str">
        <f ca="1">IF(OR(ISBLANK(#REF!), M74="Completed", M74="Closed", H74&lt;&gt;"Issue"), "",
   (NETWORKDAYS.INTL(TODAY(), N74, 1, DATA!A73:A101) - 1))</f>
        <v/>
      </c>
      <c r="P74" s="78" t="str">
        <f t="shared" ca="1" si="4"/>
        <v/>
      </c>
      <c r="Q74" s="62" t="str">
        <f t="shared" ca="1" si="3"/>
        <v/>
      </c>
    </row>
    <row r="75" spans="1:17" x14ac:dyDescent="0.3">
      <c r="A75" s="57"/>
      <c r="B75" s="57"/>
      <c r="C75" s="57"/>
      <c r="D75" s="57"/>
      <c r="E75" s="57"/>
      <c r="F75" s="57"/>
      <c r="G75" s="57"/>
      <c r="H75" s="57"/>
      <c r="I75" s="57" t="s">
        <v>75</v>
      </c>
      <c r="J75" s="58"/>
      <c r="K75" s="66"/>
      <c r="L75" s="66"/>
      <c r="M75" s="57"/>
      <c r="N75" s="59" t="str">
        <f>IF(ISBLANK(J75),"",IF(OR(M75="Completed",M75="Closed"),"",IF(H75="Issue",IF(I75="High",WORKDAY(J75,2,DATA!A74:A102),IF(I75="Medium",WORKDAY(J75,14,DATA!A74:A102),IF(OR(I75="Low"),WORKDAY(J75,30,DATA!A74:A102),""))),
"")
))</f>
        <v/>
      </c>
      <c r="O75" s="60" t="str">
        <f ca="1">IF(OR(ISBLANK(#REF!), M75="Completed", M75="Closed", H75&lt;&gt;"Issue"), "",
   (NETWORKDAYS.INTL(TODAY(), N75, 1, DATA!A74:A102) - 1))</f>
        <v/>
      </c>
      <c r="P75" s="78" t="str">
        <f t="shared" ca="1" si="4"/>
        <v/>
      </c>
      <c r="Q75" s="62" t="str">
        <f t="shared" ca="1" si="3"/>
        <v/>
      </c>
    </row>
    <row r="76" spans="1:17" x14ac:dyDescent="0.3">
      <c r="A76" s="57"/>
      <c r="B76" s="57"/>
      <c r="C76" s="57"/>
      <c r="D76" s="57"/>
      <c r="E76" s="57"/>
      <c r="F76" s="57"/>
      <c r="G76" s="57"/>
      <c r="H76" s="57"/>
      <c r="I76" s="57" t="s">
        <v>75</v>
      </c>
      <c r="J76" s="58"/>
      <c r="K76" s="66"/>
      <c r="L76" s="66"/>
      <c r="M76" s="57"/>
      <c r="N76" s="59" t="str">
        <f>IF(ISBLANK(J76),"",IF(OR(M76="Completed",M76="Closed"),"",IF(H76="Issue",IF(I76="High",WORKDAY(J76,2,DATA!A75:A103),IF(I76="Medium",WORKDAY(J76,14,DATA!A75:A103),IF(OR(I76="Low"),WORKDAY(J76,30,DATA!A75:A103),""))),
"")
))</f>
        <v/>
      </c>
      <c r="O76" s="60" t="str">
        <f ca="1">IF(OR(ISBLANK(#REF!), M76="Completed", M76="Closed", H76&lt;&gt;"Issue"), "",
   (NETWORKDAYS.INTL(TODAY(), N76, 1, DATA!A75:A103) - 1))</f>
        <v/>
      </c>
      <c r="P76" s="78" t="str">
        <f t="shared" ca="1" si="4"/>
        <v/>
      </c>
      <c r="Q76" s="62" t="str">
        <f t="shared" ca="1" si="3"/>
        <v/>
      </c>
    </row>
    <row r="77" spans="1:17" x14ac:dyDescent="0.3">
      <c r="A77" s="57"/>
      <c r="B77" s="57"/>
      <c r="C77" s="57"/>
      <c r="D77" s="57"/>
      <c r="E77" s="57"/>
      <c r="F77" s="57"/>
      <c r="G77" s="57"/>
      <c r="H77" s="57"/>
      <c r="I77" s="57" t="s">
        <v>75</v>
      </c>
      <c r="J77" s="58"/>
      <c r="K77" s="58"/>
      <c r="L77" s="66"/>
      <c r="M77" s="57"/>
      <c r="N77" s="59" t="str">
        <f>IF(ISBLANK(J77),"",IF(OR(M77="Completed",M77="Closed"),"",IF(H77="Issue",IF(I77="High",WORKDAY(J77,2,DATA!A76:A104),IF(I77="Medium",WORKDAY(J77,14,DATA!A76:A104),IF(OR(I77="Low"),WORKDAY(J77,30,DATA!A76:A104),""))),
"")
))</f>
        <v/>
      </c>
      <c r="O77" s="60" t="str">
        <f ca="1">IF(OR(ISBLANK(#REF!), M77="Completed", M77="Closed", H77&lt;&gt;"Issue"), "",
   (NETWORKDAYS.INTL(TODAY(), N77, 1, DATA!A76:A104) - 1))</f>
        <v/>
      </c>
      <c r="P77" s="78" t="str">
        <f t="shared" ca="1" si="4"/>
        <v/>
      </c>
      <c r="Q77" s="62" t="str">
        <f t="shared" ca="1" si="3"/>
        <v/>
      </c>
    </row>
    <row r="78" spans="1:17" x14ac:dyDescent="0.3">
      <c r="A78" s="57"/>
      <c r="B78" s="57"/>
      <c r="C78" s="57"/>
      <c r="D78" s="57"/>
      <c r="E78" s="57"/>
      <c r="F78" s="57"/>
      <c r="G78" s="57"/>
      <c r="H78" s="57"/>
      <c r="I78" s="57" t="s">
        <v>75</v>
      </c>
      <c r="J78" s="58"/>
      <c r="K78" s="58"/>
      <c r="L78" s="58"/>
      <c r="M78" s="57"/>
      <c r="N78" s="59" t="str">
        <f>IF(ISBLANK(J78),"",IF(OR(M78="Completed",M78="Closed"),"",IF(H78="Issue",IF(I78="High",WORKDAY(J78,2,DATA!A77:A105),IF(I78="Medium",WORKDAY(J78,14,DATA!A77:A105),IF(OR(I78="Low"),WORKDAY(J78,30,DATA!A77:A105),""))),
"")
))</f>
        <v/>
      </c>
      <c r="O78" s="60" t="str">
        <f ca="1">IF(OR(ISBLANK(#REF!), M78="Completed", M78="Closed", H78&lt;&gt;"Issue"), "",
   (NETWORKDAYS.INTL(TODAY(), N78, 1, DATA!A77:A105) - 1))</f>
        <v/>
      </c>
      <c r="P78" s="78" t="str">
        <f t="shared" ca="1" si="4"/>
        <v/>
      </c>
      <c r="Q78" s="62" t="str">
        <f t="shared" ca="1" si="3"/>
        <v/>
      </c>
    </row>
    <row r="79" spans="1:17" x14ac:dyDescent="0.3">
      <c r="A79" s="57"/>
      <c r="B79" s="57"/>
      <c r="C79" s="57"/>
      <c r="D79" s="57"/>
      <c r="E79" s="57"/>
      <c r="F79" s="57"/>
      <c r="G79" s="57"/>
      <c r="H79" s="57"/>
      <c r="I79" s="57" t="s">
        <v>75</v>
      </c>
      <c r="J79" s="58"/>
      <c r="K79" s="58"/>
      <c r="L79" s="58"/>
      <c r="M79" s="57"/>
      <c r="N79" s="59" t="str">
        <f>IF(ISBLANK(J79),"",IF(OR(M79="Completed",M79="Closed"),"",IF(H79="Issue",IF(I79="High",WORKDAY(J79,2,DATA!A78:A106),IF(I79="Medium",WORKDAY(J79,14,DATA!A78:A106),IF(OR(I79="Low"),WORKDAY(J79,30,DATA!A78:A106),""))),
"")
))</f>
        <v/>
      </c>
      <c r="O79" s="60" t="str">
        <f ca="1">IF(OR(ISBLANK(#REF!), M79="Completed", M79="Closed", H79&lt;&gt;"Issue"), "",
   (NETWORKDAYS.INTL(TODAY(), N79, 1, DATA!A78:A106) - 1))</f>
        <v/>
      </c>
      <c r="P79" s="78" t="str">
        <f t="shared" ca="1" si="4"/>
        <v/>
      </c>
      <c r="Q79" s="62" t="str">
        <f t="shared" ca="1" si="3"/>
        <v/>
      </c>
    </row>
    <row r="80" spans="1:17" x14ac:dyDescent="0.3">
      <c r="A80" s="57"/>
      <c r="B80" s="57"/>
      <c r="C80" s="57"/>
      <c r="D80" s="57"/>
      <c r="E80" s="57"/>
      <c r="F80" s="57"/>
      <c r="G80" s="57"/>
      <c r="H80" s="57"/>
      <c r="I80" s="57" t="s">
        <v>75</v>
      </c>
      <c r="J80" s="58"/>
      <c r="K80" s="58"/>
      <c r="L80" s="58"/>
      <c r="M80" s="57"/>
      <c r="N80" s="59" t="str">
        <f>IF(ISBLANK(J80),"",IF(OR(M80="Completed",M80="Closed"),"",IF(H80="Issue",IF(I80="High",WORKDAY(J80,2,DATA!A79:A107),IF(I80="Medium",WORKDAY(J80,14,DATA!A79:A107),IF(OR(I80="Low"),WORKDAY(J80,30,DATA!A79:A107),""))),
"")
))</f>
        <v/>
      </c>
      <c r="O80" s="60" t="str">
        <f ca="1">IF(OR(ISBLANK(#REF!), M80="Completed", M80="Closed", H80&lt;&gt;"Issue"), "",
   (NETWORKDAYS.INTL(TODAY(), N80, 1, DATA!A79:A107) - 1))</f>
        <v/>
      </c>
      <c r="P80" s="78" t="str">
        <f t="shared" ca="1" si="4"/>
        <v/>
      </c>
      <c r="Q80" s="62" t="str">
        <f t="shared" ref="Q80:Q143" ca="1" si="5">IF(P80="","",
IF(P80&lt;=30,"1-30 Days",
IF(AND(P80&gt;=31,P80&lt;=60),"31-60 Days",
"&gt;60 Days")))</f>
        <v/>
      </c>
    </row>
    <row r="81" spans="1:17" x14ac:dyDescent="0.3">
      <c r="A81" s="57"/>
      <c r="B81" s="57"/>
      <c r="C81" s="57"/>
      <c r="D81" s="57"/>
      <c r="E81" s="57"/>
      <c r="F81" s="57"/>
      <c r="G81" s="57"/>
      <c r="H81" s="57"/>
      <c r="I81" s="57" t="s">
        <v>75</v>
      </c>
      <c r="J81" s="58"/>
      <c r="K81" s="58"/>
      <c r="L81" s="66"/>
      <c r="M81" s="57"/>
      <c r="N81" s="59" t="str">
        <f>IF(ISBLANK(J81),"",IF(OR(M81="Completed",M81="Closed"),"",IF(H81="Issue",IF(I81="High",WORKDAY(J81,2,DATA!A80:A108),IF(I81="Medium",WORKDAY(J81,14,DATA!A80:A108),IF(OR(I81="Low"),WORKDAY(J81,30,DATA!A80:A108),""))),
"")
))</f>
        <v/>
      </c>
      <c r="O81" s="60" t="str">
        <f ca="1">IF(OR(ISBLANK(#REF!), M81="Completed", M81="Closed", H81&lt;&gt;"Issue"), "",
   (NETWORKDAYS.INTL(TODAY(), N81, 1, DATA!A80:A108) - 1))</f>
        <v/>
      </c>
      <c r="P81" s="78" t="str">
        <f t="shared" ca="1" si="4"/>
        <v/>
      </c>
      <c r="Q81" s="62" t="str">
        <f t="shared" ca="1" si="5"/>
        <v/>
      </c>
    </row>
    <row r="82" spans="1:17" x14ac:dyDescent="0.3">
      <c r="A82" s="57"/>
      <c r="B82" s="57"/>
      <c r="C82" s="57"/>
      <c r="D82" s="57"/>
      <c r="E82" s="57"/>
      <c r="F82" s="57"/>
      <c r="G82" s="57"/>
      <c r="H82" s="57"/>
      <c r="I82" s="57" t="s">
        <v>75</v>
      </c>
      <c r="J82" s="58"/>
      <c r="K82" s="58"/>
      <c r="L82" s="58"/>
      <c r="M82" s="57"/>
      <c r="N82" s="59" t="str">
        <f>IF(ISBLANK(J82),"",IF(OR(M82="Completed",M82="Closed"),"",IF(H82="Issue",IF(I82="High",WORKDAY(J82,2,DATA!A81:A109),IF(I82="Medium",WORKDAY(J82,14,DATA!A81:A109),IF(OR(I82="Low"),WORKDAY(J82,30,DATA!A81:A109),""))),
"")
))</f>
        <v/>
      </c>
      <c r="O82" s="60" t="str">
        <f ca="1">IF(OR(ISBLANK(#REF!), M82="Completed", M82="Closed", H82&lt;&gt;"Issue"), "",
   (NETWORKDAYS.INTL(TODAY(), N82, 1, DATA!A81:A109) - 1))</f>
        <v/>
      </c>
      <c r="P82" s="78" t="str">
        <f t="shared" ca="1" si="4"/>
        <v/>
      </c>
      <c r="Q82" s="62" t="str">
        <f t="shared" ca="1" si="5"/>
        <v/>
      </c>
    </row>
    <row r="83" spans="1:17" x14ac:dyDescent="0.3">
      <c r="A83" s="57"/>
      <c r="B83" s="57"/>
      <c r="C83" s="57"/>
      <c r="D83" s="57"/>
      <c r="E83" s="57"/>
      <c r="F83" s="57"/>
      <c r="G83" s="57"/>
      <c r="H83" s="57"/>
      <c r="I83" s="57" t="s">
        <v>75</v>
      </c>
      <c r="J83" s="58"/>
      <c r="K83" s="66"/>
      <c r="L83" s="66"/>
      <c r="M83" s="57"/>
      <c r="N83" s="59" t="str">
        <f>IF(ISBLANK(J83),"",IF(OR(M83="Completed",M83="Closed"),"",IF(H83="Issue",IF(I83="High",WORKDAY(J83,2,DATA!A82:A110),IF(I83="Medium",WORKDAY(J83,14,DATA!A82:A110),IF(OR(I83="Low"),WORKDAY(J83,30,DATA!A82:A110),""))),
"")
))</f>
        <v/>
      </c>
      <c r="O83" s="60" t="str">
        <f ca="1">IF(OR(ISBLANK(#REF!), M83="Completed", M83="Closed", H83&lt;&gt;"Issue"), "",
   (NETWORKDAYS.INTL(TODAY(), N83, 1, DATA!A82:A110) - 1))</f>
        <v/>
      </c>
      <c r="P83" s="78" t="str">
        <f t="shared" ca="1" si="4"/>
        <v/>
      </c>
      <c r="Q83" s="62" t="str">
        <f t="shared" ca="1" si="5"/>
        <v/>
      </c>
    </row>
    <row r="84" spans="1:17" x14ac:dyDescent="0.3">
      <c r="A84" s="57"/>
      <c r="B84" s="57"/>
      <c r="C84" s="57"/>
      <c r="D84" s="57"/>
      <c r="E84" s="57"/>
      <c r="F84" s="57"/>
      <c r="G84" s="57"/>
      <c r="H84" s="57"/>
      <c r="I84" s="57" t="s">
        <v>75</v>
      </c>
      <c r="J84" s="58"/>
      <c r="K84" s="66"/>
      <c r="L84" s="66"/>
      <c r="M84" s="57"/>
      <c r="N84" s="59" t="str">
        <f>IF(ISBLANK(J84),"",IF(OR(M84="Completed",M84="Closed"),"",IF(H84="Issue",IF(I84="High",WORKDAY(J84,2,DATA!A83:A111),IF(I84="Medium",WORKDAY(J84,14,DATA!A83:A111),IF(OR(I84="Low"),WORKDAY(J84,30,DATA!A83:A111),""))),
"")
))</f>
        <v/>
      </c>
      <c r="O84" s="60" t="str">
        <f ca="1">IF(OR(ISBLANK(#REF!), M84="Completed", M84="Closed", H84&lt;&gt;"Issue"), "",
   (NETWORKDAYS.INTL(TODAY(), N84, 1, DATA!A83:A111) - 1))</f>
        <v/>
      </c>
      <c r="P84" s="78" t="str">
        <f t="shared" ca="1" si="4"/>
        <v/>
      </c>
      <c r="Q84" s="62" t="str">
        <f t="shared" ca="1" si="5"/>
        <v/>
      </c>
    </row>
    <row r="85" spans="1:17" x14ac:dyDescent="0.3">
      <c r="A85" s="57"/>
      <c r="B85" s="57"/>
      <c r="C85" s="57"/>
      <c r="D85" s="57"/>
      <c r="E85" s="57"/>
      <c r="F85" s="57"/>
      <c r="G85" s="57"/>
      <c r="H85" s="57"/>
      <c r="I85" s="57" t="s">
        <v>75</v>
      </c>
      <c r="J85" s="58"/>
      <c r="K85" s="66"/>
      <c r="L85" s="66"/>
      <c r="M85" s="57"/>
      <c r="N85" s="59" t="str">
        <f>IF(ISBLANK(J85),"",IF(OR(M85="Completed",M85="Closed"),"",IF(H85="Issue",IF(I85="High",WORKDAY(J85,2,DATA!A84:A112),IF(I85="Medium",WORKDAY(J85,14,DATA!A84:A112),IF(OR(I85="Low"),WORKDAY(J85,30,DATA!A84:A112),""))),
"")
))</f>
        <v/>
      </c>
      <c r="O85" s="60" t="str">
        <f ca="1">IF(OR(ISBLANK(#REF!), M85="Completed", M85="Closed", H85&lt;&gt;"Issue"), "",
   (NETWORKDAYS.INTL(TODAY(), N85, 1, DATA!A84:A112) - 1))</f>
        <v/>
      </c>
      <c r="P85" s="78" t="str">
        <f t="shared" ca="1" si="4"/>
        <v/>
      </c>
      <c r="Q85" s="62" t="str">
        <f t="shared" ca="1" si="5"/>
        <v/>
      </c>
    </row>
    <row r="86" spans="1:17" x14ac:dyDescent="0.3">
      <c r="A86" s="57"/>
      <c r="B86" s="57"/>
      <c r="C86" s="57"/>
      <c r="D86" s="57"/>
      <c r="E86" s="57"/>
      <c r="F86" s="57"/>
      <c r="G86" s="57"/>
      <c r="H86" s="57"/>
      <c r="I86" s="57" t="s">
        <v>75</v>
      </c>
      <c r="J86" s="58"/>
      <c r="K86" s="66"/>
      <c r="L86" s="66"/>
      <c r="M86" s="57"/>
      <c r="N86" s="59" t="str">
        <f>IF(ISBLANK(J86),"",IF(OR(M86="Completed",M86="Closed"),"",IF(H86="Issue",IF(I86="High",WORKDAY(J86,2,DATA!A85:A113),IF(I86="Medium",WORKDAY(J86,14,DATA!A85:A113),IF(OR(I86="Low"),WORKDAY(J86,30,DATA!A85:A113),""))),
"")
))</f>
        <v/>
      </c>
      <c r="O86" s="60" t="str">
        <f ca="1">IF(OR(ISBLANK(#REF!), M86="Completed", M86="Closed", H86&lt;&gt;"Issue"), "",
   (NETWORKDAYS.INTL(TODAY(), N86, 1, DATA!A85:A113) - 1))</f>
        <v/>
      </c>
      <c r="P86" s="78" t="str">
        <f t="shared" ca="1" si="4"/>
        <v/>
      </c>
      <c r="Q86" s="62" t="str">
        <f t="shared" ca="1" si="5"/>
        <v/>
      </c>
    </row>
    <row r="87" spans="1:17" x14ac:dyDescent="0.3">
      <c r="A87" s="57"/>
      <c r="B87" s="57"/>
      <c r="C87" s="57"/>
      <c r="D87" s="57"/>
      <c r="E87" s="57"/>
      <c r="F87" s="57"/>
      <c r="G87" s="57"/>
      <c r="H87" s="57"/>
      <c r="I87" s="57" t="s">
        <v>75</v>
      </c>
      <c r="J87" s="58"/>
      <c r="K87" s="66"/>
      <c r="L87" s="66"/>
      <c r="M87" s="57"/>
      <c r="N87" s="59" t="str">
        <f>IF(ISBLANK(J87),"",IF(OR(M87="Completed",M87="Closed"),"",IF(H87="Issue",IF(I87="High",WORKDAY(J87,2,DATA!A86:A114),IF(I87="Medium",WORKDAY(J87,14,DATA!A86:A114),IF(OR(I87="Low"),WORKDAY(J87,30,DATA!A86:A114),""))),
"")
))</f>
        <v/>
      </c>
      <c r="O87" s="60" t="str">
        <f ca="1">IF(OR(ISBLANK(#REF!), M87="Completed", M87="Closed", H87&lt;&gt;"Issue"), "",
   (NETWORKDAYS.INTL(TODAY(), N87, 1, DATA!A86:A114) - 1))</f>
        <v/>
      </c>
      <c r="P87" s="78" t="str">
        <f t="shared" ca="1" si="4"/>
        <v/>
      </c>
      <c r="Q87" s="62" t="str">
        <f t="shared" ca="1" si="5"/>
        <v/>
      </c>
    </row>
    <row r="88" spans="1:17" x14ac:dyDescent="0.3">
      <c r="A88" s="57"/>
      <c r="B88" s="57"/>
      <c r="C88" s="57"/>
      <c r="D88" s="57"/>
      <c r="E88" s="57"/>
      <c r="F88" s="57"/>
      <c r="G88" s="57"/>
      <c r="H88" s="57"/>
      <c r="I88" s="57" t="s">
        <v>75</v>
      </c>
      <c r="J88" s="58"/>
      <c r="K88" s="66"/>
      <c r="L88" s="66"/>
      <c r="M88" s="57"/>
      <c r="N88" s="59" t="str">
        <f>IF(ISBLANK(J88),"",IF(OR(M88="Completed",M88="Closed"),"",IF(H88="Issue",IF(I88="High",WORKDAY(J88,2,DATA!A87:A115),IF(I88="Medium",WORKDAY(J88,14,DATA!A87:A115),IF(OR(I88="Low"),WORKDAY(J88,30,DATA!A87:A115),""))),
"")
))</f>
        <v/>
      </c>
      <c r="O88" s="60" t="str">
        <f ca="1">IF(OR(ISBLANK(#REF!), M88="Completed", M88="Closed", H88&lt;&gt;"Issue"), "",
   (NETWORKDAYS.INTL(TODAY(), N88, 1, DATA!A87:A115) - 1))</f>
        <v/>
      </c>
      <c r="P88" s="78" t="str">
        <f t="shared" ca="1" si="4"/>
        <v/>
      </c>
      <c r="Q88" s="62" t="str">
        <f t="shared" ca="1" si="5"/>
        <v/>
      </c>
    </row>
    <row r="89" spans="1:17" x14ac:dyDescent="0.3">
      <c r="A89" s="57"/>
      <c r="B89" s="57"/>
      <c r="C89" s="57"/>
      <c r="D89" s="57"/>
      <c r="E89" s="57"/>
      <c r="F89" s="57"/>
      <c r="G89" s="57"/>
      <c r="H89" s="57"/>
      <c r="I89" s="57" t="s">
        <v>75</v>
      </c>
      <c r="J89" s="58"/>
      <c r="K89" s="66"/>
      <c r="L89" s="66"/>
      <c r="M89" s="57"/>
      <c r="N89" s="59" t="str">
        <f>IF(ISBLANK(J89),"",IF(OR(M89="Completed",M89="Closed"),"",IF(H89="Issue",IF(I89="High",WORKDAY(J89,2,DATA!A88:A116),IF(I89="Medium",WORKDAY(J89,14,DATA!A88:A116),IF(OR(I89="Low"),WORKDAY(J89,30,DATA!A88:A116),""))),
"")
))</f>
        <v/>
      </c>
      <c r="O89" s="60" t="str">
        <f ca="1">IF(OR(ISBLANK(#REF!), M89="Completed", M89="Closed", H89&lt;&gt;"Issue"), "",
   (NETWORKDAYS.INTL(TODAY(), N89, 1, DATA!A88:A116) - 1))</f>
        <v/>
      </c>
      <c r="P89" s="78" t="str">
        <f t="shared" ca="1" si="4"/>
        <v/>
      </c>
      <c r="Q89" s="62" t="str">
        <f t="shared" ca="1" si="5"/>
        <v/>
      </c>
    </row>
    <row r="90" spans="1:17" x14ac:dyDescent="0.3">
      <c r="A90" s="57"/>
      <c r="B90" s="57"/>
      <c r="C90" s="57"/>
      <c r="D90" s="57"/>
      <c r="E90" s="57"/>
      <c r="F90" s="57"/>
      <c r="G90" s="57"/>
      <c r="H90" s="57"/>
      <c r="I90" s="57" t="s">
        <v>75</v>
      </c>
      <c r="J90" s="58"/>
      <c r="K90" s="66"/>
      <c r="L90" s="66"/>
      <c r="M90" s="57"/>
      <c r="N90" s="59" t="str">
        <f>IF(ISBLANK(J90),"",IF(OR(M90="Completed",M90="Closed"),"",IF(H90="Issue",IF(I90="High",WORKDAY(J90,2,DATA!A89:A117),IF(I90="Medium",WORKDAY(J90,14,DATA!A89:A117),IF(OR(I90="Low"),WORKDAY(J90,30,DATA!A89:A117),""))),
"")
))</f>
        <v/>
      </c>
      <c r="O90" s="60" t="str">
        <f ca="1">IF(OR(ISBLANK(#REF!), M90="Completed", M90="Closed", H90&lt;&gt;"Issue"), "",
   (NETWORKDAYS.INTL(TODAY(), N90, 1, DATA!A89:A117) - 1))</f>
        <v/>
      </c>
      <c r="P90" s="78" t="str">
        <f t="shared" ca="1" si="4"/>
        <v/>
      </c>
      <c r="Q90" s="62" t="str">
        <f t="shared" ca="1" si="5"/>
        <v/>
      </c>
    </row>
    <row r="91" spans="1:17" x14ac:dyDescent="0.3">
      <c r="A91" s="57"/>
      <c r="B91" s="57"/>
      <c r="C91" s="57"/>
      <c r="D91" s="57"/>
      <c r="E91" s="57"/>
      <c r="F91" s="57"/>
      <c r="G91" s="57"/>
      <c r="H91" s="57"/>
      <c r="I91" s="57" t="s">
        <v>75</v>
      </c>
      <c r="J91" s="58"/>
      <c r="K91" s="66"/>
      <c r="L91" s="66"/>
      <c r="M91" s="57"/>
      <c r="N91" s="59" t="str">
        <f>IF(ISBLANK(J91),"",IF(OR(M91="Completed",M91="Closed"),"",IF(H91="Issue",IF(I91="High",WORKDAY(J91,2,DATA!A90:A118),IF(I91="Medium",WORKDAY(J91,14,DATA!A90:A118),IF(OR(I91="Low"),WORKDAY(J91,30,DATA!A90:A118),""))),
"")
))</f>
        <v/>
      </c>
      <c r="O91" s="60" t="str">
        <f ca="1">IF(OR(ISBLANK(#REF!), M91="Completed", M91="Closed", H91&lt;&gt;"Issue"), "",
   (NETWORKDAYS.INTL(TODAY(), N91, 1, DATA!A90:A118) - 1))</f>
        <v/>
      </c>
      <c r="P91" s="78" t="str">
        <f t="shared" ca="1" si="4"/>
        <v/>
      </c>
      <c r="Q91" s="62" t="str">
        <f t="shared" ca="1" si="5"/>
        <v/>
      </c>
    </row>
    <row r="92" spans="1:17" x14ac:dyDescent="0.3">
      <c r="A92" s="57"/>
      <c r="B92" s="57"/>
      <c r="C92" s="57"/>
      <c r="D92" s="57"/>
      <c r="E92" s="57"/>
      <c r="F92" s="57"/>
      <c r="G92" s="57"/>
      <c r="H92" s="57"/>
      <c r="I92" s="57" t="s">
        <v>75</v>
      </c>
      <c r="J92" s="58"/>
      <c r="K92" s="66"/>
      <c r="L92" s="66"/>
      <c r="M92" s="57"/>
      <c r="N92" s="59" t="str">
        <f>IF(ISBLANK(J92),"",IF(OR(M92="Completed",M92="Closed"),"",IF(H92="Issue",IF(I92="High",WORKDAY(J92,2,DATA!A91:A119),IF(I92="Medium",WORKDAY(J92,14,DATA!A91:A119),IF(OR(I92="Low"),WORKDAY(J92,30,DATA!A91:A119),""))),
"")
))</f>
        <v/>
      </c>
      <c r="O92" s="60" t="str">
        <f ca="1">IF(OR(ISBLANK(#REF!), M92="Completed", M92="Closed", H92&lt;&gt;"Issue"), "",
   (NETWORKDAYS.INTL(TODAY(), N92, 1, DATA!A91:A119) - 1))</f>
        <v/>
      </c>
      <c r="P92" s="78" t="str">
        <f t="shared" ca="1" si="4"/>
        <v/>
      </c>
      <c r="Q92" s="62" t="str">
        <f t="shared" ca="1" si="5"/>
        <v/>
      </c>
    </row>
    <row r="93" spans="1:17" x14ac:dyDescent="0.3">
      <c r="A93" s="57"/>
      <c r="B93" s="57"/>
      <c r="C93" s="57"/>
      <c r="D93" s="57"/>
      <c r="E93" s="57"/>
      <c r="F93" s="57"/>
      <c r="G93" s="57"/>
      <c r="H93" s="57"/>
      <c r="I93" s="57" t="s">
        <v>75</v>
      </c>
      <c r="J93" s="58"/>
      <c r="K93" s="66"/>
      <c r="L93" s="66"/>
      <c r="M93" s="57"/>
      <c r="N93" s="59" t="str">
        <f>IF(ISBLANK(J93),"",IF(OR(M93="Completed",M93="Closed"),"",IF(H93="Issue",IF(I93="High",WORKDAY(J93,2,DATA!A92:A120),IF(I93="Medium",WORKDAY(J93,14,DATA!A92:A120),IF(OR(I93="Low"),WORKDAY(J93,30,DATA!A92:A120),""))),
"")
))</f>
        <v/>
      </c>
      <c r="O93" s="60" t="str">
        <f ca="1">IF(OR(ISBLANK(#REF!), M93="Completed", M93="Closed", H93&lt;&gt;"Issue"), "",
   (NETWORKDAYS.INTL(TODAY(), N93, 1, DATA!A92:A120) - 1))</f>
        <v/>
      </c>
      <c r="P93" s="78" t="str">
        <f t="shared" ca="1" si="4"/>
        <v/>
      </c>
      <c r="Q93" s="62" t="str">
        <f t="shared" ca="1" si="5"/>
        <v/>
      </c>
    </row>
    <row r="94" spans="1:17" x14ac:dyDescent="0.3">
      <c r="A94" s="57"/>
      <c r="B94" s="57"/>
      <c r="C94" s="57"/>
      <c r="D94" s="57"/>
      <c r="E94" s="57"/>
      <c r="F94" s="57"/>
      <c r="G94" s="57"/>
      <c r="H94" s="57"/>
      <c r="I94" s="57" t="s">
        <v>75</v>
      </c>
      <c r="J94" s="58"/>
      <c r="K94" s="66"/>
      <c r="L94" s="66"/>
      <c r="M94" s="57"/>
      <c r="N94" s="59" t="str">
        <f>IF(ISBLANK(J94),"",IF(OR(M94="Completed",M94="Closed"),"",IF(H94="Issue",IF(I94="High",WORKDAY(J94,2,DATA!A93:A121),IF(I94="Medium",WORKDAY(J94,14,DATA!A93:A121),IF(OR(I94="Low"),WORKDAY(J94,30,DATA!A93:A121),""))),
"")
))</f>
        <v/>
      </c>
      <c r="O94" s="60" t="str">
        <f ca="1">IF(OR(ISBLANK(#REF!), M94="Completed", M94="Closed", H94&lt;&gt;"Issue"), "",
   (NETWORKDAYS.INTL(TODAY(), N94, 1, DATA!A93:A121) - 1))</f>
        <v/>
      </c>
      <c r="P94" s="78" t="str">
        <f t="shared" ca="1" si="4"/>
        <v/>
      </c>
      <c r="Q94" s="62" t="str">
        <f t="shared" ca="1" si="5"/>
        <v/>
      </c>
    </row>
    <row r="95" spans="1:17" x14ac:dyDescent="0.3">
      <c r="A95" s="57"/>
      <c r="B95" s="57"/>
      <c r="C95" s="57"/>
      <c r="D95" s="57"/>
      <c r="E95" s="57"/>
      <c r="F95" s="57"/>
      <c r="G95" s="57"/>
      <c r="H95" s="57"/>
      <c r="I95" s="57" t="s">
        <v>75</v>
      </c>
      <c r="J95" s="58"/>
      <c r="K95" s="66"/>
      <c r="L95" s="66"/>
      <c r="M95" s="57"/>
      <c r="N95" s="59" t="str">
        <f>IF(ISBLANK(J95),"",IF(OR(M95="Completed",M95="Closed"),"",IF(H95="Issue",IF(I95="High",WORKDAY(J95,2,DATA!A94:A122),IF(I95="Medium",WORKDAY(J95,14,DATA!A94:A122),IF(OR(I95="Low"),WORKDAY(J95,30,DATA!A94:A122),""))),
"")
))</f>
        <v/>
      </c>
      <c r="O95" s="60" t="str">
        <f ca="1">IF(OR(ISBLANK(#REF!), M95="Completed", M95="Closed", H95&lt;&gt;"Issue"), "",
   (NETWORKDAYS.INTL(TODAY(), N95, 1, DATA!A94:A122) - 1))</f>
        <v/>
      </c>
      <c r="P95" s="78" t="str">
        <f t="shared" ca="1" si="4"/>
        <v/>
      </c>
      <c r="Q95" s="62" t="str">
        <f t="shared" ca="1" si="5"/>
        <v/>
      </c>
    </row>
    <row r="96" spans="1:17" x14ac:dyDescent="0.3">
      <c r="I96" s="57" t="s">
        <v>75</v>
      </c>
      <c r="P96" s="78" t="str">
        <f t="shared" si="4"/>
        <v/>
      </c>
      <c r="Q96" s="62" t="str">
        <f t="shared" si="5"/>
        <v/>
      </c>
    </row>
    <row r="97" spans="9:17" x14ac:dyDescent="0.3">
      <c r="I97" s="57" t="s">
        <v>75</v>
      </c>
      <c r="P97" s="78" t="str">
        <f t="shared" si="4"/>
        <v/>
      </c>
      <c r="Q97" s="62" t="str">
        <f t="shared" si="5"/>
        <v/>
      </c>
    </row>
    <row r="98" spans="9:17" x14ac:dyDescent="0.3">
      <c r="I98" s="57" t="s">
        <v>75</v>
      </c>
      <c r="P98" s="78" t="str">
        <f t="shared" si="4"/>
        <v/>
      </c>
      <c r="Q98" s="62" t="str">
        <f t="shared" si="5"/>
        <v/>
      </c>
    </row>
    <row r="99" spans="9:17" x14ac:dyDescent="0.3">
      <c r="I99" s="57" t="s">
        <v>75</v>
      </c>
      <c r="P99" s="78" t="str">
        <f t="shared" si="4"/>
        <v/>
      </c>
      <c r="Q99" s="62" t="str">
        <f t="shared" si="5"/>
        <v/>
      </c>
    </row>
    <row r="100" spans="9:17" x14ac:dyDescent="0.3">
      <c r="I100" s="57" t="s">
        <v>75</v>
      </c>
      <c r="P100" s="78" t="str">
        <f t="shared" si="4"/>
        <v/>
      </c>
      <c r="Q100" s="62" t="str">
        <f t="shared" si="5"/>
        <v/>
      </c>
    </row>
    <row r="101" spans="9:17" x14ac:dyDescent="0.3">
      <c r="I101" s="57" t="s">
        <v>75</v>
      </c>
      <c r="P101" s="78" t="str">
        <f t="shared" si="4"/>
        <v/>
      </c>
      <c r="Q101" s="62" t="str">
        <f t="shared" si="5"/>
        <v/>
      </c>
    </row>
    <row r="102" spans="9:17" x14ac:dyDescent="0.3">
      <c r="I102" s="57" t="s">
        <v>75</v>
      </c>
      <c r="P102" s="78" t="str">
        <f t="shared" si="4"/>
        <v/>
      </c>
      <c r="Q102" s="62" t="str">
        <f t="shared" si="5"/>
        <v/>
      </c>
    </row>
    <row r="103" spans="9:17" x14ac:dyDescent="0.3">
      <c r="I103" s="57" t="s">
        <v>75</v>
      </c>
      <c r="P103" s="78" t="str">
        <f t="shared" si="4"/>
        <v/>
      </c>
      <c r="Q103" s="62" t="str">
        <f t="shared" si="5"/>
        <v/>
      </c>
    </row>
    <row r="104" spans="9:17" x14ac:dyDescent="0.3">
      <c r="I104" s="57" t="s">
        <v>75</v>
      </c>
      <c r="P104" s="78" t="str">
        <f t="shared" si="4"/>
        <v/>
      </c>
      <c r="Q104" s="62" t="str">
        <f t="shared" si="5"/>
        <v/>
      </c>
    </row>
    <row r="105" spans="9:17" x14ac:dyDescent="0.3">
      <c r="I105" s="57" t="s">
        <v>75</v>
      </c>
      <c r="P105" s="78" t="str">
        <f t="shared" si="4"/>
        <v/>
      </c>
      <c r="Q105" s="62" t="str">
        <f t="shared" si="5"/>
        <v/>
      </c>
    </row>
    <row r="106" spans="9:17" x14ac:dyDescent="0.3">
      <c r="I106" s="57" t="s">
        <v>75</v>
      </c>
      <c r="P106" s="78" t="str">
        <f t="shared" si="4"/>
        <v/>
      </c>
      <c r="Q106" s="62" t="str">
        <f t="shared" si="5"/>
        <v/>
      </c>
    </row>
    <row r="107" spans="9:17" x14ac:dyDescent="0.3">
      <c r="I107" s="57" t="s">
        <v>75</v>
      </c>
      <c r="P107" s="78" t="str">
        <f t="shared" si="4"/>
        <v/>
      </c>
      <c r="Q107" s="62" t="str">
        <f t="shared" si="5"/>
        <v/>
      </c>
    </row>
    <row r="108" spans="9:17" x14ac:dyDescent="0.3">
      <c r="I108" s="57" t="s">
        <v>75</v>
      </c>
      <c r="P108" s="78" t="str">
        <f t="shared" si="4"/>
        <v/>
      </c>
      <c r="Q108" s="62" t="str">
        <f t="shared" si="5"/>
        <v/>
      </c>
    </row>
    <row r="109" spans="9:17" x14ac:dyDescent="0.3">
      <c r="I109" s="57" t="s">
        <v>75</v>
      </c>
      <c r="P109" s="78" t="str">
        <f t="shared" si="4"/>
        <v/>
      </c>
      <c r="Q109" s="62" t="str">
        <f t="shared" si="5"/>
        <v/>
      </c>
    </row>
    <row r="110" spans="9:17" x14ac:dyDescent="0.3">
      <c r="I110" s="57" t="s">
        <v>75</v>
      </c>
      <c r="P110" s="78" t="str">
        <f t="shared" si="4"/>
        <v/>
      </c>
      <c r="Q110" s="62" t="str">
        <f t="shared" si="5"/>
        <v/>
      </c>
    </row>
    <row r="111" spans="9:17" x14ac:dyDescent="0.3">
      <c r="I111" s="57" t="s">
        <v>75</v>
      </c>
      <c r="P111" s="78" t="str">
        <f t="shared" si="4"/>
        <v/>
      </c>
      <c r="Q111" s="62" t="str">
        <f t="shared" si="5"/>
        <v/>
      </c>
    </row>
    <row r="112" spans="9:17" x14ac:dyDescent="0.3">
      <c r="I112" s="57" t="s">
        <v>75</v>
      </c>
      <c r="P112" s="78" t="str">
        <f t="shared" si="4"/>
        <v/>
      </c>
      <c r="Q112" s="62" t="str">
        <f t="shared" si="5"/>
        <v/>
      </c>
    </row>
    <row r="113" spans="9:17" x14ac:dyDescent="0.3">
      <c r="I113" s="57" t="s">
        <v>75</v>
      </c>
      <c r="P113" s="78" t="str">
        <f t="shared" si="4"/>
        <v/>
      </c>
      <c r="Q113" s="62" t="str">
        <f t="shared" si="5"/>
        <v/>
      </c>
    </row>
    <row r="114" spans="9:17" x14ac:dyDescent="0.3">
      <c r="I114" s="57" t="s">
        <v>75</v>
      </c>
      <c r="P114" s="78" t="str">
        <f t="shared" si="4"/>
        <v/>
      </c>
      <c r="Q114" s="62" t="str">
        <f t="shared" si="5"/>
        <v/>
      </c>
    </row>
    <row r="115" spans="9:17" x14ac:dyDescent="0.3">
      <c r="I115" s="57" t="s">
        <v>75</v>
      </c>
      <c r="P115" s="78" t="str">
        <f t="shared" si="4"/>
        <v/>
      </c>
      <c r="Q115" s="62" t="str">
        <f t="shared" si="5"/>
        <v/>
      </c>
    </row>
    <row r="116" spans="9:17" x14ac:dyDescent="0.3">
      <c r="I116" s="57" t="s">
        <v>75</v>
      </c>
      <c r="P116" s="78" t="str">
        <f t="shared" si="4"/>
        <v/>
      </c>
      <c r="Q116" s="62" t="str">
        <f t="shared" si="5"/>
        <v/>
      </c>
    </row>
    <row r="117" spans="9:17" x14ac:dyDescent="0.3">
      <c r="I117" s="57" t="s">
        <v>75</v>
      </c>
      <c r="P117" s="78" t="str">
        <f t="shared" si="4"/>
        <v/>
      </c>
      <c r="Q117" s="62" t="str">
        <f t="shared" si="5"/>
        <v/>
      </c>
    </row>
    <row r="118" spans="9:17" x14ac:dyDescent="0.3">
      <c r="I118" s="57" t="s">
        <v>75</v>
      </c>
      <c r="P118" s="78" t="str">
        <f t="shared" si="4"/>
        <v/>
      </c>
      <c r="Q118" s="62" t="str">
        <f t="shared" si="5"/>
        <v/>
      </c>
    </row>
    <row r="119" spans="9:17" x14ac:dyDescent="0.3">
      <c r="I119" s="57" t="s">
        <v>75</v>
      </c>
      <c r="P119" s="78" t="str">
        <f t="shared" si="4"/>
        <v/>
      </c>
      <c r="Q119" s="62" t="str">
        <f t="shared" si="5"/>
        <v/>
      </c>
    </row>
    <row r="120" spans="9:17" x14ac:dyDescent="0.3">
      <c r="I120" s="57" t="s">
        <v>75</v>
      </c>
      <c r="P120" s="78" t="str">
        <f t="shared" si="4"/>
        <v/>
      </c>
      <c r="Q120" s="62" t="str">
        <f t="shared" si="5"/>
        <v/>
      </c>
    </row>
    <row r="121" spans="9:17" x14ac:dyDescent="0.3">
      <c r="I121" s="57" t="s">
        <v>75</v>
      </c>
      <c r="P121" s="78" t="str">
        <f t="shared" si="4"/>
        <v/>
      </c>
      <c r="Q121" s="62" t="str">
        <f t="shared" si="5"/>
        <v/>
      </c>
    </row>
    <row r="122" spans="9:17" x14ac:dyDescent="0.3">
      <c r="I122" s="57" t="s">
        <v>75</v>
      </c>
      <c r="P122" s="78" t="str">
        <f t="shared" si="4"/>
        <v/>
      </c>
      <c r="Q122" s="62" t="str">
        <f t="shared" si="5"/>
        <v/>
      </c>
    </row>
    <row r="123" spans="9:17" x14ac:dyDescent="0.3">
      <c r="I123" s="57" t="s">
        <v>75</v>
      </c>
      <c r="P123" s="78" t="str">
        <f t="shared" si="4"/>
        <v/>
      </c>
      <c r="Q123" s="62" t="str">
        <f t="shared" si="5"/>
        <v/>
      </c>
    </row>
    <row r="124" spans="9:17" x14ac:dyDescent="0.3">
      <c r="I124" s="57" t="s">
        <v>75</v>
      </c>
      <c r="P124" s="78" t="str">
        <f t="shared" si="4"/>
        <v/>
      </c>
      <c r="Q124" s="62" t="str">
        <f t="shared" si="5"/>
        <v/>
      </c>
    </row>
    <row r="125" spans="9:17" x14ac:dyDescent="0.3">
      <c r="I125" s="57" t="s">
        <v>75</v>
      </c>
      <c r="P125" s="78" t="str">
        <f t="shared" si="4"/>
        <v/>
      </c>
      <c r="Q125" s="62" t="str">
        <f t="shared" si="5"/>
        <v/>
      </c>
    </row>
    <row r="126" spans="9:17" x14ac:dyDescent="0.3">
      <c r="I126" s="57" t="s">
        <v>75</v>
      </c>
      <c r="P126" s="78" t="str">
        <f t="shared" si="4"/>
        <v/>
      </c>
      <c r="Q126" s="62" t="str">
        <f t="shared" si="5"/>
        <v/>
      </c>
    </row>
    <row r="127" spans="9:17" x14ac:dyDescent="0.3">
      <c r="I127" s="57" t="s">
        <v>75</v>
      </c>
      <c r="P127" s="78" t="str">
        <f t="shared" si="4"/>
        <v/>
      </c>
      <c r="Q127" s="62" t="str">
        <f t="shared" si="5"/>
        <v/>
      </c>
    </row>
    <row r="128" spans="9:17" x14ac:dyDescent="0.3">
      <c r="I128" s="57" t="s">
        <v>75</v>
      </c>
      <c r="P128" s="78" t="str">
        <f t="shared" si="4"/>
        <v/>
      </c>
      <c r="Q128" s="62" t="str">
        <f t="shared" si="5"/>
        <v/>
      </c>
    </row>
    <row r="129" spans="9:17" x14ac:dyDescent="0.3">
      <c r="I129" s="57" t="s">
        <v>75</v>
      </c>
      <c r="P129" s="78" t="str">
        <f t="shared" si="4"/>
        <v/>
      </c>
      <c r="Q129" s="62" t="str">
        <f t="shared" si="5"/>
        <v/>
      </c>
    </row>
    <row r="130" spans="9:17" x14ac:dyDescent="0.3">
      <c r="I130" s="57" t="s">
        <v>75</v>
      </c>
      <c r="P130" s="78" t="str">
        <f t="shared" si="4"/>
        <v/>
      </c>
      <c r="Q130" s="62" t="str">
        <f t="shared" si="5"/>
        <v/>
      </c>
    </row>
    <row r="131" spans="9:17" x14ac:dyDescent="0.3">
      <c r="I131" s="57" t="s">
        <v>75</v>
      </c>
      <c r="P131" s="78" t="str">
        <f t="shared" si="4"/>
        <v/>
      </c>
      <c r="Q131" s="62" t="str">
        <f t="shared" si="5"/>
        <v/>
      </c>
    </row>
    <row r="132" spans="9:17" x14ac:dyDescent="0.3">
      <c r="I132" s="57" t="s">
        <v>75</v>
      </c>
      <c r="P132" s="78" t="str">
        <f t="shared" ref="P132:P190" si="6">IF(O132="","",LEFT(O132,10)*(-1))</f>
        <v/>
      </c>
      <c r="Q132" s="62" t="str">
        <f t="shared" si="5"/>
        <v/>
      </c>
    </row>
    <row r="133" spans="9:17" x14ac:dyDescent="0.3">
      <c r="I133" s="57" t="s">
        <v>75</v>
      </c>
      <c r="P133" s="78" t="str">
        <f t="shared" si="6"/>
        <v/>
      </c>
      <c r="Q133" s="62" t="str">
        <f t="shared" si="5"/>
        <v/>
      </c>
    </row>
    <row r="134" spans="9:17" x14ac:dyDescent="0.3">
      <c r="I134" s="57" t="s">
        <v>75</v>
      </c>
      <c r="P134" s="78" t="str">
        <f t="shared" si="6"/>
        <v/>
      </c>
      <c r="Q134" s="62" t="str">
        <f t="shared" si="5"/>
        <v/>
      </c>
    </row>
    <row r="135" spans="9:17" x14ac:dyDescent="0.3">
      <c r="I135" s="57" t="s">
        <v>75</v>
      </c>
      <c r="P135" s="78" t="str">
        <f t="shared" si="6"/>
        <v/>
      </c>
      <c r="Q135" s="62" t="str">
        <f t="shared" si="5"/>
        <v/>
      </c>
    </row>
    <row r="136" spans="9:17" x14ac:dyDescent="0.3">
      <c r="I136" s="57" t="s">
        <v>75</v>
      </c>
      <c r="P136" s="78" t="str">
        <f t="shared" si="6"/>
        <v/>
      </c>
      <c r="Q136" s="62" t="str">
        <f t="shared" si="5"/>
        <v/>
      </c>
    </row>
    <row r="137" spans="9:17" x14ac:dyDescent="0.3">
      <c r="I137" s="57" t="s">
        <v>75</v>
      </c>
      <c r="P137" s="78" t="str">
        <f t="shared" si="6"/>
        <v/>
      </c>
      <c r="Q137" s="62" t="str">
        <f t="shared" si="5"/>
        <v/>
      </c>
    </row>
    <row r="138" spans="9:17" x14ac:dyDescent="0.3">
      <c r="I138" s="57" t="s">
        <v>75</v>
      </c>
      <c r="P138" s="78" t="str">
        <f t="shared" si="6"/>
        <v/>
      </c>
      <c r="Q138" s="62" t="str">
        <f t="shared" si="5"/>
        <v/>
      </c>
    </row>
    <row r="139" spans="9:17" x14ac:dyDescent="0.3">
      <c r="I139" s="57" t="s">
        <v>75</v>
      </c>
      <c r="P139" s="78" t="str">
        <f t="shared" si="6"/>
        <v/>
      </c>
      <c r="Q139" s="62" t="str">
        <f t="shared" si="5"/>
        <v/>
      </c>
    </row>
    <row r="140" spans="9:17" x14ac:dyDescent="0.3">
      <c r="I140" s="57" t="s">
        <v>75</v>
      </c>
      <c r="P140" s="78" t="str">
        <f t="shared" si="6"/>
        <v/>
      </c>
      <c r="Q140" s="62" t="str">
        <f t="shared" si="5"/>
        <v/>
      </c>
    </row>
    <row r="141" spans="9:17" x14ac:dyDescent="0.3">
      <c r="I141" s="57" t="s">
        <v>75</v>
      </c>
      <c r="P141" s="78" t="str">
        <f t="shared" si="6"/>
        <v/>
      </c>
      <c r="Q141" s="62" t="str">
        <f t="shared" si="5"/>
        <v/>
      </c>
    </row>
    <row r="142" spans="9:17" x14ac:dyDescent="0.3">
      <c r="I142" s="57" t="s">
        <v>75</v>
      </c>
      <c r="P142" s="78" t="str">
        <f t="shared" si="6"/>
        <v/>
      </c>
      <c r="Q142" s="62" t="str">
        <f t="shared" si="5"/>
        <v/>
      </c>
    </row>
    <row r="143" spans="9:17" x14ac:dyDescent="0.3">
      <c r="I143" s="57" t="s">
        <v>75</v>
      </c>
      <c r="P143" s="78" t="str">
        <f t="shared" si="6"/>
        <v/>
      </c>
      <c r="Q143" s="62" t="str">
        <f t="shared" si="5"/>
        <v/>
      </c>
    </row>
    <row r="144" spans="9:17" x14ac:dyDescent="0.3">
      <c r="I144" s="57" t="s">
        <v>75</v>
      </c>
      <c r="P144" s="78" t="str">
        <f t="shared" si="6"/>
        <v/>
      </c>
      <c r="Q144" s="62" t="str">
        <f t="shared" ref="Q144:Q190" si="7">IF(P144="","",
IF(P144&lt;=30,"1-30 Days",
IF(AND(P144&gt;=31,P144&lt;=60),"31-60 Days",
"&gt;60 Days")))</f>
        <v/>
      </c>
    </row>
    <row r="145" spans="9:17" x14ac:dyDescent="0.3">
      <c r="I145" s="57" t="s">
        <v>75</v>
      </c>
      <c r="P145" s="78" t="str">
        <f t="shared" si="6"/>
        <v/>
      </c>
      <c r="Q145" s="62" t="str">
        <f t="shared" si="7"/>
        <v/>
      </c>
    </row>
    <row r="146" spans="9:17" x14ac:dyDescent="0.3">
      <c r="I146" s="57" t="s">
        <v>75</v>
      </c>
      <c r="P146" s="78" t="str">
        <f t="shared" si="6"/>
        <v/>
      </c>
      <c r="Q146" s="62" t="str">
        <f t="shared" si="7"/>
        <v/>
      </c>
    </row>
    <row r="147" spans="9:17" x14ac:dyDescent="0.3">
      <c r="I147" s="57" t="s">
        <v>75</v>
      </c>
      <c r="P147" s="78" t="str">
        <f t="shared" si="6"/>
        <v/>
      </c>
      <c r="Q147" s="62" t="str">
        <f t="shared" si="7"/>
        <v/>
      </c>
    </row>
    <row r="148" spans="9:17" x14ac:dyDescent="0.3">
      <c r="I148" s="57" t="s">
        <v>75</v>
      </c>
      <c r="P148" s="78" t="str">
        <f t="shared" si="6"/>
        <v/>
      </c>
      <c r="Q148" s="62" t="str">
        <f t="shared" si="7"/>
        <v/>
      </c>
    </row>
    <row r="149" spans="9:17" x14ac:dyDescent="0.3">
      <c r="I149" s="57" t="s">
        <v>75</v>
      </c>
      <c r="P149" s="78" t="str">
        <f t="shared" si="6"/>
        <v/>
      </c>
      <c r="Q149" s="62" t="str">
        <f t="shared" si="7"/>
        <v/>
      </c>
    </row>
    <row r="150" spans="9:17" x14ac:dyDescent="0.3">
      <c r="I150" s="57" t="s">
        <v>75</v>
      </c>
      <c r="P150" s="78" t="str">
        <f t="shared" si="6"/>
        <v/>
      </c>
      <c r="Q150" s="62" t="str">
        <f t="shared" si="7"/>
        <v/>
      </c>
    </row>
    <row r="151" spans="9:17" x14ac:dyDescent="0.3">
      <c r="I151" s="57" t="s">
        <v>75</v>
      </c>
      <c r="P151" s="78" t="str">
        <f t="shared" si="6"/>
        <v/>
      </c>
      <c r="Q151" s="62" t="str">
        <f t="shared" si="7"/>
        <v/>
      </c>
    </row>
    <row r="152" spans="9:17" x14ac:dyDescent="0.3">
      <c r="I152" s="57" t="s">
        <v>75</v>
      </c>
      <c r="P152" s="78" t="str">
        <f t="shared" si="6"/>
        <v/>
      </c>
      <c r="Q152" s="62" t="str">
        <f t="shared" si="7"/>
        <v/>
      </c>
    </row>
    <row r="153" spans="9:17" x14ac:dyDescent="0.3">
      <c r="I153" s="57" t="s">
        <v>75</v>
      </c>
      <c r="P153" s="78" t="str">
        <f t="shared" si="6"/>
        <v/>
      </c>
      <c r="Q153" s="62" t="str">
        <f t="shared" si="7"/>
        <v/>
      </c>
    </row>
    <row r="154" spans="9:17" x14ac:dyDescent="0.3">
      <c r="I154" s="57" t="s">
        <v>75</v>
      </c>
      <c r="P154" s="78" t="str">
        <f t="shared" si="6"/>
        <v/>
      </c>
      <c r="Q154" s="62" t="str">
        <f t="shared" si="7"/>
        <v/>
      </c>
    </row>
    <row r="155" spans="9:17" x14ac:dyDescent="0.3">
      <c r="I155" s="57" t="s">
        <v>75</v>
      </c>
      <c r="P155" s="78" t="str">
        <f t="shared" si="6"/>
        <v/>
      </c>
      <c r="Q155" s="62" t="str">
        <f t="shared" si="7"/>
        <v/>
      </c>
    </row>
    <row r="156" spans="9:17" x14ac:dyDescent="0.3">
      <c r="I156" s="57" t="s">
        <v>75</v>
      </c>
      <c r="P156" s="78" t="str">
        <f t="shared" si="6"/>
        <v/>
      </c>
      <c r="Q156" s="62" t="str">
        <f t="shared" si="7"/>
        <v/>
      </c>
    </row>
    <row r="157" spans="9:17" x14ac:dyDescent="0.3">
      <c r="I157" s="57" t="s">
        <v>75</v>
      </c>
      <c r="P157" s="78" t="str">
        <f t="shared" si="6"/>
        <v/>
      </c>
      <c r="Q157" s="62" t="str">
        <f t="shared" si="7"/>
        <v/>
      </c>
    </row>
    <row r="158" spans="9:17" x14ac:dyDescent="0.3">
      <c r="I158" s="57" t="s">
        <v>75</v>
      </c>
      <c r="P158" s="78" t="str">
        <f t="shared" si="6"/>
        <v/>
      </c>
      <c r="Q158" s="62" t="str">
        <f t="shared" si="7"/>
        <v/>
      </c>
    </row>
    <row r="159" spans="9:17" x14ac:dyDescent="0.3">
      <c r="I159" s="57" t="s">
        <v>75</v>
      </c>
      <c r="P159" s="78" t="str">
        <f t="shared" si="6"/>
        <v/>
      </c>
      <c r="Q159" s="62" t="str">
        <f t="shared" si="7"/>
        <v/>
      </c>
    </row>
    <row r="160" spans="9:17" x14ac:dyDescent="0.3">
      <c r="I160" s="57" t="s">
        <v>75</v>
      </c>
      <c r="P160" s="78" t="str">
        <f t="shared" si="6"/>
        <v/>
      </c>
      <c r="Q160" s="62" t="str">
        <f t="shared" si="7"/>
        <v/>
      </c>
    </row>
    <row r="161" spans="9:17" x14ac:dyDescent="0.3">
      <c r="I161" s="57" t="s">
        <v>75</v>
      </c>
      <c r="P161" s="78" t="str">
        <f t="shared" si="6"/>
        <v/>
      </c>
      <c r="Q161" s="62" t="str">
        <f t="shared" si="7"/>
        <v/>
      </c>
    </row>
    <row r="162" spans="9:17" x14ac:dyDescent="0.3">
      <c r="I162" s="57" t="s">
        <v>75</v>
      </c>
      <c r="P162" s="78" t="str">
        <f t="shared" si="6"/>
        <v/>
      </c>
      <c r="Q162" s="62" t="str">
        <f t="shared" si="7"/>
        <v/>
      </c>
    </row>
    <row r="163" spans="9:17" x14ac:dyDescent="0.3">
      <c r="I163" s="57" t="s">
        <v>75</v>
      </c>
      <c r="P163" s="78" t="str">
        <f t="shared" si="6"/>
        <v/>
      </c>
      <c r="Q163" s="62" t="str">
        <f t="shared" si="7"/>
        <v/>
      </c>
    </row>
    <row r="164" spans="9:17" x14ac:dyDescent="0.3">
      <c r="I164" s="57" t="s">
        <v>75</v>
      </c>
      <c r="P164" s="78" t="str">
        <f t="shared" si="6"/>
        <v/>
      </c>
      <c r="Q164" s="62" t="str">
        <f t="shared" si="7"/>
        <v/>
      </c>
    </row>
    <row r="165" spans="9:17" x14ac:dyDescent="0.3">
      <c r="I165" s="57" t="s">
        <v>75</v>
      </c>
      <c r="P165" s="78" t="str">
        <f t="shared" si="6"/>
        <v/>
      </c>
      <c r="Q165" s="62" t="str">
        <f t="shared" si="7"/>
        <v/>
      </c>
    </row>
    <row r="166" spans="9:17" x14ac:dyDescent="0.3">
      <c r="I166" s="57" t="s">
        <v>75</v>
      </c>
      <c r="P166" s="78" t="str">
        <f t="shared" si="6"/>
        <v/>
      </c>
      <c r="Q166" s="62" t="str">
        <f t="shared" si="7"/>
        <v/>
      </c>
    </row>
    <row r="167" spans="9:17" x14ac:dyDescent="0.3">
      <c r="I167" s="57" t="s">
        <v>75</v>
      </c>
      <c r="P167" s="78" t="str">
        <f t="shared" si="6"/>
        <v/>
      </c>
      <c r="Q167" s="62" t="str">
        <f t="shared" si="7"/>
        <v/>
      </c>
    </row>
    <row r="168" spans="9:17" x14ac:dyDescent="0.3">
      <c r="I168" s="57" t="s">
        <v>75</v>
      </c>
      <c r="P168" s="78" t="str">
        <f t="shared" si="6"/>
        <v/>
      </c>
      <c r="Q168" s="62" t="str">
        <f t="shared" si="7"/>
        <v/>
      </c>
    </row>
    <row r="169" spans="9:17" x14ac:dyDescent="0.3">
      <c r="I169" s="57" t="s">
        <v>75</v>
      </c>
      <c r="P169" s="78" t="str">
        <f t="shared" si="6"/>
        <v/>
      </c>
      <c r="Q169" s="62" t="str">
        <f t="shared" si="7"/>
        <v/>
      </c>
    </row>
    <row r="170" spans="9:17" x14ac:dyDescent="0.3">
      <c r="I170" s="57" t="s">
        <v>75</v>
      </c>
      <c r="P170" s="78" t="str">
        <f t="shared" si="6"/>
        <v/>
      </c>
      <c r="Q170" s="62" t="str">
        <f t="shared" si="7"/>
        <v/>
      </c>
    </row>
    <row r="171" spans="9:17" x14ac:dyDescent="0.3">
      <c r="I171" s="57" t="s">
        <v>75</v>
      </c>
      <c r="P171" s="78" t="str">
        <f t="shared" si="6"/>
        <v/>
      </c>
      <c r="Q171" s="62" t="str">
        <f t="shared" si="7"/>
        <v/>
      </c>
    </row>
    <row r="172" spans="9:17" x14ac:dyDescent="0.3">
      <c r="I172" s="57" t="s">
        <v>75</v>
      </c>
      <c r="P172" s="78" t="str">
        <f t="shared" si="6"/>
        <v/>
      </c>
      <c r="Q172" s="62" t="str">
        <f t="shared" si="7"/>
        <v/>
      </c>
    </row>
    <row r="173" spans="9:17" x14ac:dyDescent="0.3">
      <c r="I173" s="57" t="s">
        <v>75</v>
      </c>
      <c r="P173" s="78" t="str">
        <f t="shared" si="6"/>
        <v/>
      </c>
      <c r="Q173" s="62" t="str">
        <f t="shared" si="7"/>
        <v/>
      </c>
    </row>
    <row r="174" spans="9:17" x14ac:dyDescent="0.3">
      <c r="I174" s="57" t="s">
        <v>75</v>
      </c>
      <c r="P174" s="78" t="str">
        <f t="shared" si="6"/>
        <v/>
      </c>
      <c r="Q174" s="62" t="str">
        <f t="shared" si="7"/>
        <v/>
      </c>
    </row>
    <row r="175" spans="9:17" x14ac:dyDescent="0.3">
      <c r="I175" s="57" t="s">
        <v>75</v>
      </c>
      <c r="P175" s="78" t="str">
        <f t="shared" si="6"/>
        <v/>
      </c>
      <c r="Q175" s="62" t="str">
        <f t="shared" si="7"/>
        <v/>
      </c>
    </row>
    <row r="176" spans="9:17" x14ac:dyDescent="0.3">
      <c r="I176" s="57" t="s">
        <v>75</v>
      </c>
      <c r="P176" s="78" t="str">
        <f t="shared" si="6"/>
        <v/>
      </c>
      <c r="Q176" s="62" t="str">
        <f t="shared" si="7"/>
        <v/>
      </c>
    </row>
    <row r="177" spans="9:17" x14ac:dyDescent="0.3">
      <c r="I177" s="57" t="s">
        <v>75</v>
      </c>
      <c r="P177" s="78" t="str">
        <f t="shared" si="6"/>
        <v/>
      </c>
      <c r="Q177" s="62" t="str">
        <f t="shared" si="7"/>
        <v/>
      </c>
    </row>
    <row r="178" spans="9:17" x14ac:dyDescent="0.3">
      <c r="I178" s="57" t="s">
        <v>75</v>
      </c>
      <c r="P178" s="78" t="str">
        <f t="shared" si="6"/>
        <v/>
      </c>
      <c r="Q178" s="62" t="str">
        <f t="shared" si="7"/>
        <v/>
      </c>
    </row>
    <row r="179" spans="9:17" x14ac:dyDescent="0.3">
      <c r="I179" s="57" t="s">
        <v>75</v>
      </c>
      <c r="P179" s="78" t="str">
        <f t="shared" si="6"/>
        <v/>
      </c>
      <c r="Q179" s="62" t="str">
        <f t="shared" si="7"/>
        <v/>
      </c>
    </row>
    <row r="180" spans="9:17" x14ac:dyDescent="0.3">
      <c r="I180" s="57" t="s">
        <v>75</v>
      </c>
      <c r="P180" s="78" t="str">
        <f t="shared" si="6"/>
        <v/>
      </c>
      <c r="Q180" s="62" t="str">
        <f t="shared" si="7"/>
        <v/>
      </c>
    </row>
    <row r="181" spans="9:17" x14ac:dyDescent="0.3">
      <c r="I181" s="57" t="s">
        <v>75</v>
      </c>
      <c r="P181" s="78" t="str">
        <f t="shared" si="6"/>
        <v/>
      </c>
      <c r="Q181" s="62" t="str">
        <f t="shared" si="7"/>
        <v/>
      </c>
    </row>
    <row r="182" spans="9:17" x14ac:dyDescent="0.3">
      <c r="I182" s="57" t="s">
        <v>75</v>
      </c>
      <c r="P182" s="78" t="str">
        <f t="shared" si="6"/>
        <v/>
      </c>
      <c r="Q182" s="62" t="str">
        <f t="shared" si="7"/>
        <v/>
      </c>
    </row>
    <row r="183" spans="9:17" x14ac:dyDescent="0.3">
      <c r="I183" s="57" t="s">
        <v>75</v>
      </c>
      <c r="P183" s="78" t="str">
        <f t="shared" si="6"/>
        <v/>
      </c>
      <c r="Q183" s="62" t="str">
        <f t="shared" si="7"/>
        <v/>
      </c>
    </row>
    <row r="184" spans="9:17" x14ac:dyDescent="0.3">
      <c r="I184" s="57" t="s">
        <v>75</v>
      </c>
      <c r="P184" s="78" t="str">
        <f t="shared" si="6"/>
        <v/>
      </c>
      <c r="Q184" s="62" t="str">
        <f t="shared" si="7"/>
        <v/>
      </c>
    </row>
    <row r="185" spans="9:17" x14ac:dyDescent="0.3">
      <c r="I185" s="57" t="s">
        <v>75</v>
      </c>
      <c r="P185" s="78" t="str">
        <f t="shared" si="6"/>
        <v/>
      </c>
      <c r="Q185" s="62" t="str">
        <f t="shared" si="7"/>
        <v/>
      </c>
    </row>
    <row r="186" spans="9:17" x14ac:dyDescent="0.3">
      <c r="I186" s="57" t="s">
        <v>75</v>
      </c>
      <c r="P186" s="78" t="str">
        <f t="shared" si="6"/>
        <v/>
      </c>
      <c r="Q186" s="62" t="str">
        <f t="shared" si="7"/>
        <v/>
      </c>
    </row>
    <row r="187" spans="9:17" x14ac:dyDescent="0.3">
      <c r="I187" s="57" t="s">
        <v>75</v>
      </c>
      <c r="P187" s="78" t="str">
        <f t="shared" si="6"/>
        <v/>
      </c>
      <c r="Q187" s="62" t="str">
        <f t="shared" si="7"/>
        <v/>
      </c>
    </row>
    <row r="188" spans="9:17" x14ac:dyDescent="0.3">
      <c r="I188" s="57" t="s">
        <v>75</v>
      </c>
      <c r="P188" s="78" t="str">
        <f t="shared" si="6"/>
        <v/>
      </c>
      <c r="Q188" s="62" t="str">
        <f t="shared" si="7"/>
        <v/>
      </c>
    </row>
    <row r="189" spans="9:17" x14ac:dyDescent="0.3">
      <c r="I189" s="57" t="s">
        <v>75</v>
      </c>
      <c r="P189" s="78" t="str">
        <f t="shared" si="6"/>
        <v/>
      </c>
      <c r="Q189" s="62" t="str">
        <f t="shared" si="7"/>
        <v/>
      </c>
    </row>
    <row r="190" spans="9:17" x14ac:dyDescent="0.3">
      <c r="I190" s="57" t="s">
        <v>75</v>
      </c>
      <c r="P190" s="78" t="str">
        <f t="shared" si="6"/>
        <v/>
      </c>
      <c r="Q190" s="62" t="str">
        <f t="shared" si="7"/>
        <v/>
      </c>
    </row>
  </sheetData>
  <mergeCells count="1">
    <mergeCell ref="S8:S9"/>
  </mergeCells>
  <dataValidations count="3">
    <dataValidation type="list" allowBlank="1" showInputMessage="1" showErrorMessage="1" sqref="H3" xr:uid="{54062C76-E38E-4534-810E-8CB38E52046B}">
      <formula1>"Issue, Modification, Information, Change Request, Quotation"</formula1>
    </dataValidation>
    <dataValidation type="list" allowBlank="1" showInputMessage="1" showErrorMessage="1" sqref="M3:M95" xr:uid="{97963C56-10DC-4302-A8A4-0A2E9BCD6DD4}">
      <formula1>"Pending, InProgress, Completed, Closed"</formula1>
    </dataValidation>
    <dataValidation type="list" allowBlank="1" showInputMessage="1" showErrorMessage="1" sqref="I3:I190" xr:uid="{F2BD2968-D86B-4634-AC21-F509681B08AF}">
      <formula1>"High, Medium, Low"</formula1>
    </dataValidation>
  </dataValidations>
  <hyperlinks>
    <hyperlink ref="A1" location="'All clients'!A1" display="&lt;---" xr:uid="{F95B2E14-10F0-489E-82C0-60E62CB07CA5}"/>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2FBB6-AA3F-437E-9CCA-E14CA53C7251}">
  <dimension ref="A1"/>
  <sheetViews>
    <sheetView workbookViewId="0"/>
  </sheetViews>
  <sheetFormatPr defaultRowHeight="15.6" x14ac:dyDescent="0.3"/>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94F35-F093-4029-B9D8-6BD0B6AA3F33}">
  <dimension ref="A1:A21"/>
  <sheetViews>
    <sheetView workbookViewId="0">
      <selection sqref="A1:A21"/>
    </sheetView>
  </sheetViews>
  <sheetFormatPr defaultRowHeight="15.6" x14ac:dyDescent="0.3"/>
  <cols>
    <col min="1" max="1" width="9.5" bestFit="1" customWidth="1"/>
  </cols>
  <sheetData>
    <row r="1" spans="1:1" x14ac:dyDescent="0.3">
      <c r="A1" s="95" t="s">
        <v>1336</v>
      </c>
    </row>
    <row r="2" spans="1:1" x14ac:dyDescent="0.3">
      <c r="A2" s="96">
        <v>46023</v>
      </c>
    </row>
    <row r="3" spans="1:1" x14ac:dyDescent="0.3">
      <c r="A3" s="96">
        <v>46055</v>
      </c>
    </row>
    <row r="4" spans="1:1" x14ac:dyDescent="0.3">
      <c r="A4" s="96">
        <v>46070</v>
      </c>
    </row>
    <row r="5" spans="1:1" x14ac:dyDescent="0.3">
      <c r="A5" s="96">
        <v>46071</v>
      </c>
    </row>
    <row r="6" spans="1:1" x14ac:dyDescent="0.3">
      <c r="A6" s="96">
        <v>46104</v>
      </c>
    </row>
    <row r="7" spans="1:1" x14ac:dyDescent="0.3">
      <c r="A7" s="96">
        <v>46112</v>
      </c>
    </row>
    <row r="8" spans="1:1" x14ac:dyDescent="0.3">
      <c r="A8" s="96">
        <v>46113</v>
      </c>
    </row>
    <row r="9" spans="1:1" x14ac:dyDescent="0.3">
      <c r="A9" s="96">
        <v>46143</v>
      </c>
    </row>
    <row r="10" spans="1:1" x14ac:dyDescent="0.3">
      <c r="A10" s="96">
        <v>46154</v>
      </c>
    </row>
    <row r="11" spans="1:1" x14ac:dyDescent="0.3">
      <c r="A11" s="96">
        <v>46175</v>
      </c>
    </row>
    <row r="12" spans="1:1" x14ac:dyDescent="0.3">
      <c r="A12" s="96">
        <v>46180</v>
      </c>
    </row>
    <row r="13" spans="1:1" x14ac:dyDescent="0.3">
      <c r="A13" s="96">
        <v>46200</v>
      </c>
    </row>
    <row r="14" spans="1:1" x14ac:dyDescent="0.3">
      <c r="A14" s="96">
        <v>46265</v>
      </c>
    </row>
    <row r="15" spans="1:1" x14ac:dyDescent="0.3">
      <c r="A15" s="96">
        <v>46266</v>
      </c>
    </row>
    <row r="16" spans="1:1" x14ac:dyDescent="0.3">
      <c r="A16" s="96">
        <v>46270</v>
      </c>
    </row>
    <row r="17" spans="1:1" x14ac:dyDescent="0.3">
      <c r="A17" s="96">
        <v>46281</v>
      </c>
    </row>
    <row r="18" spans="1:1" x14ac:dyDescent="0.3">
      <c r="A18" s="96">
        <v>46315</v>
      </c>
    </row>
    <row r="19" spans="1:1" x14ac:dyDescent="0.3">
      <c r="A19" s="96">
        <v>46367</v>
      </c>
    </row>
    <row r="20" spans="1:1" x14ac:dyDescent="0.3">
      <c r="A20" s="96">
        <v>46381</v>
      </c>
    </row>
    <row r="21" spans="1:1" x14ac:dyDescent="0.3">
      <c r="A21" s="96">
        <v>46023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vt:i4>
      </vt:variant>
    </vt:vector>
  </HeadingPairs>
  <TitlesOfParts>
    <vt:vector size="17" baseType="lpstr">
      <vt:lpstr>EXAMPLE Multi Project Dashboard</vt:lpstr>
      <vt:lpstr>– Disclaimer –</vt:lpstr>
      <vt:lpstr>Ticket Issue Client Dashboard</vt:lpstr>
      <vt:lpstr>Ageing Issue</vt:lpstr>
      <vt:lpstr>FRIM</vt:lpstr>
      <vt:lpstr>MTIB</vt:lpstr>
      <vt:lpstr>MPOB</vt:lpstr>
      <vt:lpstr>LKTN</vt:lpstr>
      <vt:lpstr>LAM</vt:lpstr>
      <vt:lpstr>ISN</vt:lpstr>
      <vt:lpstr>MSN</vt:lpstr>
      <vt:lpstr>KTPC</vt:lpstr>
      <vt:lpstr>KUIPS</vt:lpstr>
      <vt:lpstr>YIPS</vt:lpstr>
      <vt:lpstr>DATA</vt:lpstr>
      <vt:lpstr>'EXAMPLE Multi Project Dashboard'!Print_Area</vt:lpstr>
      <vt:lpstr>'Ticket Issue Client 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Lenovo</cp:lastModifiedBy>
  <cp:lastPrinted>2026-07-08T03:51:29Z</cp:lastPrinted>
  <dcterms:created xsi:type="dcterms:W3CDTF">2016-03-21T16:06:55Z</dcterms:created>
  <dcterms:modified xsi:type="dcterms:W3CDTF">2026-07-22T09:24:10Z</dcterms:modified>
</cp:coreProperties>
</file>