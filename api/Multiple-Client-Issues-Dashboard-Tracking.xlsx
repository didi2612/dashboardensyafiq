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 analysis\dashboard\api\"/>
    </mc:Choice>
  </mc:AlternateContent>
  <xr:revisionPtr revIDLastSave="0" documentId="13_ncr:1_{73E9D04D-B850-459B-B511-6434B8BBDC34}" xr6:coauthVersionLast="47" xr6:coauthVersionMax="47" xr10:uidLastSave="{00000000-0000-0000-0000-000000000000}"/>
  <bookViews>
    <workbookView xWindow="-108" yWindow="-108" windowWidth="23256" windowHeight="12456" tabRatio="291" firstSheet="4" activeTab="5" xr2:uid="{00000000-000D-0000-FFFF-FFFF00000000}"/>
  </bookViews>
  <sheets>
    <sheet name="EXAMPLE Multi Project Dashboard" sheetId="1" r:id="rId1"/>
    <sheet name="– Disclaimer –" sheetId="3" r:id="rId2"/>
    <sheet name="Ticket Issue Client Dashboard" sheetId="4" r:id="rId3"/>
    <sheet name="Ageing Issue" sheetId="17" r:id="rId4"/>
    <sheet name="Client Warranty" sheetId="19" r:id="rId5"/>
    <sheet name="Client Project" sheetId="18" r:id="rId6"/>
    <sheet name="FRIM" sheetId="6" r:id="rId7"/>
    <sheet name="MTIB" sheetId="7" r:id="rId8"/>
    <sheet name="MPOB" sheetId="8" r:id="rId9"/>
    <sheet name="LKTN" sheetId="9" r:id="rId10"/>
    <sheet name="LAM" sheetId="10" r:id="rId11"/>
    <sheet name="ISN" sheetId="11" r:id="rId12"/>
    <sheet name="MSN" sheetId="12" r:id="rId13"/>
    <sheet name="KTPC" sheetId="14" r:id="rId14"/>
    <sheet name="KUIPS" sheetId="15" r:id="rId15"/>
    <sheet name="YIPS" sheetId="13" r:id="rId16"/>
    <sheet name="DATA" sheetId="16" r:id="rId17"/>
  </sheets>
  <externalReferences>
    <externalReference r:id="rId18"/>
    <externalReference r:id="rId19"/>
    <externalReference r:id="rId20"/>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I80" i="18" l="1"/>
  <c r="I79" i="18"/>
  <c r="I78" i="18"/>
  <c r="I77" i="18"/>
  <c r="I76" i="18"/>
  <c r="I75" i="18"/>
  <c r="I74" i="18"/>
  <c r="I73" i="18"/>
  <c r="I72" i="18"/>
  <c r="I71" i="18"/>
  <c r="I70" i="18"/>
  <c r="I69" i="18"/>
  <c r="I68" i="18"/>
  <c r="I67" i="18"/>
  <c r="I66" i="18"/>
  <c r="I65" i="18"/>
  <c r="I64" i="18"/>
  <c r="I63" i="18"/>
  <c r="O60" i="18"/>
  <c r="O59" i="18"/>
  <c r="O56" i="18"/>
  <c r="N46" i="18"/>
  <c r="N42" i="18"/>
  <c r="N27" i="18"/>
  <c r="N20" i="18"/>
  <c r="N15" i="18"/>
  <c r="N8" i="18"/>
  <c r="N2" i="18"/>
  <c r="P190" i="19" l="1"/>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1" i="11"/>
  <c r="O12" i="11"/>
  <c r="O13" i="11"/>
  <c r="O16" i="11"/>
  <c r="O17" i="11"/>
  <c r="O19" i="11"/>
  <c r="O20" i="11"/>
  <c r="O21" i="11"/>
  <c r="O24"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0" i="9"/>
  <c r="O11" i="9"/>
  <c r="O12"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N11" i="9"/>
  <c r="N12" i="9"/>
  <c r="N13" i="9"/>
  <c r="O13" i="9" s="1"/>
  <c r="N14" i="9"/>
  <c r="N15" i="9"/>
  <c r="N16" i="9"/>
  <c r="N17" i="9"/>
  <c r="N18" i="9"/>
  <c r="N19" i="9"/>
  <c r="N20" i="9"/>
  <c r="N21" i="9"/>
  <c r="N22" i="9"/>
  <c r="N23" i="9"/>
  <c r="N24" i="9"/>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N96" i="8"/>
  <c r="N97" i="8"/>
  <c r="N98" i="8"/>
  <c r="N99" i="8"/>
  <c r="N100" i="8"/>
  <c r="N101" i="8"/>
  <c r="N102" i="8"/>
  <c r="N103" i="8"/>
  <c r="N104" i="8"/>
  <c r="N105" i="8"/>
  <c r="N106" i="8"/>
  <c r="N107" i="8"/>
  <c r="N108" i="8"/>
  <c r="N109" i="8"/>
  <c r="N110" i="8"/>
  <c r="N111" i="8"/>
  <c r="N112" i="8"/>
  <c r="N113" i="8"/>
  <c r="N114" i="8"/>
  <c r="N115" i="8"/>
  <c r="N116" i="8"/>
  <c r="O116" i="8" s="1"/>
  <c r="P116" i="8" s="1"/>
  <c r="Q116" i="8" s="1"/>
  <c r="N117" i="8"/>
  <c r="N118" i="8"/>
  <c r="N119" i="8"/>
  <c r="N120" i="8"/>
  <c r="N121" i="8"/>
  <c r="N122" i="8"/>
  <c r="N123" i="8"/>
  <c r="N124" i="8"/>
  <c r="N125" i="8"/>
  <c r="N126" i="8"/>
  <c r="N127" i="8"/>
  <c r="O127" i="8" s="1"/>
  <c r="P127" i="8" s="1"/>
  <c r="Q127" i="8" s="1"/>
  <c r="N128" i="8"/>
  <c r="N129" i="8"/>
  <c r="N130" i="8"/>
  <c r="O130" i="8" s="1"/>
  <c r="P130" i="8" s="1"/>
  <c r="Q130" i="8" s="1"/>
  <c r="N131" i="8"/>
  <c r="N132" i="8"/>
  <c r="N133" i="8"/>
  <c r="N134" i="8"/>
  <c r="N135" i="8"/>
  <c r="O135" i="8" s="1"/>
  <c r="P135" i="8" s="1"/>
  <c r="Q135" i="8" s="1"/>
  <c r="N136" i="8"/>
  <c r="N137" i="8"/>
  <c r="N138" i="8"/>
  <c r="N139" i="8"/>
  <c r="N140" i="8"/>
  <c r="N141" i="8"/>
  <c r="N142" i="8"/>
  <c r="N143" i="8"/>
  <c r="N144" i="8"/>
  <c r="N145" i="8"/>
  <c r="N146" i="8"/>
  <c r="N147" i="8"/>
  <c r="O147" i="8" s="1"/>
  <c r="P147" i="8" s="1"/>
  <c r="Q147" i="8" s="1"/>
  <c r="N148" i="8"/>
  <c r="N149" i="8"/>
  <c r="N150" i="8"/>
  <c r="N151" i="8"/>
  <c r="N152" i="8"/>
  <c r="N153" i="8"/>
  <c r="N154" i="8"/>
  <c r="N155" i="8"/>
  <c r="N156" i="8"/>
  <c r="O156" i="8" s="1"/>
  <c r="P156" i="8" s="1"/>
  <c r="Q156" i="8" s="1"/>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O183" i="8" s="1"/>
  <c r="P183" i="8" s="1"/>
  <c r="Q183" i="8" s="1"/>
  <c r="N184" i="8"/>
  <c r="N185" i="8"/>
  <c r="N186" i="8"/>
  <c r="N187" i="8"/>
  <c r="N188" i="8"/>
  <c r="O188" i="8" s="1"/>
  <c r="P188" i="8" s="1"/>
  <c r="Q188" i="8" s="1"/>
  <c r="N189" i="8"/>
  <c r="N190" i="8"/>
  <c r="N191" i="8"/>
  <c r="N192" i="8"/>
  <c r="N193" i="8"/>
  <c r="N194" i="8"/>
  <c r="N195" i="8"/>
  <c r="N196" i="8"/>
  <c r="N197" i="8"/>
  <c r="N198" i="8"/>
  <c r="N199" i="8"/>
  <c r="O199" i="8" s="1"/>
  <c r="N200" i="8"/>
  <c r="N201" i="8"/>
  <c r="N202" i="8"/>
  <c r="N203" i="8"/>
  <c r="N204" i="8"/>
  <c r="N205" i="8"/>
  <c r="N206" i="8"/>
  <c r="N207" i="8"/>
  <c r="N208" i="8"/>
  <c r="N93" i="8"/>
  <c r="N94" i="8"/>
  <c r="N95" i="8"/>
  <c r="O96" i="8"/>
  <c r="P96" i="8" s="1"/>
  <c r="Q96" i="8" s="1"/>
  <c r="O97" i="8"/>
  <c r="P97" i="8" s="1"/>
  <c r="Q97" i="8" s="1"/>
  <c r="O98" i="8"/>
  <c r="P98" i="8" s="1"/>
  <c r="Q98" i="8" s="1"/>
  <c r="O99" i="8"/>
  <c r="P99" i="8" s="1"/>
  <c r="Q99" i="8" s="1"/>
  <c r="O100" i="8"/>
  <c r="P100" i="8" s="1"/>
  <c r="Q100" i="8" s="1"/>
  <c r="O101" i="8"/>
  <c r="P101" i="8" s="1"/>
  <c r="Q101" i="8" s="1"/>
  <c r="O102" i="8"/>
  <c r="P102" i="8" s="1"/>
  <c r="Q102" i="8" s="1"/>
  <c r="O103" i="8"/>
  <c r="P103" i="8" s="1"/>
  <c r="Q103" i="8" s="1"/>
  <c r="O104" i="8"/>
  <c r="P104" i="8" s="1"/>
  <c r="Q104" i="8" s="1"/>
  <c r="O105" i="8"/>
  <c r="P105" i="8" s="1"/>
  <c r="Q105" i="8" s="1"/>
  <c r="O106" i="8"/>
  <c r="P106" i="8" s="1"/>
  <c r="Q106" i="8" s="1"/>
  <c r="O107" i="8"/>
  <c r="P107" i="8" s="1"/>
  <c r="Q107" i="8" s="1"/>
  <c r="O108" i="8"/>
  <c r="P108" i="8" s="1"/>
  <c r="Q108" i="8" s="1"/>
  <c r="O109" i="8"/>
  <c r="P109" i="8" s="1"/>
  <c r="Q109" i="8" s="1"/>
  <c r="O110" i="8"/>
  <c r="P110" i="8" s="1"/>
  <c r="Q110" i="8" s="1"/>
  <c r="O111" i="8"/>
  <c r="P111" i="8" s="1"/>
  <c r="Q111" i="8" s="1"/>
  <c r="O112" i="8"/>
  <c r="P112" i="8" s="1"/>
  <c r="Q112" i="8" s="1"/>
  <c r="O113" i="8"/>
  <c r="P113" i="8" s="1"/>
  <c r="Q113" i="8" s="1"/>
  <c r="O114" i="8"/>
  <c r="P114" i="8" s="1"/>
  <c r="Q114" i="8" s="1"/>
  <c r="O115" i="8"/>
  <c r="P115" i="8" s="1"/>
  <c r="Q115" i="8" s="1"/>
  <c r="O117" i="8"/>
  <c r="P117" i="8" s="1"/>
  <c r="Q117" i="8" s="1"/>
  <c r="O118" i="8"/>
  <c r="P118" i="8" s="1"/>
  <c r="Q118" i="8" s="1"/>
  <c r="O119" i="8"/>
  <c r="P119" i="8" s="1"/>
  <c r="Q119" i="8" s="1"/>
  <c r="O120" i="8"/>
  <c r="P120" i="8" s="1"/>
  <c r="Q120" i="8" s="1"/>
  <c r="O121" i="8"/>
  <c r="P121" i="8" s="1"/>
  <c r="Q121" i="8" s="1"/>
  <c r="O122" i="8"/>
  <c r="P122" i="8" s="1"/>
  <c r="Q122" i="8" s="1"/>
  <c r="O123" i="8"/>
  <c r="P123" i="8" s="1"/>
  <c r="Q123" i="8" s="1"/>
  <c r="O124" i="8"/>
  <c r="P124" i="8" s="1"/>
  <c r="Q124" i="8" s="1"/>
  <c r="O125" i="8"/>
  <c r="P125" i="8" s="1"/>
  <c r="Q125" i="8" s="1"/>
  <c r="O126" i="8"/>
  <c r="P126" i="8" s="1"/>
  <c r="Q126" i="8" s="1"/>
  <c r="O128" i="8"/>
  <c r="P128" i="8" s="1"/>
  <c r="Q128" i="8" s="1"/>
  <c r="O129" i="8"/>
  <c r="P129" i="8" s="1"/>
  <c r="Q129" i="8" s="1"/>
  <c r="O131" i="8"/>
  <c r="P131" i="8" s="1"/>
  <c r="Q131" i="8" s="1"/>
  <c r="O132" i="8"/>
  <c r="P132" i="8" s="1"/>
  <c r="Q132" i="8" s="1"/>
  <c r="O133" i="8"/>
  <c r="P133" i="8" s="1"/>
  <c r="Q133" i="8" s="1"/>
  <c r="O134" i="8"/>
  <c r="P134" i="8" s="1"/>
  <c r="Q134" i="8" s="1"/>
  <c r="O136" i="8"/>
  <c r="P136" i="8" s="1"/>
  <c r="Q136" i="8" s="1"/>
  <c r="O137" i="8"/>
  <c r="P137" i="8" s="1"/>
  <c r="Q137" i="8" s="1"/>
  <c r="O138" i="8"/>
  <c r="P138" i="8" s="1"/>
  <c r="Q138" i="8" s="1"/>
  <c r="O139" i="8"/>
  <c r="P139" i="8" s="1"/>
  <c r="Q139" i="8" s="1"/>
  <c r="O140" i="8"/>
  <c r="P140" i="8" s="1"/>
  <c r="Q140" i="8" s="1"/>
  <c r="O141" i="8"/>
  <c r="P141" i="8" s="1"/>
  <c r="Q141" i="8" s="1"/>
  <c r="O142" i="8"/>
  <c r="P142" i="8" s="1"/>
  <c r="Q142" i="8" s="1"/>
  <c r="O143" i="8"/>
  <c r="P143" i="8" s="1"/>
  <c r="Q143" i="8" s="1"/>
  <c r="O144" i="8"/>
  <c r="P144" i="8" s="1"/>
  <c r="Q144" i="8" s="1"/>
  <c r="O145" i="8"/>
  <c r="P145" i="8" s="1"/>
  <c r="Q145" i="8" s="1"/>
  <c r="O146" i="8"/>
  <c r="P146" i="8" s="1"/>
  <c r="Q146" i="8" s="1"/>
  <c r="O148" i="8"/>
  <c r="P148" i="8" s="1"/>
  <c r="Q148" i="8" s="1"/>
  <c r="O149" i="8"/>
  <c r="P149" i="8" s="1"/>
  <c r="Q149" i="8" s="1"/>
  <c r="O150" i="8"/>
  <c r="P150" i="8" s="1"/>
  <c r="Q150" i="8" s="1"/>
  <c r="O151" i="8"/>
  <c r="P151" i="8" s="1"/>
  <c r="Q151" i="8" s="1"/>
  <c r="O152" i="8"/>
  <c r="P152" i="8" s="1"/>
  <c r="Q152" i="8" s="1"/>
  <c r="O153" i="8"/>
  <c r="P153" i="8" s="1"/>
  <c r="Q153" i="8" s="1"/>
  <c r="O154" i="8"/>
  <c r="P154" i="8" s="1"/>
  <c r="Q154" i="8" s="1"/>
  <c r="O155" i="8"/>
  <c r="P155" i="8" s="1"/>
  <c r="Q155" i="8" s="1"/>
  <c r="O157" i="8"/>
  <c r="P157" i="8" s="1"/>
  <c r="Q157" i="8" s="1"/>
  <c r="O158" i="8"/>
  <c r="P158" i="8" s="1"/>
  <c r="Q158" i="8" s="1"/>
  <c r="O159" i="8"/>
  <c r="P159" i="8" s="1"/>
  <c r="Q159" i="8" s="1"/>
  <c r="O160" i="8"/>
  <c r="P160" i="8" s="1"/>
  <c r="Q160" i="8" s="1"/>
  <c r="O161" i="8"/>
  <c r="P161" i="8" s="1"/>
  <c r="Q161" i="8" s="1"/>
  <c r="O162" i="8"/>
  <c r="P162" i="8" s="1"/>
  <c r="Q162" i="8" s="1"/>
  <c r="O163" i="8"/>
  <c r="P163" i="8" s="1"/>
  <c r="Q163" i="8" s="1"/>
  <c r="O164" i="8"/>
  <c r="P164" i="8" s="1"/>
  <c r="Q164" i="8" s="1"/>
  <c r="O165" i="8"/>
  <c r="P165" i="8" s="1"/>
  <c r="Q165" i="8" s="1"/>
  <c r="O166" i="8"/>
  <c r="P166" i="8" s="1"/>
  <c r="Q166" i="8" s="1"/>
  <c r="O167" i="8"/>
  <c r="P167" i="8" s="1"/>
  <c r="Q167" i="8" s="1"/>
  <c r="O168" i="8"/>
  <c r="P168" i="8" s="1"/>
  <c r="Q168" i="8" s="1"/>
  <c r="O169" i="8"/>
  <c r="P169" i="8" s="1"/>
  <c r="Q169" i="8" s="1"/>
  <c r="O170" i="8"/>
  <c r="P170" i="8" s="1"/>
  <c r="Q170" i="8" s="1"/>
  <c r="O171" i="8"/>
  <c r="P171" i="8" s="1"/>
  <c r="Q171" i="8" s="1"/>
  <c r="O172" i="8"/>
  <c r="P172" i="8" s="1"/>
  <c r="Q172" i="8" s="1"/>
  <c r="O173" i="8"/>
  <c r="P173" i="8" s="1"/>
  <c r="Q173" i="8" s="1"/>
  <c r="O174" i="8"/>
  <c r="P174" i="8" s="1"/>
  <c r="Q174" i="8" s="1"/>
  <c r="O175" i="8"/>
  <c r="P175" i="8" s="1"/>
  <c r="Q175" i="8" s="1"/>
  <c r="O176" i="8"/>
  <c r="P176" i="8" s="1"/>
  <c r="Q176" i="8" s="1"/>
  <c r="O177" i="8"/>
  <c r="P177" i="8" s="1"/>
  <c r="Q177" i="8" s="1"/>
  <c r="O178" i="8"/>
  <c r="P178" i="8" s="1"/>
  <c r="Q178" i="8" s="1"/>
  <c r="O179" i="8"/>
  <c r="P179" i="8" s="1"/>
  <c r="Q179" i="8" s="1"/>
  <c r="O180" i="8"/>
  <c r="P180" i="8" s="1"/>
  <c r="Q180" i="8" s="1"/>
  <c r="O181" i="8"/>
  <c r="P181" i="8" s="1"/>
  <c r="Q181" i="8" s="1"/>
  <c r="O182" i="8"/>
  <c r="P182" i="8" s="1"/>
  <c r="Q182" i="8" s="1"/>
  <c r="O184" i="8"/>
  <c r="P184" i="8" s="1"/>
  <c r="Q184" i="8" s="1"/>
  <c r="O185" i="8"/>
  <c r="P185" i="8" s="1"/>
  <c r="Q185" i="8" s="1"/>
  <c r="O186" i="8"/>
  <c r="P186" i="8" s="1"/>
  <c r="Q186" i="8" s="1"/>
  <c r="O187" i="8"/>
  <c r="P187" i="8" s="1"/>
  <c r="Q187" i="8" s="1"/>
  <c r="O189" i="8"/>
  <c r="P189" i="8" s="1"/>
  <c r="Q189" i="8" s="1"/>
  <c r="O190" i="8"/>
  <c r="O191" i="8"/>
  <c r="O192" i="8"/>
  <c r="O193" i="8"/>
  <c r="O194" i="8"/>
  <c r="O195" i="8"/>
  <c r="O196" i="8"/>
  <c r="O197" i="8"/>
  <c r="O198" i="8"/>
  <c r="O200" i="8"/>
  <c r="O201" i="8"/>
  <c r="O202" i="8"/>
  <c r="O203" i="8"/>
  <c r="O204" i="8"/>
  <c r="O205" i="8"/>
  <c r="O206" i="8"/>
  <c r="O207" i="8"/>
  <c r="O208" i="8"/>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38" i="8"/>
  <c r="P38" i="8" s="1"/>
  <c r="Q38" i="8" s="1"/>
  <c r="O39" i="8"/>
  <c r="P39" i="8" s="1"/>
  <c r="Q39" i="8" s="1"/>
  <c r="O43" i="8"/>
  <c r="P43" i="8" s="1"/>
  <c r="Q43" i="8" s="1"/>
  <c r="O44" i="8"/>
  <c r="P44" i="8" s="1"/>
  <c r="Q44" i="8" s="1"/>
  <c r="O45" i="8"/>
  <c r="P45" i="8" s="1"/>
  <c r="Q45"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1" i="8"/>
  <c r="P61" i="8" s="1"/>
  <c r="Q61" i="8" s="1"/>
  <c r="O62" i="8"/>
  <c r="P62" i="8" s="1"/>
  <c r="Q62"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82" i="8"/>
  <c r="P82" i="8" s="1"/>
  <c r="Q82" i="8" s="1"/>
  <c r="O83" i="8"/>
  <c r="P83" i="8" s="1"/>
  <c r="Q83" i="8" s="1"/>
  <c r="O84" i="8"/>
  <c r="P84" i="8" s="1"/>
  <c r="Q84" i="8" s="1"/>
  <c r="O85" i="8"/>
  <c r="P85" i="8" s="1"/>
  <c r="Q85" i="8" s="1"/>
  <c r="O86" i="8"/>
  <c r="P86" i="8" s="1"/>
  <c r="Q86" i="8" s="1"/>
  <c r="O87" i="8"/>
  <c r="P87" i="8" s="1"/>
  <c r="Q87" i="8" s="1"/>
  <c r="O88" i="8"/>
  <c r="P88" i="8" s="1"/>
  <c r="Q88" i="8" s="1"/>
  <c r="O89" i="8"/>
  <c r="P89" i="8" s="1"/>
  <c r="Q89" i="8" s="1"/>
  <c r="O90" i="8"/>
  <c r="P90" i="8" s="1"/>
  <c r="Q90" i="8" s="1"/>
  <c r="O91" i="8"/>
  <c r="P91" i="8" s="1"/>
  <c r="Q91" i="8" s="1"/>
  <c r="O92" i="8"/>
  <c r="P92" i="8" s="1"/>
  <c r="Q92" i="8" s="1"/>
  <c r="O93" i="8"/>
  <c r="P93" i="8" s="1"/>
  <c r="Q93" i="8" s="1"/>
  <c r="O94" i="8"/>
  <c r="P94" i="8" s="1"/>
  <c r="Q94" i="8" s="1"/>
  <c r="O95" i="8"/>
  <c r="P95" i="8" s="1"/>
  <c r="Q95"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O40" i="8" s="1"/>
  <c r="P40" i="8" s="1"/>
  <c r="Q40" i="8" s="1"/>
  <c r="N41" i="8"/>
  <c r="O41" i="8" s="1"/>
  <c r="P41" i="8" s="1"/>
  <c r="Q41" i="8" s="1"/>
  <c r="N42" i="8"/>
  <c r="O42" i="8" s="1"/>
  <c r="P42" i="8" s="1"/>
  <c r="Q42" i="8" s="1"/>
  <c r="N43" i="8"/>
  <c r="N44" i="8"/>
  <c r="N45" i="8"/>
  <c r="N46" i="8"/>
  <c r="N47" i="8"/>
  <c r="N48" i="8"/>
  <c r="N49" i="8"/>
  <c r="N50" i="8"/>
  <c r="N51" i="8"/>
  <c r="N52" i="8"/>
  <c r="N53" i="8"/>
  <c r="N54" i="8"/>
  <c r="N55" i="8"/>
  <c r="N56" i="8"/>
  <c r="O56" i="8" s="1"/>
  <c r="P56" i="8" s="1"/>
  <c r="Q56" i="8" s="1"/>
  <c r="N57" i="8"/>
  <c r="N58" i="8"/>
  <c r="N59" i="8"/>
  <c r="N60" i="8"/>
  <c r="N61" i="8"/>
  <c r="N62" i="8"/>
  <c r="N63" i="8"/>
  <c r="N64" i="8"/>
  <c r="N65" i="8"/>
  <c r="N66" i="8"/>
  <c r="N67" i="8"/>
  <c r="N68" i="8"/>
  <c r="N69" i="8"/>
  <c r="N70" i="8"/>
  <c r="N71" i="8"/>
  <c r="N72" i="8"/>
  <c r="O72" i="8" s="1"/>
  <c r="P72" i="8" s="1"/>
  <c r="Q72" i="8" s="1"/>
  <c r="N73" i="8"/>
  <c r="N74" i="8"/>
  <c r="N75" i="8"/>
  <c r="N76" i="8"/>
  <c r="N77" i="8"/>
  <c r="N78" i="8"/>
  <c r="N79" i="8"/>
  <c r="N80" i="8"/>
  <c r="O80" i="8" s="1"/>
  <c r="P80" i="8" s="1"/>
  <c r="Q80" i="8" s="1"/>
  <c r="N81" i="8"/>
  <c r="O81" i="8" s="1"/>
  <c r="P81" i="8" s="1"/>
  <c r="Q81" i="8" s="1"/>
  <c r="N82" i="8"/>
  <c r="N83" i="8"/>
  <c r="N84" i="8"/>
  <c r="N85" i="8"/>
  <c r="N86" i="8"/>
  <c r="N87" i="8"/>
  <c r="N88" i="8"/>
  <c r="N89" i="8"/>
  <c r="N90" i="8"/>
  <c r="N91" i="8"/>
  <c r="N92" i="8"/>
  <c r="N3" i="8"/>
  <c r="O14" i="7"/>
  <c r="O4" i="6"/>
  <c r="O5" i="6"/>
  <c r="O6" i="6"/>
  <c r="O9" i="6"/>
  <c r="O10" i="6"/>
  <c r="O11" i="6"/>
  <c r="O13" i="6"/>
  <c r="O14" i="6"/>
  <c r="O15" i="6"/>
  <c r="O16" i="6"/>
  <c r="O18" i="6"/>
  <c r="O19" i="6"/>
  <c r="O20" i="6"/>
  <c r="O21" i="6"/>
  <c r="O24" i="6"/>
  <c r="O27" i="6"/>
  <c r="O28" i="6"/>
  <c r="O31" i="6"/>
  <c r="O32" i="6"/>
  <c r="O33" i="6"/>
  <c r="O35" i="6"/>
  <c r="O36" i="6"/>
  <c r="O37" i="6"/>
  <c r="O38" i="6"/>
  <c r="O39" i="6"/>
  <c r="O42" i="6"/>
  <c r="O43" i="6"/>
  <c r="O44" i="6"/>
  <c r="O46" i="6"/>
  <c r="O47" i="6"/>
  <c r="O48" i="6"/>
  <c r="O49" i="6"/>
  <c r="O50" i="6"/>
  <c r="O51" i="6"/>
  <c r="O52" i="6"/>
  <c r="O53" i="6"/>
  <c r="O54" i="6"/>
  <c r="O55" i="6"/>
  <c r="O56" i="6"/>
  <c r="O57" i="6"/>
  <c r="O58" i="6"/>
  <c r="O59" i="6"/>
  <c r="O60" i="6"/>
  <c r="O62" i="6"/>
  <c r="O63" i="6"/>
  <c r="O64" i="6"/>
  <c r="O65" i="6"/>
  <c r="O66" i="6"/>
  <c r="O67" i="6"/>
  <c r="O68" i="6"/>
  <c r="O70" i="6"/>
  <c r="O71" i="6"/>
  <c r="O72" i="6"/>
  <c r="O73" i="6"/>
  <c r="O74" i="6"/>
  <c r="O75" i="6"/>
  <c r="O76" i="6"/>
  <c r="O77" i="6"/>
  <c r="O78" i="6"/>
  <c r="O79" i="6"/>
  <c r="O80" i="6"/>
  <c r="O81" i="6"/>
  <c r="O82" i="6"/>
  <c r="O83" i="6"/>
  <c r="O84" i="6"/>
  <c r="O85" i="6"/>
  <c r="O86" i="6"/>
  <c r="O88" i="6"/>
  <c r="O89" i="6"/>
  <c r="O90" i="6"/>
  <c r="O92" i="6"/>
  <c r="O93" i="6"/>
  <c r="O94" i="6"/>
  <c r="O95" i="6"/>
  <c r="O96" i="6"/>
  <c r="O97" i="6"/>
  <c r="O98" i="6"/>
  <c r="O101" i="6"/>
  <c r="O104" i="6"/>
  <c r="O105" i="6"/>
  <c r="O106"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N43" i="6"/>
  <c r="N44" i="6"/>
  <c r="N45" i="6"/>
  <c r="O45" i="6" s="1"/>
  <c r="N46" i="6"/>
  <c r="N47" i="6"/>
  <c r="N48" i="6"/>
  <c r="N49" i="6"/>
  <c r="N50" i="6"/>
  <c r="N51" i="6"/>
  <c r="N52" i="6"/>
  <c r="N53" i="6"/>
  <c r="N54" i="6"/>
  <c r="N55" i="6"/>
  <c r="N56" i="6"/>
  <c r="N57" i="6"/>
  <c r="N58" i="6"/>
  <c r="N59" i="6"/>
  <c r="N60" i="6"/>
  <c r="N61" i="6"/>
  <c r="O61" i="6" s="1"/>
  <c r="N62" i="6"/>
  <c r="N63" i="6"/>
  <c r="N64" i="6"/>
  <c r="N65" i="6"/>
  <c r="N66" i="6"/>
  <c r="N67" i="6"/>
  <c r="N68" i="6"/>
  <c r="N69" i="6"/>
  <c r="O69" i="6" s="1"/>
  <c r="N70" i="6"/>
  <c r="N71" i="6"/>
  <c r="N72" i="6"/>
  <c r="N73" i="6"/>
  <c r="N74" i="6"/>
  <c r="N75" i="6"/>
  <c r="N76" i="6"/>
  <c r="N77" i="6"/>
  <c r="N78" i="6"/>
  <c r="N79" i="6"/>
  <c r="N80" i="6"/>
  <c r="N81" i="6"/>
  <c r="N82" i="6"/>
  <c r="N83" i="6"/>
  <c r="N84" i="6"/>
  <c r="N85" i="6"/>
  <c r="N86" i="6"/>
  <c r="N87" i="6"/>
  <c r="O87" i="6" s="1"/>
  <c r="N88" i="6"/>
  <c r="N89" i="6"/>
  <c r="N90" i="6"/>
  <c r="N91" i="6"/>
  <c r="O91" i="6" s="1"/>
  <c r="N92" i="6"/>
  <c r="N93" i="6"/>
  <c r="N94" i="6"/>
  <c r="N95" i="6"/>
  <c r="N96" i="6"/>
  <c r="N97" i="6"/>
  <c r="N98" i="6"/>
  <c r="N99" i="6"/>
  <c r="O99" i="6" s="1"/>
  <c r="N100" i="6"/>
  <c r="O100" i="6" s="1"/>
  <c r="N101" i="6"/>
  <c r="N102" i="6"/>
  <c r="O102" i="6" s="1"/>
  <c r="N103" i="6"/>
  <c r="O103" i="6" s="1"/>
  <c r="N104" i="6"/>
  <c r="N105" i="6"/>
  <c r="N106" i="6"/>
  <c r="N3" i="6"/>
  <c r="N4" i="7"/>
  <c r="O4" i="7" s="1"/>
  <c r="N5" i="7"/>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N45" i="7"/>
  <c r="N46" i="7"/>
  <c r="N47" i="7"/>
  <c r="N48" i="7"/>
  <c r="O48" i="7" s="1"/>
  <c r="N49" i="7"/>
  <c r="O49" i="7" s="1"/>
  <c r="N50" i="7"/>
  <c r="O50" i="7" s="1"/>
  <c r="N51" i="7"/>
  <c r="N52" i="7"/>
  <c r="O52" i="7" s="1"/>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3" i="7"/>
  <c r="O5" i="7"/>
  <c r="O6" i="7"/>
  <c r="O7" i="7"/>
  <c r="O9" i="7"/>
  <c r="O10" i="7"/>
  <c r="O13" i="7"/>
  <c r="O15" i="7"/>
  <c r="O16" i="7"/>
  <c r="O18" i="7"/>
  <c r="O19" i="7"/>
  <c r="O20" i="7"/>
  <c r="O21" i="7"/>
  <c r="O22" i="7"/>
  <c r="O23" i="7"/>
  <c r="O24" i="7"/>
  <c r="O27" i="7"/>
  <c r="O28" i="7"/>
  <c r="O32" i="7"/>
  <c r="O34" i="7"/>
  <c r="O35" i="7"/>
  <c r="O36" i="7"/>
  <c r="O37" i="7"/>
  <c r="O38" i="7"/>
  <c r="O40" i="7"/>
  <c r="O43" i="7"/>
  <c r="O45" i="7"/>
  <c r="O46" i="7"/>
  <c r="O47" i="7"/>
  <c r="O51"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3" i="7"/>
  <c r="P190" i="15" l="1"/>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G1" i="11" s="1"/>
  <c r="M25" i="4" s="1"/>
  <c r="P5" i="11"/>
  <c r="Q5" i="11" s="1"/>
  <c r="T4" i="11"/>
  <c r="P4" i="11"/>
  <c r="Q4" i="11" s="1"/>
  <c r="T3" i="11"/>
  <c r="T7" i="11" s="1"/>
  <c r="C1" i="11" s="1"/>
  <c r="G25" i="4" s="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L25" i="4" l="1"/>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95" i="7" l="1"/>
  <c r="Q95" i="7" s="1"/>
  <c r="P94" i="7"/>
  <c r="Q94" i="7" s="1"/>
  <c r="P93" i="7"/>
  <c r="Q93" i="7" s="1"/>
  <c r="P92" i="7"/>
  <c r="Q92" i="7" s="1"/>
  <c r="P91" i="7"/>
  <c r="Q91" i="7" s="1"/>
  <c r="P90" i="7"/>
  <c r="Q90" i="7" s="1"/>
  <c r="P89" i="7"/>
  <c r="Q89" i="7" s="1"/>
  <c r="P88" i="7"/>
  <c r="Q88" i="7" s="1"/>
  <c r="P87" i="7"/>
  <c r="Q87" i="7" s="1"/>
  <c r="P86" i="7"/>
  <c r="Q86" i="7" s="1"/>
  <c r="P85" i="7"/>
  <c r="Q85" i="7" s="1"/>
  <c r="P84" i="7"/>
  <c r="Q84" i="7" s="1"/>
  <c r="P83" i="7"/>
  <c r="Q83" i="7" s="1"/>
  <c r="P82" i="7"/>
  <c r="Q82" i="7" s="1"/>
  <c r="P81" i="7"/>
  <c r="Q81" i="7" s="1"/>
  <c r="P80" i="7"/>
  <c r="Q80" i="7" s="1"/>
  <c r="P79" i="7"/>
  <c r="Q79" i="7" s="1"/>
  <c r="P78" i="7"/>
  <c r="Q78" i="7" s="1"/>
  <c r="P77" i="7"/>
  <c r="Q77" i="7" s="1"/>
  <c r="P76" i="7"/>
  <c r="Q76" i="7" s="1"/>
  <c r="P75" i="7"/>
  <c r="Q75" i="7" s="1"/>
  <c r="P74" i="7"/>
  <c r="Q74" i="7" s="1"/>
  <c r="P73" i="7"/>
  <c r="Q73" i="7" s="1"/>
  <c r="P72" i="7"/>
  <c r="Q72" i="7" s="1"/>
  <c r="P71" i="7"/>
  <c r="Q71" i="7" s="1"/>
  <c r="P70" i="7"/>
  <c r="Q70" i="7" s="1"/>
  <c r="P69" i="7"/>
  <c r="Q69" i="7" s="1"/>
  <c r="P68" i="7"/>
  <c r="Q68" i="7" s="1"/>
  <c r="P67" i="7"/>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G1" i="9" s="1"/>
  <c r="M23" i="4" s="1"/>
  <c r="P6" i="9"/>
  <c r="T5" i="9"/>
  <c r="P5" i="9"/>
  <c r="Q5" i="9" s="1"/>
  <c r="T4" i="9"/>
  <c r="K23" i="4" s="1"/>
  <c r="P4" i="9"/>
  <c r="Q4" i="9" s="1"/>
  <c r="T3" i="9"/>
  <c r="P3" i="9"/>
  <c r="T6" i="8"/>
  <c r="T5" i="8"/>
  <c r="T4" i="8"/>
  <c r="K22" i="4" s="1"/>
  <c r="T3" i="8"/>
  <c r="E1" i="8" s="1"/>
  <c r="P3" i="8"/>
  <c r="Q3" i="8" s="1"/>
  <c r="L21" i="4"/>
  <c r="F33" i="4"/>
  <c r="F32" i="4"/>
  <c r="F31" i="4"/>
  <c r="F30" i="4"/>
  <c r="F29" i="4"/>
  <c r="F28" i="4"/>
  <c r="F27" i="4"/>
  <c r="F26" i="4"/>
  <c r="F25" i="4"/>
  <c r="F24" i="4"/>
  <c r="F23" i="4"/>
  <c r="F22" i="4"/>
  <c r="F21" i="4"/>
  <c r="F20" i="4"/>
  <c r="P277" i="6"/>
  <c r="Q277" i="6" s="1"/>
  <c r="P276" i="6"/>
  <c r="Q276" i="6" s="1"/>
  <c r="P275" i="6"/>
  <c r="Q275" i="6" s="1"/>
  <c r="P274" i="6"/>
  <c r="Q274" i="6" s="1"/>
  <c r="P273" i="6"/>
  <c r="Q273" i="6" s="1"/>
  <c r="P272" i="6"/>
  <c r="Q272" i="6" s="1"/>
  <c r="P271" i="6"/>
  <c r="Q271" i="6" s="1"/>
  <c r="P270" i="6"/>
  <c r="Q270" i="6" s="1"/>
  <c r="P269" i="6"/>
  <c r="Q269" i="6" s="1"/>
  <c r="P268" i="6"/>
  <c r="Q268" i="6" s="1"/>
  <c r="P267" i="6"/>
  <c r="Q267" i="6" s="1"/>
  <c r="P266" i="6"/>
  <c r="Q266" i="6" s="1"/>
  <c r="P265" i="6"/>
  <c r="Q265" i="6" s="1"/>
  <c r="P264" i="6"/>
  <c r="Q264" i="6" s="1"/>
  <c r="P263" i="6"/>
  <c r="Q263" i="6" s="1"/>
  <c r="P262" i="6"/>
  <c r="Q262" i="6" s="1"/>
  <c r="P261" i="6"/>
  <c r="Q261" i="6" s="1"/>
  <c r="P260" i="6"/>
  <c r="Q260" i="6" s="1"/>
  <c r="P259" i="6"/>
  <c r="Q259" i="6" s="1"/>
  <c r="P258" i="6"/>
  <c r="Q258" i="6" s="1"/>
  <c r="P257" i="6"/>
  <c r="Q257" i="6" s="1"/>
  <c r="P256" i="6"/>
  <c r="Q256" i="6" s="1"/>
  <c r="P255" i="6"/>
  <c r="Q255" i="6" s="1"/>
  <c r="P254" i="6"/>
  <c r="Q254" i="6" s="1"/>
  <c r="P253" i="6"/>
  <c r="Q253" i="6" s="1"/>
  <c r="P252" i="6"/>
  <c r="Q252" i="6" s="1"/>
  <c r="P251" i="6"/>
  <c r="Q251" i="6" s="1"/>
  <c r="P250" i="6"/>
  <c r="Q250" i="6" s="1"/>
  <c r="P249" i="6"/>
  <c r="Q249" i="6" s="1"/>
  <c r="P248" i="6"/>
  <c r="Q248" i="6" s="1"/>
  <c r="P247" i="6"/>
  <c r="Q247" i="6" s="1"/>
  <c r="P246" i="6"/>
  <c r="Q246" i="6" s="1"/>
  <c r="P245" i="6"/>
  <c r="Q245" i="6" s="1"/>
  <c r="P244" i="6"/>
  <c r="Q244" i="6" s="1"/>
  <c r="P243" i="6"/>
  <c r="Q243" i="6" s="1"/>
  <c r="P242" i="6"/>
  <c r="Q242" i="6" s="1"/>
  <c r="P241" i="6"/>
  <c r="Q241" i="6" s="1"/>
  <c r="P240" i="6"/>
  <c r="Q240" i="6" s="1"/>
  <c r="P239" i="6"/>
  <c r="Q239" i="6" s="1"/>
  <c r="P238" i="6"/>
  <c r="Q238" i="6" s="1"/>
  <c r="P237" i="6"/>
  <c r="Q237" i="6" s="1"/>
  <c r="P236" i="6"/>
  <c r="Q236" i="6" s="1"/>
  <c r="P235" i="6"/>
  <c r="Q235" i="6" s="1"/>
  <c r="P234" i="6"/>
  <c r="Q234" i="6" s="1"/>
  <c r="P233" i="6"/>
  <c r="Q233" i="6" s="1"/>
  <c r="P232" i="6"/>
  <c r="Q232" i="6" s="1"/>
  <c r="P231" i="6"/>
  <c r="Q231" i="6" s="1"/>
  <c r="P230" i="6"/>
  <c r="Q230" i="6" s="1"/>
  <c r="P229" i="6"/>
  <c r="Q229" i="6" s="1"/>
  <c r="P228" i="6"/>
  <c r="Q228" i="6" s="1"/>
  <c r="P227" i="6"/>
  <c r="Q227" i="6" s="1"/>
  <c r="P226" i="6"/>
  <c r="Q226" i="6" s="1"/>
  <c r="P225" i="6"/>
  <c r="Q225" i="6" s="1"/>
  <c r="P224" i="6"/>
  <c r="Q224" i="6" s="1"/>
  <c r="P223" i="6"/>
  <c r="Q223" i="6" s="1"/>
  <c r="P222" i="6"/>
  <c r="Q222" i="6" s="1"/>
  <c r="P221" i="6"/>
  <c r="Q221" i="6" s="1"/>
  <c r="P220" i="6"/>
  <c r="Q220" i="6" s="1"/>
  <c r="P219" i="6"/>
  <c r="Q219" i="6" s="1"/>
  <c r="P218" i="6"/>
  <c r="Q218" i="6" s="1"/>
  <c r="P217" i="6"/>
  <c r="Q217" i="6" s="1"/>
  <c r="P216" i="6"/>
  <c r="Q216" i="6" s="1"/>
  <c r="P215" i="6"/>
  <c r="Q215" i="6" s="1"/>
  <c r="P214" i="6"/>
  <c r="Q214" i="6" s="1"/>
  <c r="P213" i="6"/>
  <c r="Q213" i="6" s="1"/>
  <c r="P212" i="6"/>
  <c r="Q212" i="6" s="1"/>
  <c r="P211" i="6"/>
  <c r="Q211" i="6" s="1"/>
  <c r="P210" i="6"/>
  <c r="Q210" i="6" s="1"/>
  <c r="P209" i="6"/>
  <c r="Q209" i="6" s="1"/>
  <c r="P208" i="6"/>
  <c r="Q208" i="6" s="1"/>
  <c r="P207" i="6"/>
  <c r="Q207" i="6" s="1"/>
  <c r="P206" i="6"/>
  <c r="Q206" i="6" s="1"/>
  <c r="P205" i="6"/>
  <c r="Q205" i="6" s="1"/>
  <c r="P204" i="6"/>
  <c r="Q204" i="6" s="1"/>
  <c r="P203" i="6"/>
  <c r="Q203" i="6" s="1"/>
  <c r="P202" i="6"/>
  <c r="Q202" i="6" s="1"/>
  <c r="P201" i="6"/>
  <c r="Q201" i="6" s="1"/>
  <c r="P200" i="6"/>
  <c r="Q200" i="6" s="1"/>
  <c r="P199" i="6"/>
  <c r="Q199" i="6" s="1"/>
  <c r="P198" i="6"/>
  <c r="Q198" i="6" s="1"/>
  <c r="P197" i="6"/>
  <c r="Q197" i="6" s="1"/>
  <c r="P196" i="6"/>
  <c r="Q196" i="6" s="1"/>
  <c r="P195" i="6"/>
  <c r="Q195" i="6" s="1"/>
  <c r="P194" i="6"/>
  <c r="Q194" i="6" s="1"/>
  <c r="P193" i="6"/>
  <c r="Q193" i="6" s="1"/>
  <c r="P192" i="6"/>
  <c r="Q192" i="6" s="1"/>
  <c r="P191" i="6"/>
  <c r="Q191" i="6" s="1"/>
  <c r="P190" i="6"/>
  <c r="Q190" i="6" s="1"/>
  <c r="P189" i="6"/>
  <c r="Q189" i="6" s="1"/>
  <c r="P188" i="6"/>
  <c r="Q188" i="6" s="1"/>
  <c r="P187" i="6"/>
  <c r="Q187" i="6" s="1"/>
  <c r="P186" i="6"/>
  <c r="Q186" i="6" s="1"/>
  <c r="P185" i="6"/>
  <c r="Q185" i="6" s="1"/>
  <c r="P184" i="6"/>
  <c r="Q184" i="6" s="1"/>
  <c r="P183" i="6"/>
  <c r="Q183" i="6" s="1"/>
  <c r="P182" i="6"/>
  <c r="Q182" i="6" s="1"/>
  <c r="P181" i="6"/>
  <c r="Q181" i="6" s="1"/>
  <c r="P180" i="6"/>
  <c r="Q180" i="6" s="1"/>
  <c r="P179" i="6"/>
  <c r="Q179" i="6" s="1"/>
  <c r="P178" i="6"/>
  <c r="Q178" i="6" s="1"/>
  <c r="P177" i="6"/>
  <c r="Q177" i="6" s="1"/>
  <c r="P176" i="6"/>
  <c r="Q176" i="6" s="1"/>
  <c r="P175" i="6"/>
  <c r="Q175" i="6" s="1"/>
  <c r="P174" i="6"/>
  <c r="Q174" i="6" s="1"/>
  <c r="P173" i="6"/>
  <c r="Q173" i="6" s="1"/>
  <c r="P172" i="6"/>
  <c r="Q172" i="6" s="1"/>
  <c r="P171" i="6"/>
  <c r="Q171" i="6" s="1"/>
  <c r="P170" i="6"/>
  <c r="Q170" i="6" s="1"/>
  <c r="P169" i="6"/>
  <c r="Q169" i="6" s="1"/>
  <c r="P168" i="6"/>
  <c r="Q168" i="6" s="1"/>
  <c r="P167" i="6"/>
  <c r="Q167" i="6" s="1"/>
  <c r="P166" i="6"/>
  <c r="Q166" i="6" s="1"/>
  <c r="P165" i="6"/>
  <c r="Q165" i="6" s="1"/>
  <c r="P164" i="6"/>
  <c r="Q164" i="6" s="1"/>
  <c r="P163" i="6"/>
  <c r="Q163" i="6" s="1"/>
  <c r="P162" i="6"/>
  <c r="Q162" i="6" s="1"/>
  <c r="P161" i="6"/>
  <c r="Q161" i="6" s="1"/>
  <c r="P160" i="6"/>
  <c r="Q160" i="6" s="1"/>
  <c r="P159" i="6"/>
  <c r="Q159" i="6" s="1"/>
  <c r="P158" i="6"/>
  <c r="Q158" i="6" s="1"/>
  <c r="P157" i="6"/>
  <c r="Q157" i="6" s="1"/>
  <c r="P156" i="6"/>
  <c r="Q156" i="6" s="1"/>
  <c r="P155" i="6"/>
  <c r="Q155" i="6" s="1"/>
  <c r="P154" i="6"/>
  <c r="Q154" i="6" s="1"/>
  <c r="P153" i="6"/>
  <c r="Q153" i="6" s="1"/>
  <c r="P152" i="6"/>
  <c r="Q152" i="6" s="1"/>
  <c r="P151" i="6"/>
  <c r="Q151" i="6" s="1"/>
  <c r="P150" i="6"/>
  <c r="Q150" i="6" s="1"/>
  <c r="P149" i="6"/>
  <c r="Q149" i="6" s="1"/>
  <c r="P148" i="6"/>
  <c r="Q148" i="6" s="1"/>
  <c r="P147" i="6"/>
  <c r="Q147" i="6" s="1"/>
  <c r="P146" i="6"/>
  <c r="Q146" i="6" s="1"/>
  <c r="P145" i="6"/>
  <c r="Q145" i="6" s="1"/>
  <c r="P144" i="6"/>
  <c r="Q144" i="6" s="1"/>
  <c r="P143" i="6"/>
  <c r="Q143" i="6" s="1"/>
  <c r="P142" i="6"/>
  <c r="Q142" i="6" s="1"/>
  <c r="P141" i="6"/>
  <c r="Q141" i="6" s="1"/>
  <c r="P140" i="6"/>
  <c r="Q140" i="6" s="1"/>
  <c r="P139" i="6"/>
  <c r="Q139" i="6" s="1"/>
  <c r="P138" i="6"/>
  <c r="Q138" i="6" s="1"/>
  <c r="P137" i="6"/>
  <c r="Q137" i="6" s="1"/>
  <c r="P136" i="6"/>
  <c r="Q136" i="6" s="1"/>
  <c r="P135" i="6"/>
  <c r="Q135" i="6" s="1"/>
  <c r="P134" i="6"/>
  <c r="Q134" i="6" s="1"/>
  <c r="P133" i="6"/>
  <c r="Q133" i="6" s="1"/>
  <c r="P132" i="6"/>
  <c r="Q132" i="6" s="1"/>
  <c r="P131" i="6"/>
  <c r="Q131" i="6" s="1"/>
  <c r="P130" i="6"/>
  <c r="Q130" i="6" s="1"/>
  <c r="P129" i="6"/>
  <c r="Q129" i="6" s="1"/>
  <c r="P128" i="6"/>
  <c r="Q128" i="6" s="1"/>
  <c r="P127" i="6"/>
  <c r="Q127" i="6" s="1"/>
  <c r="P126" i="6"/>
  <c r="Q126" i="6" s="1"/>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L2" i="17" l="1"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<sst xmlns="http://schemas.openxmlformats.org/spreadsheetml/2006/main" count="6521" uniqueCount="1589">
  <si>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</si>
  <si>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</si>
  <si>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</si>
  <si>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</si>
  <si>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</si>
  <si>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</si>
  <si>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</si>
  <si>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</si>
  <si>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</si>
  <si>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</si>
  <si>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</si>
  <si>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</si>
  <si>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</si>
  <si>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</si>
  <si>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</si>
  <si>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</si>
  <si>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</si>
  <si>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</si>
  <si>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</si>
  <si>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</si>
  <si>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</si>
  <si>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</si>
  <si>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</si>
  <si>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</si>
  <si>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</si>
  <si>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</si>
  <si>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</si>
  <si>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</si>
  <si>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</si>
  <si>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</si>
  <si>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</si>
  <si>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</si>
  <si>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</si>
  <si>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</si>
  <si>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</si>
  <si>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</si>
  <si>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</si>
  <si>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</si>
  <si>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</si>
  <si>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</si>
  <si>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</si>
  <si>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</si>
  <si>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</si>
  <si>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</si>
  <si>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</si>
  <si>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</si>
  <si>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</si>
  <si>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</si>
  <si>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</si>
  <si>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</si>
  <si>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</si>
  <si>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</si>
  <si>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</si>
  <si>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</si>
  <si>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</si>
  <si>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</si>
  <si>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</si>
  <si>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</si>
  <si>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</si>
  <si>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</si>
  <si>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</si>
  <si>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</si>
  <si>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</si>
  <si>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</si>
  <si>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</si>
  <si>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</si>
  <si>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</si>
  <si>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</si>
  <si>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</si>
  <si>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</si>
  <si>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</si>
  <si>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</si>
  <si>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</si>
  <si>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</si>
  <si>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</si>
  <si>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</si>
  <si>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</si>
  <si>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</si>
  <si>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</si>
  <si>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</si>
  <si>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</si>
  <si>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</si>
  <si>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</si>
  <si>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</si>
  <si>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</si>
  <si>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</si>
  <si>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</si>
  <si>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</si>
  <si>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</si>
  <si>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</si>
  <si>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</si>
  <si>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</si>
  <si>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</si>
  <si>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</si>
  <si>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</si>
  <si>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</si>
  <si>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</si>
  <si>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</si>
  <si>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</si>
  <si>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</si>
  <si>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</si>
  <si>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</si>
  <si>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</si>
  <si>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</si>
  <si>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</si>
  <si>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</si>
  <si>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</si>
  <si>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</si>
  <si>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</si>
  <si>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</si>
  <si>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</si>
  <si>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</si>
  <si>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</si>
  <si>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</si>
  <si>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</si>
  <si>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</si>
  <si>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</si>
  <si>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</si>
  <si>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</si>
  <si>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</si>
  <si>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</si>
  <si>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</si>
  <si>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</si>
  <si>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</si>
  <si>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</si>
  <si>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</si>
  <si>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</si>
  <si>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</si>
  <si>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</si>
  <si>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</si>
  <si>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</si>
  <si>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</si>
  <si>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</si>
  <si>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</si>
  <si>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</si>
  <si>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</si>
  <si>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</si>
  <si>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</si>
  <si>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</si>
  <si>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</si>
  <si>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</si>
  <si>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</si>
  <si>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</si>
  <si>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</si>
  <si>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</si>
  <si>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</si>
  <si>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</si>
  <si>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</si>
  <si>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</si>
  <si>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</si>
  <si>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</si>
  <si>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</si>
  <si>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</si>
  <si>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</si>
  <si>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</si>
  <si>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</si>
  <si>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</si>
  <si>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</si>
  <si>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</si>
  <si>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</si>
  <si>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</si>
  <si>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</si>
  <si>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</si>
  <si>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</si>
  <si>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</si>
  <si>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</si>
  <si>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</si>
  <si>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</si>
  <si>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</si>
  <si>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</si>
  <si>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</si>
  <si>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</si>
  <si>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</si>
  <si>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</si>
  <si>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</si>
  <si>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</si>
  <si>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</si>
  <si>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</si>
  <si>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</si>
  <si>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</si>
  <si>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</si>
  <si>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</si>
  <si>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</si>
  <si>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</si>
  <si>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</si>
  <si>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</si>
  <si>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</si>
  <si>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</si>
  <si>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</si>
  <si>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</si>
  <si>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</si>
  <si>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</si>
  <si>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</si>
  <si>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</si>
  <si>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</si>
  <si>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</si>
  <si>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</si>
  <si>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</si>
  <si>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</si>
  <si>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</si>
  <si>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</si>
  <si>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</si>
  <si>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</si>
  <si>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</si>
  <si>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</si>
  <si>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</si>
  <si>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</si>
  <si>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</si>
  <si>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</si>
  <si>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</si>
  <si>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</si>
  <si>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</si>
  <si>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</si>
  <si>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</si>
  <si>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</si>
  <si>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</si>
  <si>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</si>
  <si>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</si>
  <si>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</si>
  <si>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</si>
  <si>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</si>
  <si>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</si>
  <si>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</si>
  <si>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</si>
  <si>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</si>
  <si>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</si>
  <si>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</si>
  <si>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</si>
  <si>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</si>
  <si>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</si>
  <si>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</si>
  <si>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</si>
  <si>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</si>
  <si>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</si>
  <si>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</si>
  <si>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</si>
  <si>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</si>
  <si>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</si>
  <si>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</si>
  <si>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</si>
  <si>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</si>
  <si>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</si>
  <si>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</si>
  <si>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</si>
  <si>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</si>
  <si>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</si>
  <si>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</si>
  <si>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</si>
  <si>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</si>
  <si>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</si>
  <si>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</si>
  <si>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</si>
  <si>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</si>
  <si>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</si>
  <si>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</si>
  <si>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</si>
  <si>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</si>
  <si>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</si>
  <si>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</si>
  <si>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</si>
  <si>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</si>
  <si>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</si>
  <si>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</si>
  <si>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</si>
  <si>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</si>
  <si>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</si>
  <si>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</si>
  <si>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</si>
  <si>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</si>
  <si>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</si>
  <si>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</si>
  <si>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</si>
  <si>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</si>
  <si>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</si>
  <si>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</si>
  <si>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</si>
  <si>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</si>
  <si>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</si>
  <si>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</si>
  <si>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</si>
  <si>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</si>
  <si>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</si>
  <si>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</si>
  <si>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</si>
  <si>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</si>
  <si>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</si>
  <si>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</si>
  <si>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</si>
  <si>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</si>
  <si>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</si>
  <si>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</si>
  <si>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</si>
  <si>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</si>
  <si>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</si>
  <si>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</si>
  <si>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</si>
  <si>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</si>
  <si>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</si>
  <si>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</si>
  <si>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</si>
  <si>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</si>
  <si>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</si>
  <si>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</si>
  <si>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</si>
  <si>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</si>
  <si>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</si>
  <si>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</si>
  <si>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</si>
  <si>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</si>
  <si>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</si>
  <si>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</si>
  <si>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</si>
  <si>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</si>
  <si>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</si>
  <si>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</si>
  <si>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</si>
  <si>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</si>
  <si>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</si>
  <si>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</si>
  <si>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</si>
  <si>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</si>
  <si>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</si>
  <si>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</si>
  <si>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</si>
  <si>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</si>
  <si>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</si>
  <si>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</si>
  <si>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</si>
  <si>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</si>
  <si>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</si>
  <si>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</si>
  <si>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</si>
  <si>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</si>
  <si>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</si>
  <si>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</si>
  <si>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</si>
  <si>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</si>
  <si>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</si>
  <si>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</si>
  <si>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</si>
  <si>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</si>
  <si>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</si>
  <si>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</si>
  <si>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</si>
  <si>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</si>
  <si>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</si>
  <si>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</si>
  <si>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</si>
  <si>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</si>
  <si>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</si>
  <si>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</si>
  <si>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</si>
  <si>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</si>
  <si>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</si>
  <si>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</si>
  <si>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</si>
  <si>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</si>
  <si>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</si>
  <si>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</si>
  <si>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</si>
  <si>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</si>
  <si>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</si>
  <si>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</si>
  <si>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</si>
  <si>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</si>
  <si>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</si>
  <si>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</si>
  <si>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</si>
  <si>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</si>
  <si>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</si>
  <si>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</si>
  <si>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</si>
  <si>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</si>
  <si>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</si>
  <si>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</si>
  <si>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</si>
  <si>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</si>
  <si>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</si>
  <si>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</si>
  <si>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</si>
  <si>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</si>
  <si>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</si>
  <si>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</si>
  <si>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</si>
  <si>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</si>
  <si>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</si>
  <si>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</si>
  <si>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</si>
  <si>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</si>
  <si>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</si>
  <si>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</si>
  <si>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</si>
  <si>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</si>
  <si>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</si>
  <si>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</si>
  <si>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</si>
  <si>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</si>
  <si>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</si>
  <si>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</si>
  <si>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</si>
  <si>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</si>
  <si>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</si>
  <si>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</si>
  <si>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</si>
  <si>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</si>
  <si>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</si>
  <si>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</si>
  <si>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</si>
  <si>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</si>
  <si>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</si>
  <si>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</si>
  <si>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</si>
  <si>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</si>
  <si>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</si>
  <si>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</si>
  <si>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</si>
  <si>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</si>
  <si>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</si>
  <si>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</si>
  <si>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</si>
  <si>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</si>
  <si>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</si>
  <si>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</si>
  <si>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</si>
  <si>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</si>
  <si>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</si>
  <si>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</si>
  <si>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</si>
  <si>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</si>
  <si>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</si>
  <si>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</si>
  <si>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</si>
  <si>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</si>
  <si>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</si>
  <si>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</si>
  <si>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</si>
  <si>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</si>
  <si>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</si>
  <si>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</si>
  <si>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</si>
  <si>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</si>
  <si>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</si>
  <si>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</si>
  <si>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</si>
  <si>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</si>
  <si>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</si>
  <si>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</si>
  <si>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</si>
  <si>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</si>
  <si>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</si>
  <si>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</si>
  <si>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</si>
  <si>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</si>
  <si>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</si>
  <si>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</si>
  <si>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</si>
  <si>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</si>
  <si>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</si>
  <si>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</si>
  <si>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</si>
  <si>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</si>
  <si>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</si>
  <si>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</si>
  <si>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</si>
  <si>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</si>
  <si>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</si>
  <si>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</si>
  <si>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</si>
  <si>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</si>
  <si>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</si>
  <si>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</si>
  <si>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</si>
  <si>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</si>
  <si>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</si>
  <si>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</si>
  <si>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</si>
  <si>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</si>
  <si>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</si>
  <si>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</si>
  <si>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</si>
  <si>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</si>
  <si>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</si>
  <si>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</si>
  <si>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</si>
  <si>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</si>
  <si>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</si>
  <si>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</si>
  <si>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</si>
  <si>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</si>
  <si>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</si>
  <si>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</si>
  <si>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</si>
  <si>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</si>
  <si>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</si>
  <si>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</si>
  <si>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</si>
  <si>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</si>
  <si>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</si>
  <si>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</si>
  <si>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</si>
  <si>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</si>
  <si>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</si>
  <si>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</si>
  <si>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</si>
  <si>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</si>
  <si>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</si>
  <si>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</si>
  <si>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</si>
  <si>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</si>
  <si>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</si>
  <si>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</si>
  <si>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</si>
  <si>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</si>
  <si>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</si>
  <si>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</si>
  <si>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</si>
  <si>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</si>
  <si>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</si>
  <si>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</si>
  <si>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</si>
  <si>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</si>
  <si>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</si>
  <si>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</si>
  <si>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</si>
  <si>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</si>
  <si>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</si>
  <si>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</si>
  <si>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</si>
  <si>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</si>
  <si>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</si>
  <si>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</si>
  <si>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</si>
  <si>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</si>
  <si>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</si>
  <si>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</si>
  <si>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</si>
  <si>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</si>
  <si>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</si>
  <si>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</si>
  <si>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</si>
  <si>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</si>
  <si>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</si>
  <si>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</si>
  <si>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</si>
  <si>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</si>
  <si>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</si>
  <si>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</si>
  <si>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</si>
  <si>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</si>
  <si>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</si>
  <si>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</si>
  <si>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</si>
  <si>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</si>
  <si>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</si>
  <si>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</si>
  <si>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</si>
  <si>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</si>
  <si>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</si>
  <si>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</si>
  <si>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</si>
  <si>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</si>
  <si>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</si>
  <si>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</si>
  <si>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</si>
  <si>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</si>
  <si>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</si>
  <si>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</si>
  <si>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</si>
  <si>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</si>
  <si>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</si>
  <si>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</si>
  <si>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</si>
  <si>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</si>
  <si>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</si>
  <si>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</si>
  <si>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</si>
  <si>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</si>
  <si>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</si>
  <si>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</si>
  <si>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</si>
  <si>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</si>
  <si>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</si>
  <si>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</si>
  <si>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</si>
  <si>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</si>
  <si>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</si>
  <si>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</si>
  <si>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</si>
  <si>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</si>
  <si>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</si>
  <si>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</si>
  <si>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</si>
  <si>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</si>
  <si>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</si>
  <si>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</si>
  <si>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</si>
  <si>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</si>
  <si>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</si>
  <si>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</si>
  <si>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</si>
  <si>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</si>
  <si>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</si>
  <si>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</si>
  <si>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</si>
  <si>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</si>
  <si>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</si>
  <si>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</si>
  <si>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</si>
  <si>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</si>
  <si>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</si>
  <si>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</si>
  <si>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</si>
  <si>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</si>
  <si>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</si>
  <si>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</si>
  <si>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</si>
  <si>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</si>
  <si>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</si>
  <si>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</si>
  <si>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</si>
  <si>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</si>
  <si>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</si>
  <si>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</si>
  <si>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</si>
  <si>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</si>
  <si>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</si>
  <si>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</si>
  <si>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</si>
  <si>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</si>
  <si>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</si>
  <si>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</si>
  <si>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</si>
  <si>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</si>
  <si>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</si>
  <si>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</si>
  <si>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</si>
  <si>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</si>
  <si>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</si>
  <si>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</si>
  <si>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</si>
  <si>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</si>
  <si>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</si>
  <si>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</si>
  <si>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</si>
  <si>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</si>
  <si>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</si>
  <si>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</si>
  <si>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</si>
  <si>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</si>
  <si>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</si>
  <si>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</si>
  <si>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</si>
  <si>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</si>
  <si>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</si>
  <si>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</si>
  <si>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</si>
  <si>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</si>
  <si>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</si>
  <si>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</si>
  <si>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</si>
  <si>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</si>
  <si>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</si>
  <si>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</si>
  <si>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</si>
  <si>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</si>
  <si>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</si>
  <si>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</si>
  <si>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</si>
  <si>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</si>
  <si>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</si>
  <si>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</si>
  <si>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</si>
  <si>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</si>
  <si>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</si>
  <si>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</si>
  <si>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</si>
  <si>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</si>
  <si>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</si>
  <si>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</si>
  <si>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</si>
  <si>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</si>
  <si>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</si>
  <si>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</si>
  <si>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</si>
  <si>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</si>
  <si>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</si>
  <si>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</si>
  <si>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</si>
  <si>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</si>
  <si>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</si>
  <si>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</si>
  <si>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</si>
  <si>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</si>
  <si>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</si>
  <si>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</si>
  <si>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</si>
  <si>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</si>
  <si>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</si>
  <si>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</si>
  <si>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</si>
  <si>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</si>
  <si>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</si>
  <si>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</si>
  <si>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</si>
  <si>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</si>
  <si>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</si>
  <si>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</si>
  <si>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</si>
  <si>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</si>
  <si>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</si>
  <si>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</si>
  <si>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</si>
  <si>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</si>
  <si>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</si>
  <si>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</si>
  <si>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</si>
  <si>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</si>
  <si>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</si>
  <si>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</si>
  <si>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</si>
  <si>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</si>
  <si>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</si>
  <si>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</si>
  <si>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</si>
  <si>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</si>
  <si>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</si>
  <si>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</si>
  <si>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</si>
  <si>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</si>
  <si>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</si>
  <si>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</si>
  <si>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</si>
  <si>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</si>
  <si>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</si>
  <si>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</si>
  <si>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</si>
  <si>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</si>
  <si>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</si>
  <si>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</si>
  <si>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</si>
  <si>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</si>
  <si>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</si>
  <si>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</si>
  <si>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</si>
  <si>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</si>
  <si>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</si>
  <si>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</si>
  <si>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</si>
  <si>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</si>
  <si>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</si>
  <si>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</si>
  <si>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</si>
  <si>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</si>
  <si>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</si>
  <si>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</si>
  <si>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</si>
  <si>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</si>
  <si>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</si>
  <si>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</si>
  <si>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</si>
  <si>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</si>
  <si>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</si>
  <si>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</si>
  <si>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</si>
  <si>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</si>
  <si>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</si>
  <si>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</si>
  <si>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</si>
  <si>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</si>
  <si>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</si>
  <si>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</si>
  <si>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</si>
  <si>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</si>
  <si>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</si>
  <si>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</si>
  <si>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</si>
  <si>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</si>
  <si>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</si>
  <si>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</si>
  <si>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</si>
  <si>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</si>
  <si>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</si>
  <si>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</si>
  <si>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</si>
  <si>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</si>
  <si>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</si>
  <si>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</si>
  <si>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</si>
  <si>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</si>
  <si>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</si>
  <si>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</si>
  <si>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</si>
  <si>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</si>
  <si>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</si>
  <si>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</si>
  <si>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</si>
  <si>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</si>
  <si>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</si>
  <si>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</si>
  <si>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</si>
  <si>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</si>
  <si>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</si>
  <si>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</si>
  <si>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</si>
  <si>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</si>
  <si>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</si>
  <si>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</si>
  <si>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</si>
  <si>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</si>
  <si>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</si>
  <si>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</si>
  <si>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</si>
  <si>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</si>
  <si>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</si>
  <si>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</si>
  <si>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</si>
  <si>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</si>
  <si>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</si>
  <si>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</si>
  <si>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</si>
  <si>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</si>
  <si>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</si>
  <si>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</si>
  <si>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</si>
  <si>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</si>
  <si>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</si>
  <si>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</si>
  <si>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</si>
  <si>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</si>
  <si>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</si>
  <si>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</si>
  <si>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</si>
  <si>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</si>
  <si>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</si>
  <si>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</si>
  <si>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</si>
  <si>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</si>
  <si>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</si>
  <si>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</si>
  <si>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</si>
  <si>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</si>
  <si>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</si>
  <si>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</si>
  <si>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</si>
  <si>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</si>
  <si>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</si>
  <si>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</si>
  <si>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</si>
  <si>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</si>
  <si>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</si>
  <si>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</si>
  <si>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</si>
  <si>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</si>
  <si>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</si>
  <si>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</si>
  <si>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</si>
  <si>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</si>
  <si>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</si>
  <si>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</si>
  <si>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</si>
  <si>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</si>
  <si>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</si>
  <si>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</si>
  <si>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</si>
  <si>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</si>
  <si>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</si>
  <si>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</si>
  <si>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</si>
  <si>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</si>
  <si>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</si>
  <si>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</si>
  <si>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</si>
  <si>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</si>
  <si>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</si>
  <si>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</si>
  <si>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</si>
  <si>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</si>
  <si>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</si>
  <si>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</si>
  <si>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</si>
  <si>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</si>
  <si>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</si>
  <si>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</si>
  <si>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</si>
  <si>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</si>
  <si>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</si>
  <si>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</si>
  <si>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</si>
  <si>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</si>
  <si>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</si>
  <si>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</si>
  <si>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</si>
  <si>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</si>
  <si>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</si>
  <si>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</si>
  <si>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</si>
  <si>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</si>
  <si>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</si>
  <si>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</si>
  <si>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</si>
  <si>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</si>
  <si>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</si>
  <si>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</si>
  <si>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</si>
  <si>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</si>
  <si>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</si>
  <si>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</si>
  <si>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</si>
  <si>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</si>
  <si>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</si>
  <si>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</si>
  <si>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</si>
  <si>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</si>
  <si>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</si>
  <si>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</si>
  <si>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</si>
  <si>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</si>
  <si>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</si>
  <si>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</si>
  <si>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</si>
  <si>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</si>
  <si>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</si>
  <si>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</si>
  <si>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</si>
  <si>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</si>
  <si>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</si>
  <si>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</si>
  <si>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</si>
  <si>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</si>
  <si>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</si>
  <si>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</si>
  <si>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</si>
  <si>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</si>
  <si>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</si>
  <si>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</si>
  <si>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</si>
  <si>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</si>
  <si>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</si>
  <si>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</si>
  <si>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</si>
  <si>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</si>
  <si>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</si>
  <si>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</si>
  <si>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</si>
  <si>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</si>
  <si>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</si>
  <si>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</si>
  <si>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</si>
  <si>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</si>
  <si>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</si>
  <si>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</si>
  <si>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</si>
  <si>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</si>
  <si>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</si>
  <si>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</si>
  <si>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</si>
  <si>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</si>
  <si>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</si>
  <si>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</si>
  <si>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</si>
  <si>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</si>
  <si>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</si>
  <si>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</si>
  <si>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</si>
  <si>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</si>
  <si>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</si>
  <si>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</si>
  <si>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</si>
  <si>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</si>
  <si>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</si>
  <si>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</si>
  <si>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</si>
  <si>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</si>
  <si>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</si>
  <si>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</si>
  <si>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</si>
  <si>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</si>
  <si>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</si>
  <si>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</si>
  <si>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</si>
  <si>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</si>
  <si>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</si>
  <si>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</si>
  <si>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</si>
  <si>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</si>
  <si>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</si>
  <si>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</si>
  <si>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</si>
  <si>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</si>
  <si>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</si>
  <si>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</si>
  <si>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</si>
  <si>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</si>
  <si>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</si>
  <si>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</si>
  <si>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</si>
  <si>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</si>
  <si>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</si>
  <si>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</si>
  <si>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</si>
  <si>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</si>
  <si>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</si>
  <si>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</si>
  <si>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</si>
  <si>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</si>
  <si>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</si>
  <si>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</si>
  <si>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</si>
  <si>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</si>
  <si>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</si>
  <si>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</si>
  <si>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</si>
  <si>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</si>
  <si>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</si>
  <si>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</si>
  <si>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</si>
  <si>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</si>
  <si>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</si>
  <si>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</si>
  <si>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</si>
  <si>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</si>
  <si>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</si>
  <si>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</si>
  <si>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</si>
  <si>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</si>
  <si>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</si>
  <si>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</si>
  <si>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</si>
  <si>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</si>
  <si>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</si>
  <si>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</si>
  <si>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</si>
  <si>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</si>
  <si>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</si>
  <si>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</si>
  <si>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</si>
  <si>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</si>
  <si>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</si>
  <si>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</si>
  <si>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</si>
  <si>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</si>
  <si>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</si>
  <si>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</si>
  <si>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</si>
  <si>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</si>
  <si>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</si>
  <si>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</si>
  <si>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</si>
  <si>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</si>
  <si>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</si>
  <si>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</si>
  <si>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</si>
  <si>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</si>
  <si>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</si>
  <si>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</si>
  <si>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</si>
  <si>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</si>
  <si>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</si>
  <si>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</si>
  <si>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</si>
  <si>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</si>
  <si>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</si>
  <si>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</si>
  <si>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</si>
  <si>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</si>
  <si>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</si>
  <si>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</si>
  <si>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</si>
  <si>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</si>
  <si>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</si>
  <si>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</si>
  <si>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</si>
  <si>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</si>
  <si>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</si>
  <si>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</si>
  <si>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</si>
  <si>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</si>
  <si>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</si>
  <si>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</si>
  <si>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</si>
  <si>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</si>
  <si>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</si>
  <si>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</si>
  <si>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</si>
  <si>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</si>
  <si>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</si>
  <si>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</si>
  <si>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</si>
  <si>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</si>
  <si>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</si>
  <si>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</si>
  <si>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</si>
  <si>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</si>
  <si>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</si>
  <si>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</si>
  <si>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</si>
  <si>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</si>
  <si>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</si>
  <si>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</si>
  <si>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</si>
  <si>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</si>
  <si>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</si>
  <si>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</si>
  <si>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</si>
  <si>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</si>
  <si>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</si>
  <si>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</si>
  <si>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</si>
  <si>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</si>
  <si>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</si>
  <si>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</si>
  <si>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</si>
  <si>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</si>
  <si>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</si>
  <si>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</si>
  <si>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</si>
  <si>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</si>
  <si>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</si>
  <si>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</si>
  <si>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</si>
  <si>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</si>
  <si>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</si>
  <si>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</si>
  <si>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</si>
  <si>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</si>
  <si>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</si>
  <si>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</si>
  <si>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</si>
  <si>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</si>
  <si>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</si>
  <si>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</si>
  <si>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</si>
  <si>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</si>
  <si>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</si>
  <si>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</si>
  <si>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</si>
  <si>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</si>
  <si>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</si>
  <si>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</si>
  <si>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</si>
  <si>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</si>
  <si>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</si>
  <si>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</si>
  <si>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</si>
  <si>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</si>
  <si>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</si>
  <si>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</si>
  <si>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</si>
  <si>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</si>
  <si>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</si>
  <si>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</si>
  <si>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</si>
  <si>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</si>
  <si>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</si>
  <si>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</si>
  <si>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</si>
  <si>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</si>
  <si>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</si>
  <si>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</si>
  <si>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</si>
  <si>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</si>
  <si>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</si>
  <si>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</si>
  <si>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</si>
  <si>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</si>
  <si>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</si>
  <si>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</si>
  <si>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</si>
  <si>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</si>
  <si>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</si>
  <si>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</si>
  <si>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</si>
  <si>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</si>
  <si>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</si>
  <si>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</si>
  <si>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</si>
  <si>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</si>
  <si>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</si>
  <si>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</si>
  <si>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</si>
  <si>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</si>
  <si>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</si>
  <si>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</si>
  <si>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</si>
  <si>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</si>
  <si>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</si>
  <si>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</si>
  <si>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</si>
  <si>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</si>
  <si>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</si>
  <si>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</si>
  <si>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</si>
  <si>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</si>
  <si>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</si>
  <si>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</si>
  <si>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</si>
  <si>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</si>
  <si>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</si>
  <si>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</si>
  <si>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</si>
  <si>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</si>
  <si>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</si>
  <si>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</si>
  <si>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</si>
  <si>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</si>
  <si>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</si>
  <si>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</si>
  <si>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</si>
  <si>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</si>
  <si>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</si>
  <si>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</si>
  <si>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</si>
  <si>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</si>
  <si>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</si>
  <si>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</si>
  <si>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</si>
  <si>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</si>
  <si>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</si>
  <si>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</si>
  <si>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</si>
  <si>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</si>
  <si>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</si>
  <si>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</si>
  <si>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</si>
  <si>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</si>
  <si>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</si>
  <si>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</si>
  <si>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</si>
  <si>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</si>
  <si>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</si>
  <si>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</si>
  <si>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</si>
  <si>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</si>
  <si>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</si>
  <si>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</si>
  <si>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</si>
  <si>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</si>
  <si>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</si>
  <si>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</si>
  <si>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</si>
  <si>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</si>
  <si>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</si>
  <si>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</si>
  <si>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</si>
  <si>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</si>
  <si>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</si>
  <si>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</si>
  <si>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</si>
  <si>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</si>
  <si>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</si>
  <si>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</si>
  <si>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</si>
  <si>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</si>
  <si>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</si>
  <si>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</si>
  <si>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</si>
  <si>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</si>
  <si>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</si>
  <si>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</si>
  <si>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</si>
  <si>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</si>
  <si>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</si>
  <si>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</si>
  <si>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</si>
  <si>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</si>
  <si>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</si>
  <si>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</si>
  <si>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</si>
  <si>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</si>
  <si>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</si>
  <si>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</si>
  <si>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</si>
  <si>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</si>
  <si>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</si>
  <si>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</si>
  <si>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</si>
  <si>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</si>
  <si>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</si>
  <si>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</si>
  <si>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</si>
  <si>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</si>
  <si>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</si>
  <si>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</si>
  <si>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</si>
  <si>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</si>
  <si>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</si>
  <si>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</si>
  <si>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</si>
  <si>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</si>
  <si>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</si>
  <si>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</si>
  <si>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</si>
  <si>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</si>
  <si>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</si>
  <si>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</si>
  <si>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</si>
  <si>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</si>
  <si>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</si>
  <si>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</si>
  <si>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</si>
  <si>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</si>
  <si>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</si>
  <si>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</si>
  <si>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</si>
  <si>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</si>
  <si>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</si>
  <si>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</si>
  <si>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</si>
  <si>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</si>
  <si>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</si>
  <si>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</si>
  <si>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</si>
  <si>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</si>
  <si>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</si>
  <si>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</si>
  <si>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</si>
  <si>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</si>
  <si>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</si>
  <si>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</si>
  <si>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</si>
  <si>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</si>
  <si>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</si>
  <si>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</si>
  <si>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</si>
  <si>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</si>
  <si>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</si>
  <si>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</si>
  <si>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</si>
  <si>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</si>
  <si>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</si>
  <si>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</si>
  <si>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</si>
  <si>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</si>
  <si>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</si>
  <si>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</si>
  <si>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</si>
  <si>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</si>
  <si>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</si>
  <si>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</si>
  <si>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</si>
  <si>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</si>
  <si>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</si>
  <si>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</si>
  <si>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</si>
  <si>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</si>
  <si>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</si>
  <si>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</si>
  <si>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</si>
  <si>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</si>
  <si>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</si>
  <si>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</si>
  <si>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</si>
  <si>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</si>
  <si>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</si>
  <si>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</si>
  <si>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</si>
  <si>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</si>
  <si>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</si>
  <si>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</si>
  <si>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</si>
  <si>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</si>
  <si>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</si>
  <si>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</si>
  <si>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</si>
  <si>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</si>
  <si>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</si>
  <si>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</si>
  <si>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</si>
  <si>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</si>
  <si>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</si>
  <si>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</si>
  <si>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</si>
  <si>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</si>
  <si>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</si>
  <si>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</si>
  <si>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</si>
  <si>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</si>
  <si>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</si>
  <si>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</si>
  <si>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</si>
  <si>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</si>
  <si>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</si>
  <si>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</si>
  <si>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</si>
  <si>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</si>
  <si>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</si>
  <si>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</si>
  <si>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</si>
  <si>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</si>
  <si>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</si>
  <si>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</si>
  <si>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</si>
  <si>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</si>
  <si>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</si>
  <si>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</si>
  <si>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</si>
  <si>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</si>
  <si>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</si>
  <si>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</si>
  <si>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</si>
  <si>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</si>
  <si>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</si>
  <si>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</si>
  <si>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</si>
  <si>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</si>
  <si>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</si>
  <si>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</si>
  <si>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</si>
  <si>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</si>
  <si>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</si>
  <si>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</si>
  <si>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</si>
  <si>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</si>
  <si>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</si>
  <si>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</si>
  <si>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</si>
  <si>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</si>
  <si>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</si>
  <si>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</si>
  <si>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</si>
  <si>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</si>
  <si>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</si>
  <si>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</si>
  <si>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</si>
  <si>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</si>
  <si>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</si>
  <si>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</si>
  <si>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</si>
  <si>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</si>
  <si>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</si>
  <si>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</si>
  <si>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</si>
  <si>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</si>
  <si>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</si>
  <si>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</si>
  <si>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</si>
  <si>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</si>
  <si>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</si>
  <si>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</si>
  <si>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</si>
  <si>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</si>
  <si>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</si>
  <si>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</si>
  <si>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</si>
  <si>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</si>
  <si>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</si>
  <si>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</si>
  <si>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</si>
  <si>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</si>
  <si>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</si>
  <si>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</si>
  <si>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</si>
  <si>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</si>
  <si>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</si>
  <si>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</si>
  <si>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</si>
  <si>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</si>
  <si>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</si>
  <si>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</si>
  <si>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</si>
  <si>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</si>
  <si>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</si>
  <si>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</si>
  <si>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Start date</t>
  </si>
  <si>
    <t>Due date</t>
  </si>
  <si>
    <t>Tempoh</t>
  </si>
  <si>
    <t>Target Date</t>
  </si>
  <si>
    <t>Assigned to</t>
  </si>
  <si>
    <t>Status Progress</t>
  </si>
  <si>
    <t>Percentage</t>
  </si>
  <si>
    <t>Overall Progress Task (%)</t>
  </si>
  <si>
    <t>Payroll</t>
  </si>
  <si>
    <t>1. MYSTEP (Kategori Bukan Tetap)</t>
  </si>
  <si>
    <t>Enhancement (CR)</t>
  </si>
  <si>
    <t>Done</t>
  </si>
  <si>
    <t>High</t>
  </si>
  <si>
    <t>18 Hari</t>
  </si>
  <si>
    <t>Mohd Faisal Ahmad; Rafizul Arif Abd. Talib</t>
  </si>
  <si>
    <t>2. Pendaftaran Kakitangan</t>
  </si>
  <si>
    <t>10 Hari</t>
  </si>
  <si>
    <t>3. Kemaskini Gaji</t>
  </si>
  <si>
    <t>4. Slip Gaji</t>
  </si>
  <si>
    <t>5. Laporan</t>
  </si>
  <si>
    <t>6. Integrasi Sistem</t>
  </si>
  <si>
    <t>In progress</t>
  </si>
  <si>
    <t>3 Hari</t>
  </si>
  <si>
    <t>7. Pre UAT:
- Penyediaan skrip &amp; Dokumen - 15/06-16/06
- Serahan Dokumen - 17/06
- Sign-off - 18/06-21/06</t>
  </si>
  <si>
    <t>7 Hari</t>
  </si>
  <si>
    <t>Zaim; Mohd Faisal Ahmad; Nur Syahirah;</t>
  </si>
  <si>
    <t>In Progress</t>
  </si>
  <si>
    <t>8. UAT / Training</t>
  </si>
  <si>
    <t>6 Hari</t>
  </si>
  <si>
    <t>Mohd Faisal Ahmad; Nur Syahirah; En Musa</t>
  </si>
  <si>
    <t>Not Started</t>
  </si>
  <si>
    <t>9. FAT</t>
  </si>
  <si>
    <t>10. Go Live</t>
  </si>
  <si>
    <t>2 Hari</t>
  </si>
  <si>
    <t>Claim</t>
  </si>
  <si>
    <t>1. Tempahan hotel &amp; tiket penerbangan</t>
  </si>
  <si>
    <t>12 Hari</t>
  </si>
  <si>
    <t>Zainal Abidin Md Halim; Luqmanulhakim Bin Mohamad Radzi</t>
  </si>
  <si>
    <t>2. Tempahan hotel &amp; kenderaan sendiri</t>
  </si>
  <si>
    <t>3. Tetapan pegawai tempahan</t>
  </si>
  <si>
    <t>4. Tetapan pelulus kenderaan</t>
  </si>
  <si>
    <t>5. Pindaan aktiviti</t>
  </si>
  <si>
    <t>13 Hari</t>
  </si>
  <si>
    <t>6. Pre UAT:</t>
  </si>
  <si>
    <t>Zaim; Zainal Abidin Md Halim; Nur Syahirah;</t>
  </si>
  <si>
    <t>- Penyediaan skrip &amp; Dokumen - 15/06-16/06</t>
  </si>
  <si>
    <t>- Serahan Dokumen - 17/06</t>
  </si>
  <si>
    <t>- Sign-off - 18/06-21/06</t>
  </si>
  <si>
    <t>7. UAT / Training</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</si>
  <si>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</si>
  <si>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</si>
  <si>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</si>
  <si>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</si>
  <si>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</si>
  <si>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</si>
  <si>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</si>
  <si>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</si>
  <si>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</si>
  <si>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</si>
  <si>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</si>
  <si>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</si>
  <si>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</si>
  <si>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</si>
  <si>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9. Pre UAT:</t>
  </si>
  <si>
    <t>Zaim; Mohd Faisal Ahmad; Nur Syahirah</t>
  </si>
  <si>
    <t>10. UAT / Training</t>
  </si>
  <si>
    <t>Mohd Faisal Ahmad; Suhana Abu Yasir; Nur Syahirah</t>
  </si>
  <si>
    <t>11. FAT</t>
  </si>
  <si>
    <t>12. Go Live</t>
  </si>
  <si>
    <t>Supplier Portal</t>
  </si>
  <si>
    <t>1. Modul Pendaftaran Syarikat</t>
  </si>
  <si>
    <t>Not started</t>
  </si>
  <si>
    <t>4 Hari</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</si>
  <si>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</si>
  <si>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</si>
  <si>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</si>
  <si>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</si>
  <si>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</si>
  <si>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</si>
  <si>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</si>
  <si>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</si>
  <si>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</si>
  <si>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</si>
  <si>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</si>
  <si>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</si>
  <si>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</si>
  <si>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10. Pre UAT:</t>
  </si>
  <si>
    <t>Zaim; Muhammad Arif Irfaan Zakaria; Mohd Faisal Ahmad; Nur Syahirah</t>
  </si>
  <si>
    <t>Doc</t>
  </si>
  <si>
    <t>11. UAT / Training</t>
  </si>
  <si>
    <t>Muhammad Arif Irfaan Zakaria; Mohd Faisal Ahmad; Nur Syahirah</t>
  </si>
  <si>
    <t>UAT</t>
  </si>
  <si>
    <t>12. FAT</t>
  </si>
  <si>
    <t>FAT</t>
  </si>
  <si>
    <t>13. Go Live</t>
  </si>
  <si>
    <t>TRAINING</t>
  </si>
  <si>
    <t>Configuration - Server &amp; Application</t>
  </si>
  <si>
    <t>Readiness of server and application</t>
  </si>
  <si>
    <t>Development</t>
  </si>
  <si>
    <t>Saharimi Zakaria;</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</si>
  <si>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</si>
  <si>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</si>
  <si>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</si>
  <si>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</si>
  <si>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</si>
  <si>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</si>
  <si>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</si>
  <si>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</si>
  <si>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</si>
  <si>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</si>
  <si>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</si>
  <si>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</si>
  <si>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</si>
  <si>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</si>
  <si>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7. Pre UAT:</t>
  </si>
  <si>
    <t>Za'im Hazwan Bin Zainal; En Musa</t>
  </si>
  <si>
    <t>- Penyediaan skrip &amp; Dokumen - 16/07-17/07</t>
  </si>
  <si>
    <t>- Serahan Dokumen - 18/07</t>
  </si>
  <si>
    <t>- Sign-off - 19/07-22/07</t>
  </si>
  <si>
    <t>UAT / Training</t>
  </si>
  <si>
    <t>Conduct online / onsite</t>
  </si>
  <si>
    <t>Mohd Faisal Ahmad; Siti Nur Syahirah Osman; En Musa</t>
  </si>
  <si>
    <t>Go Live</t>
  </si>
  <si>
    <t>Delivery the Go Live and get the signoff</t>
  </si>
  <si>
    <t>Client</t>
  </si>
  <si>
    <t>YIK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</si>
</sst>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37" x14ac:knownFonts="1">
    <font>
      <sz val="12"/>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s>
  <fills count="49">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theme="8" tint="0.59999389629810485"/>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s>
  <borders count="16">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rgb="FF8EA9DB"/>
      </left>
      <right/>
      <top/>
      <bottom/>
      <diagonal/>
    </border>
    <border>
      <left/>
      <right style="thin">
        <color rgb="FF8EA9DB"/>
      </right>
      <top/>
      <bottom/>
      <diagonal/>
    </border>
    <border>
      <left/>
      <right/>
      <top style="thin">
        <color indexed="64"/>
      </top>
      <bottom/>
      <diagonal/>
    </border>
  </borders>
  <cellStyleXfs count="5">
    <xf numFmtId="0" fontId="0" fillId="0" borderId="0"/>
    <xf numFmtId="164" fontId="1" fillId="0" borderId="0" applyFont="0" applyFill="0" applyBorder="0" applyAlignment="0" applyProtection="0"/>
    <xf numFmtId="0" fontId="3" fillId="0" borderId="0" applyNumberFormat="0" applyFill="0" applyBorder="0" applyAlignment="0" applyProtection="0">
      <alignment vertical="top"/>
      <protection locked="0"/>
    </xf>
    <xf numFmtId="0" fontId="17" fillId="0" borderId="0"/>
    <xf numFmtId="0" fontId="29" fillId="27" borderId="9" applyNumberFormat="0" applyAlignment="0" applyProtection="0"/>
  </cellStyleXfs>
  <cellXfs count="241">
    <xf numFmtId="0" fontId="0" fillId="0" borderId="0" xfId="0"/>
    <xf numFmtId="0" fontId="4" fillId="0" borderId="0" xfId="0" applyFont="1"/>
    <xf numFmtId="0" fontId="5" fillId="0" borderId="0" xfId="0" applyFont="1"/>
    <xf numFmtId="0" fontId="6" fillId="0" borderId="0" xfId="0" applyFont="1" applyAlignment="1">
      <alignment vertical="center" wrapText="1"/>
    </xf>
    <xf numFmtId="0" fontId="6" fillId="0" borderId="0" xfId="0" applyFont="1" applyAlignment="1">
      <alignment horizontal="center" vertical="center" wrapText="1"/>
    </xf>
    <xf numFmtId="0" fontId="8" fillId="0" borderId="0" xfId="0" applyFont="1" applyAlignment="1">
      <alignment horizontal="center" vertical="center"/>
    </xf>
    <xf numFmtId="166" fontId="9" fillId="0" borderId="0" xfId="0" applyNumberFormat="1" applyFont="1" applyAlignment="1">
      <alignment vertical="center"/>
    </xf>
    <xf numFmtId="1" fontId="10" fillId="0" borderId="0" xfId="0" applyNumberFormat="1" applyFont="1" applyAlignment="1">
      <alignment horizontal="center" vertical="center"/>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left" indent="1"/>
    </xf>
    <xf numFmtId="0" fontId="6"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165" fontId="7" fillId="0" borderId="1" xfId="0" applyNumberFormat="1" applyFont="1" applyBorder="1" applyAlignment="1">
      <alignment horizontal="center"/>
    </xf>
    <xf numFmtId="0" fontId="7" fillId="0" borderId="1" xfId="0" applyFont="1" applyBorder="1" applyAlignment="1">
      <alignment horizontal="center"/>
    </xf>
    <xf numFmtId="166" fontId="7" fillId="0" borderId="1" xfId="1" applyNumberFormat="1" applyFont="1" applyBorder="1" applyAlignment="1">
      <alignment horizontal="right"/>
    </xf>
    <xf numFmtId="1" fontId="7" fillId="0" borderId="1" xfId="0" applyNumberFormat="1" applyFont="1" applyBorder="1" applyAlignment="1">
      <alignment horizontal="center"/>
    </xf>
    <xf numFmtId="0" fontId="7" fillId="13" borderId="1" xfId="0" applyFont="1" applyFill="1" applyBorder="1" applyAlignment="1">
      <alignment horizontal="left" indent="1"/>
    </xf>
    <xf numFmtId="165" fontId="7" fillId="14" borderId="1" xfId="0" applyNumberFormat="1" applyFont="1" applyFill="1" applyBorder="1" applyAlignment="1">
      <alignment horizontal="center"/>
    </xf>
    <xf numFmtId="0" fontId="7" fillId="14" borderId="1" xfId="0" applyFont="1" applyFill="1" applyBorder="1" applyAlignment="1">
      <alignment horizontal="center"/>
    </xf>
    <xf numFmtId="0" fontId="7" fillId="16" borderId="1" xfId="0" applyFont="1" applyFill="1" applyBorder="1" applyAlignment="1">
      <alignment horizontal="center"/>
    </xf>
    <xf numFmtId="166" fontId="7" fillId="15" borderId="1" xfId="1" applyNumberFormat="1" applyFont="1" applyFill="1" applyBorder="1" applyAlignment="1">
      <alignment horizontal="right"/>
    </xf>
    <xf numFmtId="1" fontId="7" fillId="17" borderId="1" xfId="0" applyNumberFormat="1" applyFont="1" applyFill="1" applyBorder="1" applyAlignment="1">
      <alignment horizontal="center"/>
    </xf>
    <xf numFmtId="1" fontId="7" fillId="18" borderId="1" xfId="0" applyNumberFormat="1" applyFont="1" applyFill="1" applyBorder="1" applyAlignment="1">
      <alignment horizontal="center"/>
    </xf>
    <xf numFmtId="1" fontId="7" fillId="19" borderId="1" xfId="0" applyNumberFormat="1" applyFont="1" applyFill="1" applyBorder="1" applyAlignment="1">
      <alignment horizontal="center"/>
    </xf>
    <xf numFmtId="0" fontId="6" fillId="3" borderId="1" xfId="0" applyFont="1" applyFill="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vertical="center"/>
    </xf>
    <xf numFmtId="0" fontId="14" fillId="0" borderId="0" xfId="0" applyFont="1" applyAlignment="1">
      <alignment vertical="center"/>
    </xf>
    <xf numFmtId="0" fontId="15" fillId="20" borderId="0" xfId="0" applyFont="1" applyFill="1" applyAlignment="1">
      <alignment vertical="center"/>
    </xf>
    <xf numFmtId="0" fontId="14" fillId="20" borderId="0" xfId="0" applyFont="1" applyFill="1" applyAlignment="1">
      <alignment vertical="center"/>
    </xf>
    <xf numFmtId="0" fontId="14" fillId="20" borderId="0" xfId="0" applyFont="1" applyFill="1" applyAlignment="1">
      <alignment horizontal="center" vertical="center"/>
    </xf>
    <xf numFmtId="0" fontId="16" fillId="0" borderId="0" xfId="0" applyFont="1"/>
    <xf numFmtId="0" fontId="17" fillId="0" borderId="0" xfId="3"/>
    <xf numFmtId="0" fontId="16" fillId="0" borderId="5" xfId="3" applyFont="1" applyBorder="1" applyAlignment="1">
      <alignment horizontal="left" vertical="center" wrapText="1" indent="2"/>
    </xf>
    <xf numFmtId="0" fontId="4" fillId="0" borderId="0" xfId="0" applyFont="1" applyAlignment="1">
      <alignment vertical="center"/>
    </xf>
    <xf numFmtId="0" fontId="19" fillId="0" borderId="0" xfId="0" applyFont="1" applyAlignment="1">
      <alignment vertical="center"/>
    </xf>
    <xf numFmtId="0" fontId="18" fillId="0" borderId="0" xfId="0" applyFont="1" applyAlignment="1">
      <alignment vertical="center"/>
    </xf>
    <xf numFmtId="0" fontId="20" fillId="20" borderId="0" xfId="0" applyFont="1" applyFill="1" applyAlignment="1">
      <alignment vertical="center"/>
    </xf>
    <xf numFmtId="0" fontId="4" fillId="0" borderId="0" xfId="2" applyFont="1" applyAlignment="1" applyProtection="1">
      <alignment horizontal="center" vertical="center"/>
    </xf>
    <xf numFmtId="0" fontId="21" fillId="20" borderId="0" xfId="0" applyFont="1" applyFill="1" applyAlignment="1">
      <alignment vertical="center"/>
    </xf>
    <xf numFmtId="0" fontId="22" fillId="20" borderId="0" xfId="0" applyFont="1" applyFill="1" applyAlignment="1">
      <alignment vertical="center"/>
    </xf>
    <xf numFmtId="0" fontId="3" fillId="22" borderId="6" xfId="2" applyFill="1" applyBorder="1" applyAlignment="1" applyProtection="1">
      <alignment vertical="center"/>
    </xf>
    <xf numFmtId="0" fontId="24" fillId="5" borderId="6" xfId="0" applyFont="1" applyFill="1" applyBorder="1" applyAlignment="1">
      <alignment vertical="center"/>
    </xf>
    <xf numFmtId="0" fontId="24" fillId="23" borderId="6" xfId="0" applyFont="1" applyFill="1" applyBorder="1" applyAlignment="1">
      <alignment vertical="center"/>
    </xf>
    <xf numFmtId="0" fontId="24" fillId="23" borderId="6" xfId="0" applyFont="1" applyFill="1" applyBorder="1" applyAlignment="1">
      <alignment horizontal="left" vertical="center"/>
    </xf>
    <xf numFmtId="0" fontId="24" fillId="24" borderId="6" xfId="0" applyFont="1" applyFill="1" applyBorder="1" applyAlignment="1">
      <alignment vertical="center"/>
    </xf>
    <xf numFmtId="0" fontId="24" fillId="24" borderId="0" xfId="0" applyFont="1" applyFill="1" applyAlignment="1">
      <alignment horizontal="left" vertical="center"/>
    </xf>
    <xf numFmtId="0" fontId="24" fillId="22" borderId="6" xfId="0" applyFont="1" applyFill="1" applyBorder="1" applyAlignment="1">
      <alignment vertical="center"/>
    </xf>
    <xf numFmtId="1" fontId="24" fillId="22" borderId="6" xfId="0" applyNumberFormat="1" applyFont="1" applyFill="1" applyBorder="1" applyAlignment="1">
      <alignment vertical="center"/>
    </xf>
    <xf numFmtId="0" fontId="24" fillId="22" borderId="0" xfId="0" applyFont="1" applyFill="1" applyAlignment="1">
      <alignment vertical="center"/>
    </xf>
    <xf numFmtId="0" fontId="25" fillId="25" borderId="6" xfId="0" applyFont="1" applyFill="1" applyBorder="1" applyAlignment="1">
      <alignment vertical="center" wrapText="1"/>
    </xf>
    <xf numFmtId="1" fontId="24" fillId="25" borderId="6" xfId="0" applyNumberFormat="1" applyFont="1" applyFill="1" applyBorder="1" applyAlignment="1">
      <alignment vertical="center"/>
    </xf>
    <xf numFmtId="0" fontId="24" fillId="25" borderId="0" xfId="0" applyFont="1" applyFill="1" applyAlignment="1">
      <alignment vertical="center"/>
    </xf>
    <xf numFmtId="0" fontId="26" fillId="0" borderId="6" xfId="0" applyFont="1" applyBorder="1" applyAlignment="1">
      <alignment vertical="center" wrapText="1"/>
    </xf>
    <xf numFmtId="14" fontId="26"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7" fillId="7" borderId="6" xfId="0" applyFont="1" applyFill="1" applyBorder="1" applyAlignment="1">
      <alignment horizontal="center" vertical="center"/>
    </xf>
    <xf numFmtId="0" fontId="24" fillId="0" borderId="6" xfId="0" applyFont="1" applyBorder="1" applyAlignment="1">
      <alignment horizontal="center" vertical="center"/>
    </xf>
    <xf numFmtId="0" fontId="28" fillId="22" borderId="1" xfId="0" applyFont="1" applyFill="1" applyBorder="1" applyAlignment="1">
      <alignment horizontal="center" vertical="center" wrapText="1"/>
    </xf>
    <xf numFmtId="0" fontId="6" fillId="2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168" fontId="7" fillId="0" borderId="1" xfId="0" applyNumberFormat="1" applyFont="1" applyBorder="1" applyAlignment="1">
      <alignment horizontal="center"/>
    </xf>
    <xf numFmtId="169" fontId="7" fillId="0" borderId="1" xfId="0" applyNumberFormat="1" applyFont="1" applyBorder="1" applyAlignment="1">
      <alignment horizontal="center"/>
    </xf>
    <xf numFmtId="0" fontId="0" fillId="5" borderId="6" xfId="0" applyFill="1" applyBorder="1" applyAlignment="1">
      <alignment vertical="center"/>
    </xf>
    <xf numFmtId="0" fontId="26"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5" fillId="25" borderId="7" xfId="0" applyFont="1" applyFill="1" applyBorder="1" applyAlignment="1">
      <alignment vertical="center" wrapText="1"/>
    </xf>
    <xf numFmtId="0" fontId="26" fillId="0" borderId="6" xfId="0" applyFont="1" applyBorder="1" applyAlignment="1">
      <alignment wrapText="1"/>
    </xf>
    <xf numFmtId="22" fontId="26" fillId="0" borderId="6" xfId="0" applyNumberFormat="1" applyFont="1" applyBorder="1" applyAlignment="1">
      <alignment wrapText="1"/>
    </xf>
    <xf numFmtId="0" fontId="0" fillId="0" borderId="6" xfId="0" applyBorder="1" applyAlignment="1">
      <alignment wrapText="1"/>
    </xf>
    <xf numFmtId="0" fontId="24" fillId="22" borderId="8" xfId="0" applyFont="1" applyFill="1" applyBorder="1" applyAlignment="1">
      <alignment vertical="center"/>
    </xf>
    <xf numFmtId="0" fontId="25"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7" fillId="7" borderId="6" xfId="0" applyFont="1" applyFill="1" applyBorder="1" applyAlignment="1">
      <alignment horizontal="center" vertical="center"/>
    </xf>
    <xf numFmtId="14" fontId="26" fillId="0" borderId="0" xfId="0" applyNumberFormat="1" applyFont="1" applyAlignment="1">
      <alignment wrapText="1"/>
    </xf>
    <xf numFmtId="0" fontId="26" fillId="0" borderId="0" xfId="0" applyFont="1" applyAlignment="1">
      <alignment wrapText="1"/>
    </xf>
    <xf numFmtId="0" fontId="26" fillId="0" borderId="0" xfId="0" applyFont="1" applyAlignment="1">
      <alignment wrapText="1"/>
    </xf>
    <xf numFmtId="22" fontId="26" fillId="0" borderId="0" xfId="0" applyNumberFormat="1" applyFont="1" applyAlignment="1">
      <alignment wrapText="1"/>
    </xf>
    <xf numFmtId="0" fontId="30" fillId="27" borderId="9" xfId="4" applyFont="1"/>
    <xf numFmtId="14" fontId="29" fillId="27" borderId="9" xfId="4" applyNumberFormat="1"/>
    <xf numFmtId="0" fontId="3" fillId="22" borderId="8" xfId="2" applyFill="1" applyBorder="1" applyAlignment="1" applyProtection="1">
      <alignment vertical="center"/>
    </xf>
    <xf numFmtId="0" fontId="26" fillId="0" borderId="8" xfId="0" applyFont="1" applyBorder="1" applyAlignment="1">
      <alignment vertical="center" wrapText="1"/>
    </xf>
    <xf numFmtId="0" fontId="24" fillId="24" borderId="6" xfId="0" applyFont="1" applyFill="1" applyBorder="1" applyAlignment="1">
      <alignment horizontal="left" vertical="center"/>
    </xf>
    <xf numFmtId="170" fontId="26" fillId="0" borderId="6" xfId="0" applyNumberFormat="1" applyFont="1" applyBorder="1" applyAlignment="1">
      <alignment vertical="center" wrapText="1"/>
    </xf>
    <xf numFmtId="170" fontId="0" fillId="0" borderId="6" xfId="0" applyNumberFormat="1" applyBorder="1" applyAlignment="1">
      <alignment vertical="center" wrapText="1"/>
    </xf>
    <xf numFmtId="170" fontId="26"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4" fillId="22" borderId="6" xfId="0" applyFont="1" applyFill="1" applyBorder="1" applyAlignment="1">
      <alignment horizontal="center" vertical="center"/>
    </xf>
    <xf numFmtId="0" fontId="25" fillId="25" borderId="6" xfId="0" applyFont="1" applyFill="1" applyBorder="1" applyAlignment="1">
      <alignment horizontal="center" vertical="center" wrapText="1"/>
    </xf>
    <xf numFmtId="0" fontId="26" fillId="0" borderId="6" xfId="0" applyFont="1" applyBorder="1" applyAlignment="1">
      <alignment horizontal="center" vertical="center" wrapText="1"/>
    </xf>
    <xf numFmtId="170" fontId="26" fillId="0" borderId="0" xfId="0" applyNumberFormat="1" applyFont="1" applyAlignment="1">
      <alignment wrapText="1"/>
    </xf>
    <xf numFmtId="170" fontId="0" fillId="0" borderId="0" xfId="0" applyNumberFormat="1" applyAlignment="1">
      <alignment wrapText="1"/>
    </xf>
    <xf numFmtId="170" fontId="26" fillId="0" borderId="6" xfId="0" applyNumberFormat="1" applyFont="1" applyBorder="1" applyAlignment="1">
      <alignment wrapText="1"/>
    </xf>
    <xf numFmtId="170" fontId="0" fillId="0" borderId="6" xfId="0" applyNumberFormat="1" applyBorder="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4"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4" fillId="32" borderId="6" xfId="0" applyFont="1" applyFill="1" applyBorder="1" applyAlignment="1">
      <alignment vertical="center"/>
    </xf>
    <xf numFmtId="0" fontId="34" fillId="33" borderId="6" xfId="0" applyFont="1" applyFill="1" applyBorder="1" applyAlignment="1">
      <alignment horizontal="center" vertical="center" wrapText="1"/>
    </xf>
    <xf numFmtId="0" fontId="31" fillId="34" borderId="6" xfId="0" applyFont="1" applyFill="1" applyBorder="1" applyAlignment="1">
      <alignment vertical="center"/>
    </xf>
    <xf numFmtId="0" fontId="35" fillId="35" borderId="6" xfId="0" applyFont="1" applyFill="1" applyBorder="1" applyAlignment="1">
      <alignmen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10" fontId="35" fillId="35" borderId="6" xfId="0" applyNumberFormat="1" applyFont="1" applyFill="1" applyBorder="1" applyAlignment="1">
      <alignment vertical="center"/>
    </xf>
    <xf numFmtId="0" fontId="31" fillId="36" borderId="6" xfId="0" applyFont="1" applyFill="1" applyBorder="1" applyAlignment="1">
      <alignment vertical="center"/>
    </xf>
    <xf numFmtId="0" fontId="33" fillId="37" borderId="6" xfId="0" applyFont="1" applyFill="1" applyBorder="1" applyAlignment="1">
      <alignment vertical="center"/>
    </xf>
    <xf numFmtId="0" fontId="35" fillId="38" borderId="6" xfId="0" applyFont="1" applyFill="1" applyBorder="1" applyAlignment="1">
      <alignment vertical="center" wrapText="1"/>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10" fontId="35" fillId="38" borderId="6" xfId="0" applyNumberFormat="1" applyFont="1" applyFill="1" applyBorder="1" applyAlignment="1">
      <alignment vertical="center"/>
    </xf>
    <xf numFmtId="0" fontId="33" fillId="39" borderId="6" xfId="0" applyFont="1" applyFill="1" applyBorder="1" applyAlignment="1">
      <alignment vertical="center"/>
    </xf>
    <xf numFmtId="0" fontId="32" fillId="40" borderId="6" xfId="0" applyFont="1" applyFill="1" applyBorder="1" applyAlignment="1">
      <alignment vertical="center"/>
    </xf>
    <xf numFmtId="0" fontId="35" fillId="41" borderId="6" xfId="0" applyFont="1" applyFill="1" applyBorder="1" applyAlignment="1">
      <alignment vertical="center" wrapText="1"/>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10" fontId="35" fillId="41" borderId="6" xfId="0" applyNumberFormat="1" applyFont="1" applyFill="1" applyBorder="1" applyAlignment="1">
      <alignment vertical="center"/>
    </xf>
    <xf numFmtId="0" fontId="32" fillId="43" borderId="6" xfId="0" applyFont="1" applyFill="1" applyBorder="1" applyAlignment="1">
      <alignment vertical="center"/>
    </xf>
    <xf numFmtId="0" fontId="35" fillId="44" borderId="6" xfId="0" applyFont="1" applyFill="1" applyBorder="1" applyAlignment="1">
      <alignment vertical="center"/>
    </xf>
    <xf numFmtId="0" fontId="35" fillId="44" borderId="6" xfId="0" applyFont="1" applyFill="1" applyBorder="1" applyAlignment="1">
      <alignment vertical="center" wrapText="1"/>
    </xf>
    <xf numFmtId="14" fontId="35" fillId="44" borderId="6" xfId="0" applyNumberFormat="1" applyFont="1" applyFill="1" applyBorder="1" applyAlignment="1">
      <alignment horizontal="center" vertical="center"/>
    </xf>
    <xf numFmtId="0" fontId="35" fillId="44" borderId="6" xfId="0" applyFont="1" applyFill="1" applyBorder="1" applyAlignment="1">
      <alignment horizontal="center" vertical="center"/>
    </xf>
    <xf numFmtId="10" fontId="35" fillId="44" borderId="6" xfId="0" applyNumberFormat="1" applyFont="1" applyFill="1" applyBorder="1" applyAlignment="1">
      <alignment vertical="center"/>
    </xf>
    <xf numFmtId="0" fontId="35" fillId="45" borderId="6" xfId="0" applyFont="1" applyFill="1" applyBorder="1" applyAlignment="1">
      <alignment vertical="center" wrapText="1"/>
    </xf>
    <xf numFmtId="0" fontId="35" fillId="45" borderId="6" xfId="0" applyFont="1" applyFill="1" applyBorder="1" applyAlignment="1">
      <alignment vertical="center"/>
    </xf>
    <xf numFmtId="14" fontId="35" fillId="45" borderId="6" xfId="0" applyNumberFormat="1" applyFont="1" applyFill="1" applyBorder="1" applyAlignment="1">
      <alignment horizontal="center" vertical="center"/>
    </xf>
    <xf numFmtId="0" fontId="35" fillId="45" borderId="6" xfId="0" applyFont="1" applyFill="1" applyBorder="1" applyAlignment="1">
      <alignment horizontal="center" vertical="center"/>
    </xf>
    <xf numFmtId="10" fontId="35" fillId="45" borderId="6" xfId="0" applyNumberFormat="1" applyFont="1" applyFill="1" applyBorder="1" applyAlignment="1">
      <alignment vertical="center"/>
    </xf>
    <xf numFmtId="0" fontId="35" fillId="46" borderId="6" xfId="0" applyFont="1" applyFill="1" applyBorder="1" applyAlignment="1">
      <alignment vertical="center"/>
    </xf>
    <xf numFmtId="0" fontId="35" fillId="46" borderId="6" xfId="0" applyFont="1" applyFill="1" applyBorder="1" applyAlignment="1">
      <alignment vertical="center" wrapText="1"/>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46" borderId="6" xfId="0" applyNumberFormat="1" applyFont="1" applyFill="1" applyBorder="1" applyAlignment="1">
      <alignment vertical="center"/>
    </xf>
    <xf numFmtId="10" fontId="0" fillId="0" borderId="6" xfId="0" applyNumberFormat="1" applyBorder="1"/>
    <xf numFmtId="0" fontId="35" fillId="47" borderId="0" xfId="0" applyFont="1" applyFill="1"/>
    <xf numFmtId="0" fontId="35" fillId="47" borderId="0" xfId="0" applyFont="1" applyFill="1" applyAlignment="1">
      <alignment wrapText="1"/>
    </xf>
    <xf numFmtId="14" fontId="35" fillId="47" borderId="0" xfId="0" applyNumberFormat="1" applyFont="1" applyFill="1" applyAlignment="1">
      <alignment horizontal="center" vertical="center"/>
    </xf>
    <xf numFmtId="0" fontId="35" fillId="47" borderId="0" xfId="0" applyFont="1" applyFill="1" applyAlignment="1">
      <alignment horizontal="center" vertical="center"/>
    </xf>
    <xf numFmtId="10" fontId="35" fillId="47" borderId="0" xfId="0" applyNumberFormat="1" applyFont="1" applyFill="1"/>
    <xf numFmtId="10" fontId="35" fillId="0" borderId="6" xfId="0" applyNumberFormat="1" applyFont="1" applyBorder="1" applyAlignment="1">
      <alignment horizontal="center" vertical="center"/>
    </xf>
    <xf numFmtId="0" fontId="35" fillId="0" borderId="0" xfId="0" applyFont="1"/>
    <xf numFmtId="0" fontId="35" fillId="0" borderId="0" xfId="0" applyFont="1" applyAlignment="1">
      <alignment wrapText="1"/>
    </xf>
    <xf numFmtId="14" fontId="35" fillId="0" borderId="0" xfId="0" applyNumberFormat="1" applyFont="1" applyAlignment="1">
      <alignment horizontal="center" vertical="center"/>
    </xf>
    <xf numFmtId="10" fontId="35" fillId="0" borderId="0" xfId="0" applyNumberFormat="1" applyFont="1"/>
    <xf numFmtId="0" fontId="35" fillId="0" borderId="6" xfId="0" applyFont="1" applyBorder="1" applyAlignment="1">
      <alignment vertical="center"/>
    </xf>
    <xf numFmtId="0" fontId="35" fillId="0" borderId="13" xfId="0" applyFont="1" applyBorder="1"/>
    <xf numFmtId="10" fontId="35" fillId="0" borderId="14" xfId="0" applyNumberFormat="1" applyFont="1" applyBorder="1"/>
    <xf numFmtId="0" fontId="13" fillId="0" borderId="2" xfId="0" applyFont="1" applyBorder="1" applyAlignment="1">
      <alignment horizontal="left" vertical="center" wrapText="1" indent="1"/>
    </xf>
    <xf numFmtId="0" fontId="13" fillId="0" borderId="3" xfId="0" applyFont="1" applyBorder="1" applyAlignment="1">
      <alignment horizontal="left" vertical="center" wrapText="1" indent="1"/>
    </xf>
    <xf numFmtId="0" fontId="13" fillId="0" borderId="4" xfId="0" applyFont="1" applyBorder="1" applyAlignment="1">
      <alignment horizontal="left" vertical="center" wrapText="1" indent="1"/>
    </xf>
    <xf numFmtId="0" fontId="6" fillId="3" borderId="1" xfId="0" applyFont="1" applyFill="1" applyBorder="1" applyAlignment="1">
      <alignment horizontal="center" vertical="center"/>
    </xf>
    <xf numFmtId="0" fontId="23" fillId="21" borderId="0" xfId="2" applyFont="1" applyFill="1" applyAlignment="1" applyProtection="1">
      <alignment horizontal="center" vertical="center"/>
    </xf>
    <xf numFmtId="0" fontId="6" fillId="11"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9" borderId="1" xfId="0" applyFont="1" applyFill="1" applyBorder="1" applyAlignment="1">
      <alignment horizontal="left" vertical="center" wrapText="1" indent="1"/>
    </xf>
    <xf numFmtId="0" fontId="6" fillId="3"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0" fontId="28" fillId="22" borderId="1" xfId="0" applyFont="1" applyFill="1" applyBorder="1" applyAlignment="1">
      <alignment horizontal="center" vertical="center" wrapText="1"/>
    </xf>
    <xf numFmtId="10" fontId="35" fillId="0" borderId="12" xfId="0" applyNumberFormat="1" applyFont="1" applyBorder="1"/>
    <xf numFmtId="0" fontId="35" fillId="0" borderId="7" xfId="0" applyFont="1" applyBorder="1" applyAlignment="1">
      <alignment vertical="center"/>
    </xf>
    <xf numFmtId="0" fontId="35" fillId="0" borderId="10" xfId="0" applyFont="1" applyBorder="1" applyAlignment="1">
      <alignment vertical="center"/>
    </xf>
    <xf numFmtId="0" fontId="35" fillId="0" borderId="11" xfId="0" applyFont="1" applyBorder="1" applyAlignment="1">
      <alignment vertical="center"/>
    </xf>
    <xf numFmtId="10" fontId="35" fillId="0" borderId="7" xfId="0" applyNumberFormat="1" applyFont="1" applyBorder="1" applyAlignment="1">
      <alignment horizontal="center" vertical="center"/>
    </xf>
    <xf numFmtId="10" fontId="35" fillId="0" borderId="10" xfId="0" applyNumberFormat="1" applyFont="1" applyBorder="1" applyAlignment="1">
      <alignment horizontal="center" vertical="center"/>
    </xf>
    <xf numFmtId="10" fontId="35" fillId="0" borderId="11" xfId="0" applyNumberFormat="1" applyFont="1" applyBorder="1" applyAlignment="1">
      <alignment horizontal="center" vertical="center"/>
    </xf>
    <xf numFmtId="0" fontId="35" fillId="0" borderId="0" xfId="0" applyFont="1"/>
    <xf numFmtId="14" fontId="35" fillId="0" borderId="0" xfId="0" applyNumberFormat="1" applyFont="1" applyAlignment="1">
      <alignment horizontal="center" vertical="center"/>
    </xf>
    <xf numFmtId="0" fontId="35" fillId="0" borderId="0" xfId="0" applyFont="1" applyAlignment="1">
      <alignment wrapText="1"/>
    </xf>
    <xf numFmtId="0" fontId="35" fillId="46" borderId="6" xfId="0" applyFont="1" applyFill="1" applyBorder="1" applyAlignment="1">
      <alignment horizontal="center" vertical="center"/>
    </xf>
    <xf numFmtId="14" fontId="35" fillId="46" borderId="6" xfId="0" applyNumberFormat="1" applyFont="1" applyFill="1" applyBorder="1" applyAlignment="1">
      <alignment horizontal="center" vertical="center"/>
    </xf>
    <xf numFmtId="0" fontId="35" fillId="46" borderId="6" xfId="0" applyFont="1" applyFill="1" applyBorder="1" applyAlignment="1">
      <alignment vertical="center" wrapText="1"/>
    </xf>
    <xf numFmtId="10" fontId="35" fillId="46" borderId="6" xfId="0" applyNumberFormat="1" applyFont="1" applyFill="1" applyBorder="1" applyAlignment="1">
      <alignment vertical="center"/>
    </xf>
    <xf numFmtId="10" fontId="35" fillId="46" borderId="6" xfId="0" applyNumberFormat="1" applyFont="1" applyFill="1" applyBorder="1" applyAlignment="1">
      <alignment horizontal="center" vertical="center"/>
    </xf>
    <xf numFmtId="0" fontId="35" fillId="46" borderId="6" xfId="0" applyFont="1" applyFill="1" applyBorder="1" applyAlignment="1">
      <alignment vertical="center"/>
    </xf>
    <xf numFmtId="0" fontId="35" fillId="41" borderId="6" xfId="0" applyFont="1" applyFill="1" applyBorder="1" applyAlignment="1">
      <alignment vertical="center"/>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10" fontId="35" fillId="42" borderId="6" xfId="0" applyNumberFormat="1" applyFont="1" applyFill="1" applyBorder="1" applyAlignment="1">
      <alignment horizontal="center" vertical="center"/>
    </xf>
    <xf numFmtId="10" fontId="35" fillId="44" borderId="7" xfId="0" applyNumberFormat="1" applyFont="1" applyFill="1" applyBorder="1" applyAlignment="1">
      <alignment horizontal="center" vertical="center"/>
    </xf>
    <xf numFmtId="10" fontId="35" fillId="44" borderId="10" xfId="0" applyNumberFormat="1" applyFont="1" applyFill="1" applyBorder="1" applyAlignment="1">
      <alignment horizontal="center" vertical="center"/>
    </xf>
    <xf numFmtId="10" fontId="35" fillId="44" borderId="11" xfId="0" applyNumberFormat="1" applyFont="1" applyFill="1" applyBorder="1" applyAlignment="1">
      <alignment horizontal="center" vertical="center"/>
    </xf>
    <xf numFmtId="10" fontId="35" fillId="46" borderId="7" xfId="0" applyNumberFormat="1" applyFont="1" applyFill="1" applyBorder="1" applyAlignment="1">
      <alignment horizontal="center" vertical="center"/>
    </xf>
    <xf numFmtId="10" fontId="35" fillId="46" borderId="10" xfId="0" applyNumberFormat="1" applyFont="1" applyFill="1" applyBorder="1" applyAlignment="1">
      <alignment horizontal="center" vertical="center"/>
    </xf>
    <xf numFmtId="10" fontId="35" fillId="46" borderId="11" xfId="0" applyNumberFormat="1" applyFont="1" applyFill="1" applyBorder="1" applyAlignment="1">
      <alignment horizontal="center" vertical="center"/>
    </xf>
    <xf numFmtId="10" fontId="35" fillId="38" borderId="6" xfId="0" applyNumberFormat="1" applyFont="1" applyFill="1" applyBorder="1" applyAlignment="1">
      <alignment horizontal="center" vertical="center"/>
    </xf>
    <xf numFmtId="0" fontId="32" fillId="40"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0" fontId="35" fillId="38" borderId="6" xfId="0" applyFont="1" applyFill="1" applyBorder="1" applyAlignment="1">
      <alignment vertical="center" wrapText="1"/>
    </xf>
    <xf numFmtId="10" fontId="35" fillId="38" borderId="6" xfId="0" applyNumberFormat="1" applyFont="1" applyFill="1" applyBorder="1" applyAlignment="1">
      <alignment vertical="center"/>
    </xf>
    <xf numFmtId="0" fontId="35" fillId="35" borderId="6" xfId="0" applyFont="1" applyFill="1" applyBorder="1" applyAlignment="1">
      <alignment vertical="center"/>
    </xf>
    <xf numFmtId="0" fontId="35" fillId="35" borderId="6" xfId="0" applyFont="1" applyFill="1" applyBorder="1" applyAlignment="1">
      <alignment vertical="center" wrapText="1"/>
    </xf>
    <xf numFmtId="10" fontId="35" fillId="35" borderId="6" xfId="0" applyNumberFormat="1" applyFont="1" applyFill="1" applyBorder="1" applyAlignment="1">
      <alignment vertical="center"/>
    </xf>
    <xf numFmtId="10" fontId="35" fillId="35" borderId="6" xfId="0" applyNumberFormat="1" applyFont="1" applyFill="1" applyBorder="1" applyAlignment="1">
      <alignment horizontal="center" vertical="center"/>
    </xf>
    <xf numFmtId="0" fontId="33" fillId="39" borderId="6" xfId="0" applyFont="1" applyFill="1" applyBorder="1" applyAlignment="1">
      <alignment vertical="center"/>
    </xf>
    <xf numFmtId="0" fontId="35" fillId="38" borderId="6" xfId="0" applyFont="1" applyFill="1" applyBorder="1" applyAlignment="1">
      <alignment vertical="center"/>
    </xf>
    <xf numFmtId="10" fontId="36" fillId="35" borderId="6" xfId="0" applyNumberFormat="1" applyFont="1" applyFill="1" applyBorder="1" applyAlignment="1">
      <alignment horizontal="center" vertical="center"/>
    </xf>
    <xf numFmtId="0" fontId="31" fillId="34" borderId="6" xfId="0" applyFont="1" applyFill="1" applyBorder="1" applyAlignment="1">
      <alignment vertical="center"/>
    </xf>
    <xf numFmtId="0" fontId="35" fillId="35" borderId="7" xfId="0" applyFont="1" applyFill="1" applyBorder="1" applyAlignment="1">
      <alignment horizontal="left" vertical="center" wrapText="1"/>
    </xf>
    <xf numFmtId="0" fontId="35" fillId="35" borderId="10" xfId="0" applyFont="1" applyFill="1" applyBorder="1" applyAlignment="1">
      <alignment horizontal="left" vertical="center" wrapText="1"/>
    </xf>
    <xf numFmtId="0" fontId="35" fillId="35" borderId="11" xfId="0" applyFont="1" applyFill="1" applyBorder="1" applyAlignment="1">
      <alignment horizontal="left" vertical="center" wrapText="1"/>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0" fontId="27" fillId="7" borderId="6" xfId="0" applyFont="1" applyFill="1" applyBorder="1" applyAlignment="1">
      <alignment horizontal="center" vertical="center"/>
    </xf>
    <xf numFmtId="0" fontId="0" fillId="22" borderId="15" xfId="0" applyFill="1" applyBorder="1" applyAlignment="1">
      <alignment vertical="center"/>
    </xf>
    <xf numFmtId="0" fontId="0" fillId="48" borderId="7" xfId="0" applyFill="1" applyBorder="1" applyAlignment="1">
      <alignment vertical="center"/>
    </xf>
  </cellXfs>
  <cellStyles count="5">
    <cellStyle name="Currency" xfId="1" builtinId="4"/>
    <cellStyle name="Hyperlink" xfId="2" builtinId="8"/>
    <cellStyle name="Input" xfId="4" builtinId="20"/>
    <cellStyle name="Normal" xfId="0" builtinId="0"/>
    <cellStyle name="Normal 2" xfId="3" xr:uid="{EA5BEB12-5956-B347-A893-122D6A3BC7BA}"/>
  </cellStyles>
  <dxfs count="0"/>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104</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104</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7</c:v>
                </c:pt>
                <c:pt idx="1">
                  <c:v>2</c:v>
                </c:pt>
                <c:pt idx="2">
                  <c:v>0</c:v>
                </c:pt>
                <c:pt idx="3">
                  <c:v>2</c:v>
                </c:pt>
                <c:pt idx="4">
                  <c:v>1</c:v>
                </c:pt>
                <c:pt idx="5">
                  <c:v>5</c:v>
                </c:pt>
                <c:pt idx="6">
                  <c:v>0</c:v>
                </c:pt>
                <c:pt idx="7">
                  <c:v>0</c:v>
                </c:pt>
                <c:pt idx="8">
                  <c:v>23</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6</c:v>
                </c:pt>
                <c:pt idx="1">
                  <c:v>6</c:v>
                </c:pt>
                <c:pt idx="2">
                  <c:v>8</c:v>
                </c:pt>
                <c:pt idx="3">
                  <c:v>2</c:v>
                </c:pt>
                <c:pt idx="4">
                  <c:v>0</c:v>
                </c:pt>
                <c:pt idx="5">
                  <c:v>2</c:v>
                </c:pt>
                <c:pt idx="6">
                  <c:v>0</c:v>
                </c:pt>
                <c:pt idx="7">
                  <c:v>0</c:v>
                </c:pt>
                <c:pt idx="8">
                  <c:v>0</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17</c:v>
                </c:pt>
                <c:pt idx="1">
                  <c:v>7</c:v>
                </c:pt>
                <c:pt idx="2">
                  <c:v>29</c:v>
                </c:pt>
                <c:pt idx="3">
                  <c:v>0</c:v>
                </c:pt>
                <c:pt idx="4">
                  <c:v>3</c:v>
                </c:pt>
                <c:pt idx="5">
                  <c:v>2</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40</c:v>
                </c:pt>
                <c:pt idx="1">
                  <c:v>24</c:v>
                </c:pt>
                <c:pt idx="2">
                  <c:v>61</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40</c:v>
                </c:pt>
                <c:pt idx="1">
                  <c:v>24</c:v>
                </c:pt>
                <c:pt idx="2">
                  <c:v>61</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1</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30</c:v>
                </c:pt>
                <c:pt idx="1">
                  <c:v>15</c:v>
                </c:pt>
                <c:pt idx="2">
                  <c:v>29</c:v>
                </c:pt>
                <c:pt idx="3">
                  <c:v>4</c:v>
                </c:pt>
                <c:pt idx="4">
                  <c:v>4</c:v>
                </c:pt>
                <c:pt idx="5">
                  <c:v>7</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74</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74</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13</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114</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346</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13</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180" t="s">
        <v>40</v>
      </c>
      <c r="I22" s="180"/>
      <c r="J22" s="180"/>
      <c r="K22" s="180"/>
    </row>
    <row r="23" spans="2:11" ht="18" customHeight="1" x14ac:dyDescent="0.25">
      <c r="B23" s="29" t="s">
        <v>18</v>
      </c>
      <c r="C23" s="30"/>
      <c r="D23" s="30"/>
      <c r="E23" s="30"/>
      <c r="F23" s="30"/>
      <c r="G23" s="30"/>
      <c r="H23" s="177"/>
      <c r="I23" s="178"/>
      <c r="J23" s="178"/>
      <c r="K23" s="179"/>
    </row>
    <row r="24" spans="2:11" ht="18" customHeight="1" x14ac:dyDescent="0.25">
      <c r="B24" s="29" t="s">
        <v>19</v>
      </c>
      <c r="C24" s="30"/>
      <c r="D24" s="30"/>
      <c r="E24" s="30"/>
      <c r="F24" s="30"/>
      <c r="G24" s="30"/>
      <c r="H24" s="177"/>
      <c r="I24" s="178"/>
      <c r="J24" s="178"/>
      <c r="K24" s="179"/>
    </row>
    <row r="25" spans="2:11" ht="18" customHeight="1" x14ac:dyDescent="0.25">
      <c r="B25" s="29" t="s">
        <v>20</v>
      </c>
      <c r="C25" s="30"/>
      <c r="D25" s="30"/>
      <c r="E25" s="30"/>
      <c r="F25" s="30"/>
      <c r="G25" s="30"/>
      <c r="H25" s="177"/>
      <c r="I25" s="178"/>
      <c r="J25" s="178"/>
      <c r="K25" s="179"/>
    </row>
    <row r="26" spans="2:11" ht="18" customHeight="1" x14ac:dyDescent="0.25">
      <c r="B26" s="29" t="s">
        <v>21</v>
      </c>
      <c r="C26" s="30"/>
      <c r="D26" s="30"/>
      <c r="E26" s="30"/>
      <c r="F26" s="30"/>
      <c r="G26" s="30"/>
      <c r="H26" s="177"/>
      <c r="I26" s="178"/>
      <c r="J26" s="178"/>
      <c r="K26" s="179"/>
    </row>
    <row r="27" spans="2:11" ht="18" customHeight="1" x14ac:dyDescent="0.25">
      <c r="B27" s="29" t="s">
        <v>22</v>
      </c>
      <c r="C27" s="30"/>
      <c r="D27" s="30"/>
      <c r="E27" s="30"/>
      <c r="F27" s="30"/>
      <c r="G27" s="30"/>
      <c r="H27" s="177"/>
      <c r="I27" s="178"/>
      <c r="J27" s="178"/>
      <c r="K27" s="179"/>
    </row>
    <row r="28" spans="2:11" ht="18" customHeight="1" x14ac:dyDescent="0.25">
      <c r="B28" s="29" t="s">
        <v>23</v>
      </c>
      <c r="C28" s="30"/>
      <c r="D28" s="30"/>
      <c r="E28" s="30"/>
      <c r="F28" s="30"/>
      <c r="G28" s="30"/>
      <c r="H28" s="177"/>
      <c r="I28" s="178"/>
      <c r="J28" s="178"/>
      <c r="K28" s="179"/>
    </row>
    <row r="29" spans="2:11" ht="18" customHeight="1" x14ac:dyDescent="0.25">
      <c r="B29" s="29" t="s">
        <v>24</v>
      </c>
      <c r="C29" s="30"/>
      <c r="D29" s="30"/>
      <c r="E29" s="30"/>
      <c r="F29" s="30"/>
      <c r="G29" s="30"/>
      <c r="H29" s="177"/>
      <c r="I29" s="178"/>
      <c r="J29" s="178"/>
      <c r="K29" s="179"/>
    </row>
    <row r="30" spans="2:11" ht="18" customHeight="1" x14ac:dyDescent="0.25">
      <c r="B30" s="29" t="s">
        <v>25</v>
      </c>
      <c r="C30" s="30"/>
      <c r="D30" s="30"/>
      <c r="E30" s="30"/>
      <c r="F30" s="30"/>
      <c r="G30" s="30"/>
      <c r="H30" s="177"/>
      <c r="I30" s="178"/>
      <c r="J30" s="178"/>
      <c r="K30" s="179"/>
    </row>
    <row r="31" spans="2:11" ht="18" customHeight="1" x14ac:dyDescent="0.25">
      <c r="B31" s="29" t="s">
        <v>26</v>
      </c>
      <c r="C31" s="30"/>
      <c r="D31" s="30"/>
      <c r="E31" s="30"/>
      <c r="F31" s="30"/>
      <c r="G31" s="30"/>
      <c r="H31" s="177"/>
      <c r="I31" s="178"/>
      <c r="J31" s="178"/>
      <c r="K31" s="179"/>
    </row>
    <row r="32" spans="2:11" ht="18" customHeight="1" x14ac:dyDescent="0.25">
      <c r="B32" s="29" t="s">
        <v>27</v>
      </c>
      <c r="C32" s="30"/>
      <c r="D32" s="30"/>
      <c r="E32" s="30"/>
      <c r="F32" s="30"/>
      <c r="G32" s="30"/>
      <c r="H32" s="177"/>
      <c r="I32" s="178"/>
      <c r="J32" s="178"/>
      <c r="K32" s="179"/>
    </row>
    <row r="33" spans="1:20" ht="18" customHeight="1" x14ac:dyDescent="0.25">
      <c r="B33" s="29" t="s">
        <v>28</v>
      </c>
      <c r="C33" s="30"/>
      <c r="D33" s="30"/>
      <c r="E33" s="30"/>
      <c r="F33" s="30"/>
      <c r="G33" s="30"/>
      <c r="H33" s="177"/>
      <c r="I33" s="178"/>
      <c r="J33" s="178"/>
      <c r="K33" s="179"/>
    </row>
    <row r="34" spans="1:20" ht="18" customHeight="1" x14ac:dyDescent="0.25">
      <c r="B34" s="29" t="s">
        <v>29</v>
      </c>
      <c r="C34" s="30"/>
      <c r="D34" s="30"/>
      <c r="E34" s="30"/>
      <c r="F34" s="30"/>
      <c r="G34" s="30"/>
      <c r="H34" s="177"/>
      <c r="I34" s="178"/>
      <c r="J34" s="178"/>
      <c r="K34" s="179"/>
    </row>
    <row r="35" spans="1:20" ht="18" customHeight="1" x14ac:dyDescent="0.25">
      <c r="B35" s="29" t="s">
        <v>30</v>
      </c>
      <c r="C35" s="30"/>
      <c r="D35" s="30"/>
      <c r="E35" s="30"/>
      <c r="F35" s="30"/>
      <c r="G35" s="30"/>
      <c r="H35" s="177"/>
      <c r="I35" s="178"/>
      <c r="J35" s="178"/>
      <c r="K35" s="179"/>
    </row>
    <row r="36" spans="1:20" ht="18" customHeight="1" x14ac:dyDescent="0.25">
      <c r="B36" s="29" t="s">
        <v>31</v>
      </c>
      <c r="C36" s="30"/>
      <c r="D36" s="30"/>
      <c r="E36" s="30"/>
      <c r="F36" s="30"/>
      <c r="G36" s="30"/>
      <c r="H36" s="177"/>
      <c r="I36" s="178"/>
      <c r="J36" s="178"/>
      <c r="K36" s="179"/>
    </row>
    <row r="38" spans="1:20" ht="39.9" customHeight="1" x14ac:dyDescent="0.25">
      <c r="B38" s="39" t="s">
        <v>43</v>
      </c>
      <c r="G38" s="38"/>
    </row>
    <row r="39" spans="1:20" ht="57" customHeight="1" x14ac:dyDescent="0.25">
      <c r="A39" s="2"/>
      <c r="B39" s="185" t="s">
        <v>0</v>
      </c>
      <c r="C39" s="186" t="s">
        <v>10</v>
      </c>
      <c r="D39" s="186"/>
      <c r="E39" s="186"/>
      <c r="F39" s="186"/>
      <c r="G39" s="187" t="s">
        <v>1</v>
      </c>
      <c r="H39" s="184" t="s">
        <v>14</v>
      </c>
      <c r="I39" s="184"/>
      <c r="J39" s="184"/>
      <c r="K39" s="188" t="s">
        <v>2</v>
      </c>
      <c r="L39" s="188"/>
      <c r="M39" s="188"/>
      <c r="N39" s="182" t="s">
        <v>6</v>
      </c>
      <c r="O39" s="182"/>
      <c r="P39" s="183" t="s">
        <v>9</v>
      </c>
      <c r="Q39" s="2"/>
      <c r="R39" s="2"/>
      <c r="S39" s="2"/>
      <c r="T39" s="2"/>
    </row>
    <row r="40" spans="1:20" ht="15.9" customHeight="1" x14ac:dyDescent="0.25">
      <c r="A40" s="2"/>
      <c r="B40" s="185"/>
      <c r="C40" s="12" t="s">
        <v>32</v>
      </c>
      <c r="D40" s="12" t="s">
        <v>11</v>
      </c>
      <c r="E40" s="12" t="s">
        <v>12</v>
      </c>
      <c r="F40" s="12" t="s">
        <v>13</v>
      </c>
      <c r="G40" s="187"/>
      <c r="H40" s="13" t="s">
        <v>15</v>
      </c>
      <c r="I40" s="13" t="s">
        <v>16</v>
      </c>
      <c r="J40" s="13" t="s">
        <v>17</v>
      </c>
      <c r="K40" s="14" t="s">
        <v>3</v>
      </c>
      <c r="L40" s="14" t="s">
        <v>4</v>
      </c>
      <c r="M40" s="14" t="s">
        <v>5</v>
      </c>
      <c r="N40" s="15" t="s">
        <v>7</v>
      </c>
      <c r="O40" s="15" t="s">
        <v>8</v>
      </c>
      <c r="P40" s="183"/>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181" t="s">
        <v>41</v>
      </c>
      <c r="C57" s="181"/>
      <c r="D57" s="181"/>
      <c r="E57" s="181"/>
      <c r="F57" s="181"/>
      <c r="G57" s="181"/>
      <c r="H57" s="181"/>
      <c r="I57" s="181"/>
      <c r="J57" s="181"/>
      <c r="K57" s="181"/>
      <c r="L57" s="181"/>
      <c r="M57" s="181"/>
      <c r="N57" s="181"/>
      <c r="O57" s="181"/>
      <c r="P57" s="181"/>
    </row>
  </sheetData>
  <mergeCells count="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 ref="H33:K33"/>
    <mergeCell ref="H34:K34"/>
    <mergeCell ref="H35:K35"/>
    <mergeCell ref="H30:K30"/>
    <mergeCell ref="H22:K22"/>
    <mergeCell ref="H24:K24"/>
    <mergeCell ref="H23:K23"/>
  </mergeCells>
  <phoneticPr fontId="2"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M14" sqref="M14"/>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185" t="s">
        <v>0</v>
      </c>
      <c r="C18" s="186" t="s">
        <v>363</v>
      </c>
      <c r="D18" s="186"/>
      <c r="E18" s="186"/>
      <c r="F18" s="186"/>
      <c r="G18" s="187" t="s">
        <v>352</v>
      </c>
      <c r="H18" s="188" t="s">
        <v>1335</v>
      </c>
      <c r="I18" s="188"/>
      <c r="J18" s="188"/>
      <c r="K18" s="190" t="s">
        <v>6</v>
      </c>
      <c r="L18" s="190"/>
      <c r="M18" s="189" t="s">
        <v>355</v>
      </c>
      <c r="N18" s="2"/>
      <c r="O18" s="2"/>
      <c r="P18" s="2"/>
      <c r="Q18" s="2"/>
    </row>
    <row r="19" spans="1:17" ht="15.9" customHeight="1" x14ac:dyDescent="0.25">
      <c r="A19" s="2"/>
      <c r="B19" s="185"/>
      <c r="C19" s="12" t="s">
        <v>32</v>
      </c>
      <c r="D19" s="12" t="s">
        <v>11</v>
      </c>
      <c r="E19" s="12" t="s">
        <v>12</v>
      </c>
      <c r="F19" s="12" t="s">
        <v>13</v>
      </c>
      <c r="G19" s="187"/>
      <c r="H19" s="73" t="s">
        <v>349</v>
      </c>
      <c r="I19" s="72" t="s">
        <v>350</v>
      </c>
      <c r="J19" s="14" t="s">
        <v>351</v>
      </c>
      <c r="K19" s="71" t="s">
        <v>354</v>
      </c>
      <c r="L19" s="71" t="s">
        <v>353</v>
      </c>
      <c r="M19" s="189"/>
      <c r="N19" s="2"/>
      <c r="O19" s="2"/>
      <c r="P19" s="2"/>
      <c r="Q19" s="2"/>
    </row>
    <row r="20" spans="1:17" x14ac:dyDescent="0.25">
      <c r="A20" s="2"/>
      <c r="B20" s="11" t="s">
        <v>47</v>
      </c>
      <c r="C20" s="74">
        <v>46023</v>
      </c>
      <c r="D20" s="75">
        <v>46023</v>
      </c>
      <c r="E20" s="74">
        <v>46387</v>
      </c>
      <c r="F20" s="17">
        <f>E20-D20+1</f>
        <v>365</v>
      </c>
      <c r="G20" s="17">
        <f>FRIM!C1</f>
        <v>104</v>
      </c>
      <c r="H20" s="19">
        <f ca="1">FRIM!T9</f>
        <v>7</v>
      </c>
      <c r="I20" s="19">
        <f ca="1">FRIM!U9</f>
        <v>6</v>
      </c>
      <c r="J20" s="19">
        <f ca="1">FRIM!V9</f>
        <v>17</v>
      </c>
      <c r="K20" s="19">
        <f>FRIM!T4</f>
        <v>0</v>
      </c>
      <c r="L20" s="19">
        <f>FRIM!T3</f>
        <v>30</v>
      </c>
      <c r="M20" s="19">
        <f>FRIM!G1</f>
        <v>74</v>
      </c>
      <c r="N20" s="2"/>
      <c r="O20" s="2"/>
      <c r="P20" s="2"/>
      <c r="Q20" s="2"/>
    </row>
    <row r="21" spans="1:17" x14ac:dyDescent="0.25">
      <c r="A21" s="2"/>
      <c r="B21" s="20" t="s">
        <v>357</v>
      </c>
      <c r="C21" s="74">
        <v>46023</v>
      </c>
      <c r="D21" s="75">
        <v>45962</v>
      </c>
      <c r="E21" s="74">
        <v>46326</v>
      </c>
      <c r="F21" s="22">
        <f t="shared" ref="F21:F33" si="0">E21-D21+1</f>
        <v>365</v>
      </c>
      <c r="G21" s="23">
        <f>MTIB!C1</f>
        <v>52</v>
      </c>
      <c r="H21" s="25">
        <f ca="1">MTIB!T9</f>
        <v>2</v>
      </c>
      <c r="I21" s="25">
        <f ca="1">MTIB!U9</f>
        <v>6</v>
      </c>
      <c r="J21" s="25">
        <f ca="1">MTIB!V9</f>
        <v>7</v>
      </c>
      <c r="K21" s="26">
        <f>MTIB!T4</f>
        <v>1</v>
      </c>
      <c r="L21" s="26">
        <f>MTIB!T3</f>
        <v>15</v>
      </c>
      <c r="M21" s="27">
        <f>MTIB!G1</f>
        <v>36</v>
      </c>
      <c r="N21" s="2"/>
      <c r="O21" s="2"/>
      <c r="P21" s="2"/>
      <c r="Q21" s="2"/>
    </row>
    <row r="22" spans="1:17" x14ac:dyDescent="0.25">
      <c r="A22" s="2"/>
      <c r="B22" s="11" t="s">
        <v>356</v>
      </c>
      <c r="C22" s="74">
        <v>46023</v>
      </c>
      <c r="D22" s="75">
        <v>46023</v>
      </c>
      <c r="E22" s="74">
        <v>46387</v>
      </c>
      <c r="F22" s="17">
        <f t="shared" si="0"/>
        <v>365</v>
      </c>
      <c r="G22" s="17">
        <f>MPOB!C1</f>
        <v>206</v>
      </c>
      <c r="H22" s="19">
        <f ca="1">MPOB!T9</f>
        <v>0</v>
      </c>
      <c r="I22" s="19">
        <f ca="1">MPOB!U9</f>
        <v>8</v>
      </c>
      <c r="J22" s="19">
        <f ca="1">MPOB!V9</f>
        <v>29</v>
      </c>
      <c r="K22" s="19">
        <f>MPOB!T4</f>
        <v>9</v>
      </c>
      <c r="L22" s="19">
        <f>MPOB!T3</f>
        <v>29</v>
      </c>
      <c r="M22" s="19">
        <f>MPOB!G1</f>
        <v>168</v>
      </c>
      <c r="N22" s="2"/>
      <c r="O22" s="2"/>
      <c r="P22" s="2"/>
      <c r="Q22" s="2"/>
    </row>
    <row r="23" spans="1:17" x14ac:dyDescent="0.25">
      <c r="A23" s="2"/>
      <c r="B23" s="20" t="s">
        <v>358</v>
      </c>
      <c r="C23" s="74">
        <v>46023</v>
      </c>
      <c r="D23" s="75">
        <v>46023</v>
      </c>
      <c r="E23" s="74">
        <v>46387</v>
      </c>
      <c r="F23" s="22">
        <f t="shared" si="0"/>
        <v>365</v>
      </c>
      <c r="G23" s="23">
        <f>LKTN!C1</f>
        <v>15</v>
      </c>
      <c r="H23" s="25">
        <f ca="1">LKTN!T9</f>
        <v>2</v>
      </c>
      <c r="I23" s="25">
        <f ca="1">LKTN!U9</f>
        <v>2</v>
      </c>
      <c r="J23" s="25">
        <f ca="1">LKTN!V9</f>
        <v>0</v>
      </c>
      <c r="K23" s="26">
        <f>LKTN!T4</f>
        <v>0</v>
      </c>
      <c r="L23" s="26">
        <f>LKTN!T3</f>
        <v>4</v>
      </c>
      <c r="M23" s="27">
        <f>LKTN!G1</f>
        <v>11</v>
      </c>
      <c r="N23" s="2"/>
      <c r="O23" s="2"/>
      <c r="P23" s="2"/>
      <c r="Q23" s="2"/>
    </row>
    <row r="24" spans="1:17" x14ac:dyDescent="0.25">
      <c r="A24" s="2"/>
      <c r="B24" s="11" t="s">
        <v>359</v>
      </c>
      <c r="C24" s="74">
        <v>45931</v>
      </c>
      <c r="D24" s="75">
        <v>45931</v>
      </c>
      <c r="E24" s="74">
        <v>46295</v>
      </c>
      <c r="F24" s="17">
        <f t="shared" si="0"/>
        <v>365</v>
      </c>
      <c r="G24" s="17">
        <f>LAM!C1</f>
        <v>21</v>
      </c>
      <c r="H24" s="19">
        <f ca="1">LAM!T9</f>
        <v>1</v>
      </c>
      <c r="I24" s="19">
        <f ca="1">LAM!U9</f>
        <v>0</v>
      </c>
      <c r="J24" s="19">
        <f ca="1">LAM!V9</f>
        <v>3</v>
      </c>
      <c r="K24" s="19">
        <f>LAM!T4</f>
        <v>0</v>
      </c>
      <c r="L24" s="19">
        <f>LAM!T3</f>
        <v>4</v>
      </c>
      <c r="M24" s="19">
        <f>LAM!G1</f>
        <v>17</v>
      </c>
      <c r="N24" s="2"/>
      <c r="O24" s="2"/>
      <c r="P24" s="2"/>
      <c r="Q24" s="2"/>
    </row>
    <row r="25" spans="1:17" x14ac:dyDescent="0.25">
      <c r="A25" s="2"/>
      <c r="B25" s="20" t="s">
        <v>360</v>
      </c>
      <c r="C25" s="74">
        <v>46023</v>
      </c>
      <c r="D25" s="75">
        <v>46023</v>
      </c>
      <c r="E25" s="74">
        <v>46387</v>
      </c>
      <c r="F25" s="22">
        <f t="shared" si="0"/>
        <v>365</v>
      </c>
      <c r="G25" s="23">
        <f>ISN!C1</f>
        <v>25</v>
      </c>
      <c r="H25" s="25">
        <f ca="1">ISN!T9</f>
        <v>5</v>
      </c>
      <c r="I25" s="25">
        <f ca="1">ISN!U9</f>
        <v>2</v>
      </c>
      <c r="J25" s="25">
        <f ca="1">ISN!V9</f>
        <v>2</v>
      </c>
      <c r="K25" s="26">
        <f>ISN!T4</f>
        <v>2</v>
      </c>
      <c r="L25" s="26">
        <f>ISN!T3</f>
        <v>7</v>
      </c>
      <c r="M25" s="27">
        <f>ISN!G1</f>
        <v>16</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23</v>
      </c>
      <c r="I29" s="25">
        <f ca="1">KUIPS!U9</f>
        <v>0</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40</v>
      </c>
      <c r="I34" s="7">
        <f t="shared" ca="1" si="1"/>
        <v>24</v>
      </c>
      <c r="J34" s="7">
        <f t="shared" ca="1" si="1"/>
        <v>61</v>
      </c>
      <c r="K34" s="8">
        <f t="shared" si="1"/>
        <v>13</v>
      </c>
      <c r="L34" s="8">
        <f t="shared" si="1"/>
        <v>114</v>
      </c>
      <c r="M34" s="9">
        <f t="shared" si="1"/>
        <v>346</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2" zoomScale="70" zoomScaleNormal="70" workbookViewId="0">
      <selection activeCell="J3" sqref="J3"/>
    </sheetView>
  </sheetViews>
  <sheetFormatPr defaultRowHeight="15.6" x14ac:dyDescent="0.3"/>
  <cols>
    <col min="1" max="1" width="3.5" style="115" customWidth="1"/>
    <col min="2" max="2" width="10.3984375" style="118" customWidth="1"/>
    <col min="3" max="3" width="15" style="115" customWidth="1"/>
    <col min="4" max="4" width="19.5" style="115" customWidth="1"/>
    <col min="5" max="5" width="46.3984375" style="115" customWidth="1"/>
    <col min="6" max="6" width="11.8984375" style="88" customWidth="1"/>
    <col min="7" max="7" width="3.796875" customWidth="1"/>
    <col min="8" max="8" width="5.19921875" style="115" customWidth="1"/>
    <col min="9" max="9" width="10.19921875" style="119" customWidth="1"/>
    <col min="10" max="11" width="15.796875" style="115" customWidth="1"/>
    <col min="12" max="12" width="44.5" style="115" customWidth="1"/>
    <col min="13" max="13" width="12.19921875" style="88" customWidth="1"/>
    <col min="14" max="14" width="3.5" customWidth="1"/>
    <col min="15" max="15" width="5.09765625" style="115" customWidth="1"/>
    <col min="16" max="16" width="10.59765625" style="120" customWidth="1"/>
    <col min="17" max="17" width="14.296875" style="115" customWidth="1"/>
    <col min="18" max="18" width="15.19921875" style="115" customWidth="1"/>
    <col min="19" max="19" width="45.09765625" style="115" customWidth="1"/>
    <col min="20" max="20" width="12.59765625" style="88" customWidth="1"/>
    <col min="21" max="21" width="4.19921875" customWidth="1"/>
    <col min="22" max="22" width="5.19921875" style="115" customWidth="1"/>
    <col min="23" max="23" width="10.796875" style="121" customWidth="1"/>
    <col min="24" max="24" width="13.59765625" style="115" customWidth="1"/>
    <col min="25" max="25" width="17.19921875" style="115" customWidth="1"/>
    <col min="26" max="26" width="36.296875" style="115" customWidth="1"/>
    <col min="27" max="27" width="10.296875" style="64" customWidth="1"/>
    <col min="28" max="28" width="4.19921875" customWidth="1"/>
    <col min="29" max="29" width="5.3984375" style="115" customWidth="1"/>
    <col min="30" max="30" width="9.5" style="122" customWidth="1"/>
    <col min="31" max="31" width="13.796875" style="115" customWidth="1"/>
    <col min="32" max="32" width="14.19921875" style="115" customWidth="1"/>
    <col min="33" max="33" width="31.3984375" style="115" customWidth="1"/>
    <col min="34" max="34" width="12.296875" style="64" customWidth="1"/>
    <col min="35" max="35" width="3.5" customWidth="1"/>
    <col min="36" max="36" width="4.796875" style="115" customWidth="1"/>
    <col min="37" max="37" width="10.09765625" style="123" customWidth="1"/>
    <col min="38" max="38" width="13.59765625" style="115" customWidth="1"/>
    <col min="39" max="39" width="14.296875" style="115" customWidth="1"/>
    <col min="40" max="40" width="29.69921875" style="115" customWidth="1"/>
    <col min="41" max="41" width="10.3984375" style="64" customWidth="1"/>
    <col min="42" max="42" width="3.796875" customWidth="1"/>
    <col min="43" max="43" width="5.5" style="115" customWidth="1"/>
    <col min="44" max="44" width="8.796875" style="124"/>
    <col min="45" max="45" width="13.8984375" style="115" customWidth="1"/>
    <col min="46" max="46" width="17.69921875" style="115" customWidth="1"/>
    <col min="47" max="47" width="33.8984375" style="115" customWidth="1"/>
    <col min="48" max="48" width="10.19921875" style="64" customWidth="1"/>
  </cols>
  <sheetData>
    <row r="1" spans="1:48" ht="24.6" customHeight="1" x14ac:dyDescent="0.3">
      <c r="A1" s="106" t="s">
        <v>52</v>
      </c>
      <c r="B1" s="106" t="s">
        <v>56</v>
      </c>
      <c r="C1" s="106" t="s">
        <v>53</v>
      </c>
      <c r="D1" s="106" t="s">
        <v>55</v>
      </c>
      <c r="E1" s="106" t="s">
        <v>58</v>
      </c>
      <c r="F1" s="117" t="s">
        <v>68</v>
      </c>
      <c r="H1" s="106" t="s">
        <v>52</v>
      </c>
      <c r="I1" s="106" t="s">
        <v>56</v>
      </c>
      <c r="J1" s="106" t="s">
        <v>53</v>
      </c>
      <c r="K1" s="106" t="s">
        <v>55</v>
      </c>
      <c r="L1" s="106" t="s">
        <v>58</v>
      </c>
      <c r="M1" s="117" t="s">
        <v>68</v>
      </c>
      <c r="O1" s="106" t="s">
        <v>52</v>
      </c>
      <c r="P1" s="106" t="s">
        <v>56</v>
      </c>
      <c r="Q1" s="106" t="s">
        <v>53</v>
      </c>
      <c r="R1" s="106" t="s">
        <v>55</v>
      </c>
      <c r="S1" s="106" t="s">
        <v>58</v>
      </c>
      <c r="T1" s="117" t="s">
        <v>68</v>
      </c>
      <c r="V1" s="106" t="s">
        <v>52</v>
      </c>
      <c r="W1" s="106" t="s">
        <v>56</v>
      </c>
      <c r="X1" s="106" t="s">
        <v>53</v>
      </c>
      <c r="Y1" s="106" t="s">
        <v>55</v>
      </c>
      <c r="Z1" s="106" t="s">
        <v>58</v>
      </c>
      <c r="AA1" s="117" t="s">
        <v>68</v>
      </c>
      <c r="AC1" s="106" t="s">
        <v>52</v>
      </c>
      <c r="AD1" s="106" t="s">
        <v>56</v>
      </c>
      <c r="AE1" s="106" t="s">
        <v>53</v>
      </c>
      <c r="AF1" s="106" t="s">
        <v>55</v>
      </c>
      <c r="AG1" s="106" t="s">
        <v>58</v>
      </c>
      <c r="AH1" s="117" t="s">
        <v>68</v>
      </c>
      <c r="AJ1" s="106" t="s">
        <v>52</v>
      </c>
      <c r="AK1" s="106" t="s">
        <v>56</v>
      </c>
      <c r="AL1" s="106" t="s">
        <v>53</v>
      </c>
      <c r="AM1" s="106" t="s">
        <v>55</v>
      </c>
      <c r="AN1" s="106" t="s">
        <v>58</v>
      </c>
      <c r="AO1" s="117" t="s">
        <v>68</v>
      </c>
      <c r="AQ1" s="106" t="s">
        <v>52</v>
      </c>
      <c r="AR1" s="106" t="s">
        <v>56</v>
      </c>
      <c r="AS1" s="106" t="s">
        <v>53</v>
      </c>
      <c r="AT1" s="106" t="s">
        <v>55</v>
      </c>
      <c r="AU1" s="106" t="s">
        <v>58</v>
      </c>
      <c r="AV1" s="117" t="s">
        <v>68</v>
      </c>
    </row>
    <row r="2" spans="1:48" ht="280.8" x14ac:dyDescent="0.3">
      <c r="A2" s="115">
        <v>1</v>
      </c>
      <c r="B2" s="118" t="str" cm="1">
        <f t="array" aca="1" ref="B2" ca="1">IFERROR(INDEX(FRIM!$E$3:$E$1000,
SMALL(IF(FRIM!$Q$3:$Q$1000&lt;&gt;"",
ROW(FRIM!$Q$3:$Q$1000)-ROW(FRIM!$Q$3)+1),
ROWS(A$2:A2))),"")</f>
        <v>FRIM</v>
      </c>
      <c r="C2" s="116" t="str" cm="1">
        <f t="array" aca="1" ref="C2" ca="1">IFERROR(INDEX(FRIM!$B$3:$B$1000,
SMALL(IF(FRIM!$Q$3:$Q$1000&lt;&gt;"",
ROW(FRIM!$Q$3:$Q$1000)-ROW(FRIM!$Q$3)+1),
ROWS(A$2:A2))),"")</f>
        <v>T/2026/00060</v>
      </c>
      <c r="D2" s="116" t="str" cm="1">
        <f t="array" aca="1" ref="D2" ca="1">IFERROR(INDEX(FRIM!$D$3:$D$1000,
SMALL(IF(FRIM!$Q$3:$Q$1000&lt;&gt;"",
ROW(FRIM!$Q$3:$Q$1000)-ROW(FRIM!$Q$3)+1),
ROWS(A$2:A2))),"")</f>
        <v>MYPROCUREMENT</v>
      </c>
      <c r="E2" s="116"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8" t="str" cm="1">
        <f t="array" aca="1" ref="F2" ca="1">IFERROR(INDEX(FRIM!$Q$3:$Q$1000,
SMALL(IF(FRIM!$Q$3:$Q$1000&lt;&gt;"",
ROW(FRIM!$Q$3:$Q$1000)-ROW(FRIM!$Q$3)+1),
ROWS(A$2:A2))),"")</f>
        <v>&gt;60 Days</v>
      </c>
      <c r="H2" s="115">
        <v>1</v>
      </c>
      <c r="I2" s="119" t="str" cm="1">
        <f t="array" aca="1" ref="I2" ca="1">IFERROR(INDEX(MTIB!$E$3:$E$1000,
SMALL(
IF((MTIB!$Q$3:$Q$1000&lt;&gt;"")*(MTIB!$Q$3:$Q$1000&lt;&gt;"Not Due"),
ROW(MTIB!$Q$3:$Q$1000)-ROW(MTIB!$Q$3)+1),
ROWS(A$2:A2))),"")</f>
        <v>MTIB</v>
      </c>
      <c r="J2" s="115" t="str" cm="1">
        <f t="array" aca="1" ref="J2" ca="1">IFERROR(INDEX(MTIB!$B$3:$B$1000,
SMALL(
IF((MTIB!$Q$3:$Q$1000&lt;&gt;"")*(MTIB!$Q$3:$Q$1000&lt;&gt;"Not Due"),
ROW(MTIB!$Q$3:$Q$1000)-ROW(MTIB!$Q$3)+1),
ROWS(A$2:A2))),"")</f>
        <v>T/2025/00182</v>
      </c>
      <c r="K2" s="115" t="str" cm="1">
        <f t="array" aca="1" ref="K2" ca="1">IFERROR(INDEX(MTIB!$D$3:$D$1000,
SMALL(
IF((MTIB!$Q$3:$Q$1000&lt;&gt;"")*(MTIB!$Q$3:$Q$1000&lt;&gt;"Not Due"),
ROW(MTIB!$Q$3:$Q$1000)-ROW(MTIB!$Q$3)+1),
ROWS(A$2:A2))),"")</f>
        <v>EFT</v>
      </c>
      <c r="L2" s="116"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8" t="str" cm="1">
        <f t="array" aca="1" ref="M2" ca="1">IFERROR(INDEX(MTIB!$Q$3:$Q$1000,
SMALL(
IF((MTIB!$Q$3:$Q$1000&lt;&gt;"")*(MTIB!$Q$3:$Q$1000&lt;&gt;"Not Due"),
ROW(MTIB!$Q$3:$Q$1000)-ROW(MTIB!$Q$3)+1),
ROWS(A$2:A2))
),"")</f>
        <v>&gt;60 Days</v>
      </c>
      <c r="O2" s="115">
        <v>1</v>
      </c>
      <c r="P2" s="120" t="str" cm="1">
        <f t="array" aca="1" ref="P2" ca="1">IFERROR(INDEX(MPOB!$E$3:$E$1000,
SMALL(
IF((MPOB!$Q$3:$Q$1000&lt;&gt;"")*(MPOB!$Q$3:$Q$1000&lt;&gt;"Not Due"),
ROW(MPOB!$Q$3:$Q$1000)-ROW(MPOB!$Q$3)+1),
ROWS(A$2:A2))),"")</f>
        <v>MPOB</v>
      </c>
      <c r="Q2" s="115" t="str" cm="1">
        <f t="array" aca="1" ref="Q2" ca="1">IFERROR(INDEX(MPOB!$B$3:$B$1000,
SMALL(
IF((MPOB!$Q$3:$Q$1000&lt;&gt;"")*(MPOB!$Q$3:$Q$1000&lt;&gt;"Not Due"),
ROW(MPOB!$Q$3:$Q$1000)-ROW(MPOB!$Q$3)+1),
ROWS(A$2:A2))),"")</f>
        <v>T/2026/00142</v>
      </c>
      <c r="R2" s="115" t="str" cm="1">
        <f t="array" aca="1" ref="R2" ca="1">IFERROR(INDEX(MPOB!$D$3:$D$1000,
SMALL(
IF((MPOB!$Q$3:$Q$1000&lt;&gt;"")*(MPOB!$Q$3:$Q$1000&lt;&gt;"Not Due"),
ROW(MPOB!$Q$3:$Q$1000)-ROW(MPOB!$Q$3)+1),
ROWS(A$2:A2))),"")</f>
        <v>MyAsset</v>
      </c>
      <c r="S2" s="116"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8" t="str" cm="1">
        <f t="array" aca="1" ref="T2" ca="1">IFERROR(INDEX(MPOB!$Q$3:$Q$1000,
SMALL(
IF((MPOB!$Q$3:$Q$1000&lt;&gt;"")*(MPOB!$Q$3:$Q$1000&lt;&gt;"Not Due"),
ROW(MPOB!$Q$3:$Q$1000)-ROW(MPOB!$Q$3)+1),
ROWS(A$2:A2))
),"")</f>
        <v>&gt;60 Days</v>
      </c>
      <c r="V2" s="115">
        <v>1</v>
      </c>
      <c r="W2" s="121" t="str" cm="1">
        <f t="array" aca="1" ref="W2" ca="1">IFERROR(INDEX(LKTN!$E$3:$E$1000,
SMALL(
IF((LKTN!$Q$3:$Q$1000&lt;&gt;"")*(LKTN!$Q$3:$Q$1000&lt;&gt;"Not Due"),
ROW(LKTN!$Q$3:$Q$1000)-ROW(LKTN!$Q$3)+1),
ROWS(A$2:A2))),"")</f>
        <v>LKTN</v>
      </c>
      <c r="X2" s="115" t="str" cm="1">
        <f t="array" aca="1" ref="X2" ca="1">IFERROR(INDEX(LKTN!$B$3:$B$1000,
SMALL(
IF((LKTN!$Q$3:$Q$1000&lt;&gt;"")*(LKTN!$Q$3:$Q$1000&lt;&gt;"Not Due"),
ROW(LKTN!$Q$3:$Q$1000)-ROW(LKTN!$Q$3)+1),
ROWS(A$2:A2))),"")</f>
        <v>T/2026/00293</v>
      </c>
      <c r="Y2" s="115" t="str" cm="1">
        <f t="array" aca="1" ref="Y2" ca="1">IFERROR(INDEX(LKTN!$D$3:$D$1000,
SMALL(
IF((LKTN!$Q$3:$Q$1000&lt;&gt;"")*(LKTN!$Q$3:$Q$1000&lt;&gt;"Not Due"),
ROW(LKTN!$Q$3:$Q$1000)-ROW(LKTN!$Q$3)+1),
ROWS(A$2:A2))),"")</f>
        <v>MYPROCUREMENT</v>
      </c>
      <c r="Z2" s="116"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31-60 Days</v>
      </c>
      <c r="AC2" s="115">
        <v>1</v>
      </c>
      <c r="AD2" s="122" t="str" cm="1">
        <f t="array" aca="1" ref="AD2" ca="1">IFERROR(INDEX(LAM!$E$3:$E$1000,
SMALL(
IF((LAM!$Q$3:$Q$1000&lt;&gt;"")*(LAM!$Q$3:$Q$1000&lt;&gt;"Not Due"),
ROW(LAM!$Q$3:$Q$1000)-ROW(LAM!$Q$3)+1),
ROWS(A$2:A2))),"")</f>
        <v>LAM</v>
      </c>
      <c r="AE2" s="115" t="str" cm="1">
        <f t="array" aca="1" ref="AE2" ca="1">IFERROR(INDEX(LAM!$B$3:$B$1000,
SMALL(
IF((LAM!$Q$3:$Q$1000&lt;&gt;"")*(LAM!$Q$3:$Q$1000&lt;&gt;"Not Due"),
ROW(LAM!$Q$3:$Q$1000)-ROW(LAM!$Q$3)+1),
ROWS(A$2:A2))),"")</f>
        <v>T/2026/00245</v>
      </c>
      <c r="AF2" s="115" t="str" cm="1">
        <f t="array" aca="1" ref="AF2" ca="1">IFERROR(INDEX(LAM!$D$3:$D$1000,
SMALL(
IF((LAM!$Q$3:$Q$1000&lt;&gt;"")*(LAM!$Q$3:$Q$1000&lt;&gt;"Not Due"),
ROW(LAM!$Q$3:$Q$1000)-ROW(LAM!$Q$3)+1),
ROWS(A$2:A2))),"")</f>
        <v>MYPANJAR</v>
      </c>
      <c r="AG2" s="116" t="str" cm="1">
        <f t="array" aca="1" ref="AG2" ca="1">IFERROR(INDEX(LAM!$G$3:$G$1000,
SMALL(
IF((LAM!$Q$3:$Q$1000&lt;&gt;"")*(LAM!$Q$3:$Q$1000&lt;&gt;"Not Due"),
ROW(LAM!$Q$3:$Q$1000)-ROW(LAM!$Q$3)+1),
ROWS(A$2:A2))),"")</f>
        <v>KELUAR ERROR BILA KLIK BUTANG SIMPAN (PANJAR AM) - SEPERTI DI LAMPIRAN</v>
      </c>
      <c r="AH2" s="64" t="str" cm="1">
        <f t="array" aca="1" ref="AH2" ca="1">IFERROR(INDEX(LAM!$Q$3:$Q$1000,
SMALL(
IF((LAM!$Q$3:$Q$1000&lt;&gt;"")*(LAM!$Q$3:$Q$1000&lt;&gt;"Not Due"),
ROW(LAM!$Q$3:$Q$1000)-ROW(LAM!$Q$3)+1),
ROWS(A$2:A2))
),"")</f>
        <v>&gt;60 Days</v>
      </c>
      <c r="AJ2" s="115">
        <v>1</v>
      </c>
      <c r="AK2" s="123" t="str" cm="1">
        <f t="array" aca="1" ref="AK2" ca="1">IFERROR(INDEX(ISN!$E$3:$E$1000,
SMALL(
IF((ISN!$Q$3:$Q$1000&lt;&gt;"")*(ISN!$Q$3:$Q$1000&lt;&gt;"Not Due"),
ROW(ISN!$Q$3:$Q$1000)-ROW(ISN!$Q$3)+1),
ROWS(A$2:A2))),"")</f>
        <v>ISN</v>
      </c>
      <c r="AL2" s="115" t="str" cm="1">
        <f t="array" aca="1" ref="AL2" ca="1">IFERROR(INDEX(ISN!$B$3:$B$1000,
SMALL(
IF((ISN!$Q$3:$Q$1000&lt;&gt;"")*(ISN!$Q$3:$Q$1000&lt;&gt;"Not Due"),
ROW(ISN!$Q$3:$Q$1000)-ROW(ISN!$Q$3)+1),
ROWS(A$2:A2))),"")</f>
        <v>T/2026/00021</v>
      </c>
      <c r="AM2" s="116" t="str" cm="1">
        <f t="array" aca="1" ref="AM2" ca="1">IFERROR(INDEX(ISN!$D$3:$D$1000,
SMALL(
IF((ISN!$Q$3:$Q$1000&lt;&gt;"")*(ISN!$Q$3:$Q$1000&lt;&gt;"Not Due"),
ROW(ISN!$Q$3:$Q$1000)-ROW(ISN!$Q$3)+1),
ROWS(A$2:A2))),"")</f>
        <v>MYFINANCIAL CLIENT</v>
      </c>
      <c r="AN2" s="116"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5">
        <v>1</v>
      </c>
      <c r="AR2" s="124" t="str" cm="1">
        <f t="array" aca="1" ref="AR2" ca="1">IFERROR(INDEX(MSN!$E$3:$E$1000,
SMALL(
IF((MSN!$Q$3:$Q$1000&lt;&gt;"")*(MSN!$Q$3:$Q$1000&lt;&gt;"Not Due"),
ROW(MSN!$Q$3:$Q$1000)-ROW(MSN!$Q$3)+1),
ROWS(A$2:A2))),"")</f>
        <v>MSN</v>
      </c>
      <c r="AS2" s="115" t="str" cm="1">
        <f t="array" aca="1" ref="AS2" ca="1">IFERROR(INDEX(MSN!$B$3:$B$1000,
SMALL(
IF((MSN!$Q$3:$Q$1000&lt;&gt;"")*(MSN!$Q$3:$Q$1000&lt;&gt;"Not Due"),
ROW(MSN!$Q$3:$Q$1000)-ROW(MSN!$Q$3)+1),
ROWS(A$2:A2))),"")</f>
        <v>T/2025/00149</v>
      </c>
      <c r="AT2" s="115" t="str" cm="1">
        <f t="array" aca="1" ref="AT2" ca="1">IFERROR(INDEX(MSN!$D$3:$D$1000,
SMALL(
IF((MSN!$Q$3:$Q$1000&lt;&gt;"")*(MSN!$Q$3:$Q$1000&lt;&gt;"Not Due"),
ROW(MSN!$Q$3:$Q$1000)-ROW(MSN!$Q$3)+1),
ROWS(A$2:A2))),"")</f>
        <v>MYSTOR</v>
      </c>
      <c r="AU2" s="116"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5">
        <v>2</v>
      </c>
      <c r="B3" s="118" t="str" cm="1">
        <f t="array" aca="1" ref="B3" ca="1">IFERROR(INDEX(FRIM!$E$3:$E$1000,
SMALL(IF(FRIM!$Q$3:$Q$1000&lt;&gt;"",
ROW(FRIM!$Q$3:$Q$1000)-ROW(FRIM!$Q$3)+1),
ROWS(A$2:A3))),"")</f>
        <v>FRIM</v>
      </c>
      <c r="C3" s="116" t="str" cm="1">
        <f t="array" aca="1" ref="C3" ca="1">IFERROR(INDEX(FRIM!$B$3:$B$1000,
SMALL(IF(FRIM!$Q$3:$Q$1000&lt;&gt;"",
ROW(FRIM!$Q$3:$Q$1000)-ROW(FRIM!$Q$3)+1),
ROWS(A$2:A3))),"")</f>
        <v>T/2026/00061</v>
      </c>
      <c r="D3" s="116" t="str" cm="1">
        <f t="array" aca="1" ref="D3" ca="1">IFERROR(INDEX(FRIM!$D$3:$D$1000,
SMALL(IF(FRIM!$Q$3:$Q$1000&lt;&gt;"",
ROW(FRIM!$Q$3:$Q$1000)-ROW(FRIM!$Q$3)+1),
ROWS(A$2:A3))),"")</f>
        <v>MYPROCUREMENT</v>
      </c>
      <c r="E3" s="116" t="str" cm="1">
        <f t="array" aca="1" ref="E3" ca="1">IFERROR(INDEX(FRIM!$G$3:$G$1000,
SMALL(IF(FRIM!$Q$3:$Q$1000&lt;&gt;"",
ROW(FRIM!$Q$3:$Q$1000)-ROW(FRIM!$Q$3)+1),
ROWS(A$2:A3))),"")</f>
        <v>No Aduan: W2489 Name: NUR SYAQIRAH BINTI MOHAMED FOZI Date: 13/01/2026 Desc: PEMBEKAL TIDAK BOLEH UPLOAD DOKUMEN PADA PORTAL PENDAFTARAN PEMBEKAL</v>
      </c>
      <c r="F3" s="88" t="str" cm="1">
        <f t="array" aca="1" ref="F3" ca="1">IFERROR(INDEX(FRIM!$Q$3:$Q$1000,
SMALL(IF(FRIM!$Q$3:$Q$1000&lt;&gt;"",
ROW(FRIM!$Q$3:$Q$1000)-ROW(FRIM!$Q$3)+1),
ROWS(A$2:A3))),"")</f>
        <v>&gt;60 Days</v>
      </c>
      <c r="H3" s="115">
        <v>2</v>
      </c>
      <c r="I3" s="119" t="str" cm="1">
        <f t="array" aca="1" ref="I3" ca="1">IFERROR(INDEX(MTIB!$E$3:$E$1000,
SMALL(
IF((MTIB!$Q$3:$Q$1000&lt;&gt;"")*(MTIB!$Q$3:$Q$1000&lt;&gt;"Not Due"),
ROW(MTIB!$Q$3:$Q$1000)-ROW(MTIB!$Q$3)+1),
ROWS(A$2:A3))),"")</f>
        <v>MTIB</v>
      </c>
      <c r="J3" s="115" t="str" cm="1">
        <f t="array" aca="1" ref="J3" ca="1">IFERROR(INDEX(MTIB!$B$3:$B$1000,
SMALL(
IF((MTIB!$Q$3:$Q$1000&lt;&gt;"")*(MTIB!$Q$3:$Q$1000&lt;&gt;"Not Due"),
ROW(MTIB!$Q$3:$Q$1000)-ROW(MTIB!$Q$3)+1),
ROWS(A$2:A3))),"")</f>
        <v>T/2025/00183</v>
      </c>
      <c r="K3" s="115" t="str" cm="1">
        <f t="array" aca="1" ref="K3" ca="1">IFERROR(INDEX(MTIB!$D$3:$D$1000,
SMALL(
IF((MTIB!$Q$3:$Q$1000&lt;&gt;"")*(MTIB!$Q$3:$Q$1000&lt;&gt;"Not Due"),
ROW(MTIB!$Q$3:$Q$1000)-ROW(MTIB!$Q$3)+1),
ROWS(A$2:A3))),"")</f>
        <v>MYFINANCIAL</v>
      </c>
      <c r="L3" s="116" t="str" cm="1">
        <f t="array" aca="1" ref="L3" ca="1">IFERROR(INDEX(MTIB!$G$3:$G$1000,
SMALL(
IF((MTIB!$Q$3:$Q$1000&lt;&gt;"")*(MTIB!$Q$3:$Q$1000&lt;&gt;"Not Due"),
ROW(MTIB!$Q$3:$Q$1000)-ROW(MTIB!$Q$3)+1),
ROWS(A$2:A3))),"")</f>
        <v>Tidak boleh print baucar bayaran BCOWS0725/00181 Pengadu: Mohamad Azrul Azlan</v>
      </c>
      <c r="M3" s="88" t="str" cm="1">
        <f t="array" aca="1" ref="M3" ca="1">IFERROR(INDEX(MTIB!$Q$3:$Q$1000,
SMALL(
IF((MTIB!$Q$3:$Q$1000&lt;&gt;"")*(MTIB!$Q$3:$Q$1000&lt;&gt;"Not Due"),
ROW(MTIB!$Q$3:$Q$1000)-ROW(MTIB!$Q$3)+1),
ROWS(A$2:A3))
),"")</f>
        <v>&gt;60 Days</v>
      </c>
      <c r="O3" s="115">
        <v>2</v>
      </c>
      <c r="P3" s="120" t="str" cm="1">
        <f t="array" aca="1" ref="P3" ca="1">IFERROR(INDEX(MPOB!$E$3:$E$1000,
SMALL(
IF((MPOB!$Q$3:$Q$1000&lt;&gt;"")*(MPOB!$Q$3:$Q$1000&lt;&gt;"Not Due"),
ROW(MPOB!$Q$3:$Q$1000)-ROW(MPOB!$Q$3)+1),
ROWS(A$2:A3))),"")</f>
        <v>MPOB</v>
      </c>
      <c r="Q3" s="115" t="str" cm="1">
        <f t="array" aca="1" ref="Q3" ca="1">IFERROR(INDEX(MPOB!$B$3:$B$1000,
SMALL(
IF((MPOB!$Q$3:$Q$1000&lt;&gt;"")*(MPOB!$Q$3:$Q$1000&lt;&gt;"Not Due"),
ROW(MPOB!$Q$3:$Q$1000)-ROW(MPOB!$Q$3)+1),
ROWS(A$2:A3))),"")</f>
        <v>T/2026/00144</v>
      </c>
      <c r="R3" s="115" t="str" cm="1">
        <f t="array" aca="1" ref="R3" ca="1">IFERROR(INDEX(MPOB!$D$3:$D$1000,
SMALL(
IF((MPOB!$Q$3:$Q$1000&lt;&gt;"")*(MPOB!$Q$3:$Q$1000&lt;&gt;"Not Due"),
ROW(MPOB!$Q$3:$Q$1000)-ROW(MPOB!$Q$3)+1),
ROWS(A$2:A3))),"")</f>
        <v>MyDeposit</v>
      </c>
      <c r="S3" s="116"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8" t="str" cm="1">
        <f t="array" aca="1" ref="T3" ca="1">IFERROR(INDEX(MPOB!$Q$3:$Q$1000,
SMALL(
IF((MPOB!$Q$3:$Q$1000&lt;&gt;"")*(MPOB!$Q$3:$Q$1000&lt;&gt;"Not Due"),
ROW(MPOB!$Q$3:$Q$1000)-ROW(MPOB!$Q$3)+1),
ROWS(A$2:A3))
),"")</f>
        <v>&gt;60 Days</v>
      </c>
      <c r="V3" s="115">
        <v>2</v>
      </c>
      <c r="W3" s="121" t="str" cm="1">
        <f t="array" aca="1" ref="W3" ca="1">IFERROR(INDEX(LKTN!$E$3:$E$1000,
SMALL(
IF((LKTN!$Q$3:$Q$1000&lt;&gt;"")*(LKTN!$Q$3:$Q$1000&lt;&gt;"Not Due"),
ROW(LKTN!$Q$3:$Q$1000)-ROW(LKTN!$Q$3)+1),
ROWS(A$2:A3))),"")</f>
        <v>LKTN</v>
      </c>
      <c r="X3" s="115" t="str" cm="1">
        <f t="array" aca="1" ref="X3" ca="1">IFERROR(INDEX(LKTN!$B$3:$B$1000,
SMALL(
IF((LKTN!$Q$3:$Q$1000&lt;&gt;"")*(LKTN!$Q$3:$Q$1000&lt;&gt;"Not Due"),
ROW(LKTN!$Q$3:$Q$1000)-ROW(LKTN!$Q$3)+1),
ROWS(A$2:A3))),"")</f>
        <v>T/2026/00304</v>
      </c>
      <c r="Y3" s="115" t="str" cm="1">
        <f t="array" aca="1" ref="Y3" ca="1">IFERROR(INDEX(LKTN!$D$3:$D$1000,
SMALL(
IF((LKTN!$Q$3:$Q$1000&lt;&gt;"")*(LKTN!$Q$3:$Q$1000&lt;&gt;"Not Due"),
ROW(LKTN!$Q$3:$Q$1000)-ROW(LKTN!$Q$3)+1),
ROWS(A$2:A3))),"")</f>
        <v>MYFINANCIAL</v>
      </c>
      <c r="Z3" s="116"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31-60 Days</v>
      </c>
      <c r="AC3" s="115">
        <v>2</v>
      </c>
      <c r="AD3" s="122" t="str" cm="1">
        <f t="array" aca="1" ref="AD3" ca="1">IFERROR(INDEX(LAM!$E$3:$E$1000,
SMALL(
IF((LAM!$Q$3:$Q$1000&lt;&gt;"")*(LAM!$Q$3:$Q$1000&lt;&gt;"Not Due"),
ROW(LAM!$Q$3:$Q$1000)-ROW(LAM!$Q$3)+1),
ROWS(A$2:A3))),"")</f>
        <v>LAM</v>
      </c>
      <c r="AE3" s="115" t="str" cm="1">
        <f t="array" aca="1" ref="AE3" ca="1">IFERROR(INDEX(LAM!$B$3:$B$1000,
SMALL(
IF((LAM!$Q$3:$Q$1000&lt;&gt;"")*(LAM!$Q$3:$Q$1000&lt;&gt;"Not Due"),
ROW(LAM!$Q$3:$Q$1000)-ROW(LAM!$Q$3)+1),
ROWS(A$2:A3))),"")</f>
        <v>T/2026/00267</v>
      </c>
      <c r="AF3" s="115" t="str" cm="1">
        <f t="array" aca="1" ref="AF3" ca="1">IFERROR(INDEX(LAM!$D$3:$D$1000,
SMALL(
IF((LAM!$Q$3:$Q$1000&lt;&gt;"")*(LAM!$Q$3:$Q$1000&lt;&gt;"Not Due"),
ROW(LAM!$Q$3:$Q$1000)-ROW(LAM!$Q$3)+1),
ROWS(A$2:A3))),"")</f>
        <v>MYPANJAR</v>
      </c>
      <c r="AG3" s="116" t="str" cm="1">
        <f t="array" aca="1" ref="AG3" ca="1">IFERROR(INDEX(LAM!$G$3:$G$1000,
SMALL(
IF((LAM!$Q$3:$Q$1000&lt;&gt;"")*(LAM!$Q$3:$Q$1000&lt;&gt;"Not Due"),
ROW(LAM!$Q$3:$Q$1000)-ROW(LAM!$Q$3)+1),
ROWS(A$2:A3))),"")</f>
        <v>KELUAR 'INTERNAL SERVER ERROR' APABILA BUAT PEMBATALAN TUNTUTAN DI MYPANJAR</v>
      </c>
      <c r="AH3" s="64" t="str" cm="1">
        <f t="array" aca="1" ref="AH3" ca="1">IFERROR(INDEX(LAM!$Q$3:$Q$1000,
SMALL(
IF((LAM!$Q$3:$Q$1000&lt;&gt;"")*(LAM!$Q$3:$Q$1000&lt;&gt;"Not Due"),
ROW(LAM!$Q$3:$Q$1000)-ROW(LAM!$Q$3)+1),
ROWS(A$2:A3))
),"")</f>
        <v>&gt;60 Days</v>
      </c>
      <c r="AJ3" s="115">
        <v>2</v>
      </c>
      <c r="AK3" s="123" t="str" cm="1">
        <f t="array" aca="1" ref="AK3" ca="1">IFERROR(INDEX(ISN!$E$3:$E$1000,
SMALL(
IF((ISN!$Q$3:$Q$1000&lt;&gt;"")*(ISN!$Q$3:$Q$1000&lt;&gt;"Not Due"),
ROW(ISN!$Q$3:$Q$1000)-ROW(ISN!$Q$3)+1),
ROWS(A$2:A3))),"")</f>
        <v>ISN</v>
      </c>
      <c r="AL3" s="115" t="str" cm="1">
        <f t="array" aca="1" ref="AL3" ca="1">IFERROR(INDEX(ISN!$B$3:$B$1000,
SMALL(
IF((ISN!$Q$3:$Q$1000&lt;&gt;"")*(ISN!$Q$3:$Q$1000&lt;&gt;"Not Due"),
ROW(ISN!$Q$3:$Q$1000)-ROW(ISN!$Q$3)+1),
ROWS(A$2:A3))),"")</f>
        <v>T/2026/00260</v>
      </c>
      <c r="AM3" s="116" t="str" cm="1">
        <f t="array" aca="1" ref="AM3" ca="1">IFERROR(INDEX(ISN!$D$3:$D$1000,
SMALL(
IF((ISN!$Q$3:$Q$1000&lt;&gt;"")*(ISN!$Q$3:$Q$1000&lt;&gt;"Not Due"),
ROW(ISN!$Q$3:$Q$1000)-ROW(ISN!$Q$3)+1),
ROWS(A$2:A3))),"")</f>
        <v>MYSTOR</v>
      </c>
      <c r="AN3" s="116"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5">
        <v>2</v>
      </c>
      <c r="AR3" s="124" t="str" cm="1">
        <f t="array" aca="1" ref="AR3" ca="1">IFERROR(INDEX(MSN!$E$3:$E$1000,
SMALL(
IF((MSN!$Q$3:$Q$1000&lt;&gt;"")*(MSN!$Q$3:$Q$1000&lt;&gt;"Not Due"),
ROW(MSN!$Q$3:$Q$1000)-ROW(MSN!$Q$3)+1),
ROWS(A$2:A3))),"")</f>
        <v>MSN</v>
      </c>
      <c r="AS3" s="115" t="str" cm="1">
        <f t="array" aca="1" ref="AS3" ca="1">IFERROR(INDEX(MSN!$B$3:$B$1000,
SMALL(
IF((MSN!$Q$3:$Q$1000&lt;&gt;"")*(MSN!$Q$3:$Q$1000&lt;&gt;"Not Due"),
ROW(MSN!$Q$3:$Q$1000)-ROW(MSN!$Q$3)+1),
ROWS(A$2:A3))),"")</f>
        <v>T/2025/00194</v>
      </c>
      <c r="AT3" s="115" t="str" cm="1">
        <f t="array" aca="1" ref="AT3" ca="1">IFERROR(INDEX(MSN!$D$3:$D$1000,
SMALL(
IF((MSN!$Q$3:$Q$1000&lt;&gt;"")*(MSN!$Q$3:$Q$1000&lt;&gt;"Not Due"),
ROW(MSN!$Q$3:$Q$1000)-ROW(MSN!$Q$3)+1),
ROWS(A$2:A3))),"")</f>
        <v>MYSTOR</v>
      </c>
      <c r="AU3" s="116"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5">
        <v>3</v>
      </c>
      <c r="B4" s="118" t="str" cm="1">
        <f t="array" aca="1" ref="B4" ca="1">IFERROR(INDEX(FRIM!$E$3:$E$1000,
SMALL(IF(FRIM!$Q$3:$Q$1000&lt;&gt;"",
ROW(FRIM!$Q$3:$Q$1000)-ROW(FRIM!$Q$3)+1),
ROWS(A$2:A4))),"")</f>
        <v>FRIM</v>
      </c>
      <c r="C4" s="116" t="str" cm="1">
        <f t="array" aca="1" ref="C4" ca="1">IFERROR(INDEX(FRIM!$B$3:$B$1000,
SMALL(IF(FRIM!$Q$3:$Q$1000&lt;&gt;"",
ROW(FRIM!$Q$3:$Q$1000)-ROW(FRIM!$Q$3)+1),
ROWS(A$2:A4))),"")</f>
        <v>T/2026/00075</v>
      </c>
      <c r="D4" s="116" t="str" cm="1">
        <f t="array" aca="1" ref="D4" ca="1">IFERROR(INDEX(FRIM!$D$3:$D$1000,
SMALL(IF(FRIM!$Q$3:$Q$1000&lt;&gt;"",
ROW(FRIM!$Q$3:$Q$1000)-ROW(FRIM!$Q$3)+1),
ROWS(A$2:A4))),"")</f>
        <v>MYPROCUREMENT</v>
      </c>
      <c r="E4" s="116"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8" t="str" cm="1">
        <f t="array" aca="1" ref="F4" ca="1">IFERROR(INDEX(FRIM!$Q$3:$Q$1000,
SMALL(IF(FRIM!$Q$3:$Q$1000&lt;&gt;"",
ROW(FRIM!$Q$3:$Q$1000)-ROW(FRIM!$Q$3)+1),
ROWS(A$2:A4))),"")</f>
        <v>&gt;60 Days</v>
      </c>
      <c r="H4" s="115">
        <v>3</v>
      </c>
      <c r="I4" s="119" t="str" cm="1">
        <f t="array" aca="1" ref="I4" ca="1">IFERROR(INDEX(MTIB!$E$3:$E$1000,
SMALL(
IF((MTIB!$Q$3:$Q$1000&lt;&gt;"")*(MTIB!$Q$3:$Q$1000&lt;&gt;"Not Due"),
ROW(MTIB!$Q$3:$Q$1000)-ROW(MTIB!$Q$3)+1),
ROWS(A$2:A4))),"")</f>
        <v>MTIB</v>
      </c>
      <c r="J4" s="115" t="str" cm="1">
        <f t="array" aca="1" ref="J4" ca="1">IFERROR(INDEX(MTIB!$B$3:$B$1000,
SMALL(
IF((MTIB!$Q$3:$Q$1000&lt;&gt;"")*(MTIB!$Q$3:$Q$1000&lt;&gt;"Not Due"),
ROW(MTIB!$Q$3:$Q$1000)-ROW(MTIB!$Q$3)+1),
ROWS(A$2:A4))),"")</f>
        <v>T/2025/00193</v>
      </c>
      <c r="K4" s="115" t="str" cm="1">
        <f t="array" aca="1" ref="K4" ca="1">IFERROR(INDEX(MTIB!$D$3:$D$1000,
SMALL(
IF((MTIB!$Q$3:$Q$1000&lt;&gt;"")*(MTIB!$Q$3:$Q$1000&lt;&gt;"Not Due"),
ROW(MTIB!$Q$3:$Q$1000)-ROW(MTIB!$Q$3)+1),
ROWS(A$2:A4))),"")</f>
        <v>MYFINANCIAL</v>
      </c>
      <c r="L4" s="116" t="str" cm="1">
        <f t="array" aca="1" ref="L4" ca="1">IFERROR(INDEX(MTIB!$G$3:$G$1000,
SMALL(
IF((MTIB!$Q$3:$Q$1000&lt;&gt;"")*(MTIB!$Q$3:$Q$1000&lt;&gt;"Not Due"),
ROW(MTIB!$Q$3:$Q$1000)-ROW(MTIB!$Q$3)+1),
ROWS(A$2:A4))),"")</f>
        <v>Tidak dapat 'simpan' untuk kedua-dua MyFinancial web dan client (lampiran) Pengadu: Nor Hafizah Yusoff</v>
      </c>
      <c r="M4" s="88" t="str" cm="1">
        <f t="array" aca="1" ref="M4" ca="1">IFERROR(INDEX(MTIB!$Q$3:$Q$1000,
SMALL(
IF((MTIB!$Q$3:$Q$1000&lt;&gt;"")*(MTIB!$Q$3:$Q$1000&lt;&gt;"Not Due"),
ROW(MTIB!$Q$3:$Q$1000)-ROW(MTIB!$Q$3)+1),
ROWS(A$2:A4))
),"")</f>
        <v>&gt;60 Days</v>
      </c>
      <c r="O4" s="115">
        <v>3</v>
      </c>
      <c r="P4" s="120" t="str" cm="1">
        <f t="array" aca="1" ref="P4" ca="1">IFERROR(INDEX(MPOB!$E$3:$E$1000,
SMALL(
IF((MPOB!$Q$3:$Q$1000&lt;&gt;"")*(MPOB!$Q$3:$Q$1000&lt;&gt;"Not Due"),
ROW(MPOB!$Q$3:$Q$1000)-ROW(MPOB!$Q$3)+1),
ROWS(A$2:A4))),"")</f>
        <v>MPOB</v>
      </c>
      <c r="Q4" s="115" t="str" cm="1">
        <f t="array" aca="1" ref="Q4" ca="1">IFERROR(INDEX(MPOB!$B$3:$B$1000,
SMALL(
IF((MPOB!$Q$3:$Q$1000&lt;&gt;"")*(MPOB!$Q$3:$Q$1000&lt;&gt;"Not Due"),
ROW(MPOB!$Q$3:$Q$1000)-ROW(MPOB!$Q$3)+1),
ROWS(A$2:A4))),"")</f>
        <v>T/2026/00145</v>
      </c>
      <c r="R4" s="115" t="str" cm="1">
        <f t="array" aca="1" ref="R4" ca="1">IFERROR(INDEX(MPOB!$D$3:$D$1000,
SMALL(
IF((MPOB!$Q$3:$Q$1000&lt;&gt;"")*(MPOB!$Q$3:$Q$1000&lt;&gt;"Not Due"),
ROW(MPOB!$Q$3:$Q$1000)-ROW(MPOB!$Q$3)+1),
ROWS(A$2:A4))),"")</f>
        <v>MyFinancial</v>
      </c>
      <c r="S4" s="116" t="str" cm="1">
        <f t="array" aca="1" ref="S4" ca="1">IFERROR(INDEX(MPOB!$G$3:$G$1000,
SMALL(
IF((MPOB!$Q$3:$Q$1000&lt;&gt;"")*(MPOB!$Q$3:$Q$1000&lt;&gt;"Not Due"),
ROW(MPOB!$Q$3:$Q$1000)-ROW(MPOB!$Q$3)+1),
ROWS(A$2:A4))),"")</f>
        <v>Nama User : Tyra Date : 20/1/2026 Isu : sy xleh nk cetak resit ini</v>
      </c>
      <c r="T4" s="88" t="str" cm="1">
        <f t="array" aca="1" ref="T4" ca="1">IFERROR(INDEX(MPOB!$Q$3:$Q$1000,
SMALL(
IF((MPOB!$Q$3:$Q$1000&lt;&gt;"")*(MPOB!$Q$3:$Q$1000&lt;&gt;"Not Due"),
ROW(MPOB!$Q$3:$Q$1000)-ROW(MPOB!$Q$3)+1),
ROWS(A$2:A4))
),"")</f>
        <v>&gt;60 Days</v>
      </c>
      <c r="V4" s="115">
        <v>3</v>
      </c>
      <c r="W4" s="121" t="str" cm="1">
        <f t="array" aca="1" ref="W4" ca="1">IFERROR(INDEX(LKTN!$E$3:$E$1000,
SMALL(
IF((LKTN!$Q$3:$Q$1000&lt;&gt;"")*(LKTN!$Q$3:$Q$1000&lt;&gt;"Not Due"),
ROW(LKTN!$Q$3:$Q$1000)-ROW(LKTN!$Q$3)+1),
ROWS(A$2:A4))),"")</f>
        <v>LKTN</v>
      </c>
      <c r="X4" s="115" t="str" cm="1">
        <f t="array" aca="1" ref="X4" ca="1">IFERROR(INDEX(LKTN!$B$3:$B$1000,
SMALL(
IF((LKTN!$Q$3:$Q$1000&lt;&gt;"")*(LKTN!$Q$3:$Q$1000&lt;&gt;"Not Due"),
ROW(LKTN!$Q$3:$Q$1000)-ROW(LKTN!$Q$3)+1),
ROWS(A$2:A4))),"")</f>
        <v>T/2026/00419</v>
      </c>
      <c r="Y4" s="115" t="str" cm="1">
        <f t="array" aca="1" ref="Y4" ca="1">IFERROR(INDEX(LKTN!$D$3:$D$1000,
SMALL(
IF((LKTN!$Q$3:$Q$1000&lt;&gt;"")*(LKTN!$Q$3:$Q$1000&lt;&gt;"Not Due"),
ROW(LKTN!$Q$3:$Q$1000)-ROW(LKTN!$Q$3)+1),
ROWS(A$2:A4))),"")</f>
        <v>MYFINANCIAL</v>
      </c>
      <c r="Z4" s="116"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1-30 Days</v>
      </c>
      <c r="AC4" s="115">
        <v>3</v>
      </c>
      <c r="AD4" s="122" t="str" cm="1">
        <f t="array" aca="1" ref="AD4" ca="1">IFERROR(INDEX(LAM!$E$3:$E$1000,
SMALL(
IF((LAM!$Q$3:$Q$1000&lt;&gt;"")*(LAM!$Q$3:$Q$1000&lt;&gt;"Not Due"),
ROW(LAM!$Q$3:$Q$1000)-ROW(LAM!$Q$3)+1),
ROWS(A$2:A4))),"")</f>
        <v>LAM</v>
      </c>
      <c r="AE4" s="115" t="str" cm="1">
        <f t="array" aca="1" ref="AE4" ca="1">IFERROR(INDEX(LAM!$B$3:$B$1000,
SMALL(
IF((LAM!$Q$3:$Q$1000&lt;&gt;"")*(LAM!$Q$3:$Q$1000&lt;&gt;"Not Due"),
ROW(LAM!$Q$3:$Q$1000)-ROW(LAM!$Q$3)+1),
ROWS(A$2:A4))),"")</f>
        <v>T/2026/00270</v>
      </c>
      <c r="AF4" s="115" t="str" cm="1">
        <f t="array" aca="1" ref="AF4" ca="1">IFERROR(INDEX(LAM!$D$3:$D$1000,
SMALL(
IF((LAM!$Q$3:$Q$1000&lt;&gt;"")*(LAM!$Q$3:$Q$1000&lt;&gt;"Not Due"),
ROW(LAM!$Q$3:$Q$1000)-ROW(LAM!$Q$3)+1),
ROWS(A$2:A4))),"")</f>
        <v>MYFINANCIAL</v>
      </c>
      <c r="AG4" s="116" t="str" cm="1">
        <f t="array" aca="1" ref="AG4" ca="1">IFERROR(INDEX(LAM!$G$3:$G$1000,
SMALL(
IF((LAM!$Q$3:$Q$1000&lt;&gt;"")*(LAM!$Q$3:$Q$1000&lt;&gt;"Not Due"),
ROW(LAM!$Q$3:$Q$1000)-ROW(LAM!$Q$3)+1),
ROWS(A$2:A4))),"")</f>
        <v>TUKAR NAMA 'PENERIMA' DI BAUCAR MYFINANCIAL SEMASA INTEGRASI DARI MYPANJAR, DARI NAMA AZURA BINTI GHAZALI KE FARAH IZWAH BINTI ALI</v>
      </c>
      <c r="AH4" s="64" t="str" cm="1">
        <f t="array" aca="1" ref="AH4" ca="1">IFERROR(INDEX(LAM!$Q$3:$Q$1000,
SMALL(
IF((LAM!$Q$3:$Q$1000&lt;&gt;"")*(LAM!$Q$3:$Q$1000&lt;&gt;"Not Due"),
ROW(LAM!$Q$3:$Q$1000)-ROW(LAM!$Q$3)+1),
ROWS(A$2:A4))
),"")</f>
        <v>&gt;60 Days</v>
      </c>
      <c r="AJ4" s="115">
        <v>3</v>
      </c>
      <c r="AK4" s="123" t="str" cm="1">
        <f t="array" aca="1" ref="AK4" ca="1">IFERROR(INDEX(ISN!$E$3:$E$1000,
SMALL(
IF((ISN!$Q$3:$Q$1000&lt;&gt;"")*(ISN!$Q$3:$Q$1000&lt;&gt;"Not Due"),
ROW(ISN!$Q$3:$Q$1000)-ROW(ISN!$Q$3)+1),
ROWS(A$2:A4))),"")</f>
        <v>ISN</v>
      </c>
      <c r="AL4" s="115" t="str" cm="1">
        <f t="array" aca="1" ref="AL4" ca="1">IFERROR(INDEX(ISN!$B$3:$B$1000,
SMALL(
IF((ISN!$Q$3:$Q$1000&lt;&gt;"")*(ISN!$Q$3:$Q$1000&lt;&gt;"Not Due"),
ROW(ISN!$Q$3:$Q$1000)-ROW(ISN!$Q$3)+1),
ROWS(A$2:A4))),"")</f>
        <v>T/2026/00325</v>
      </c>
      <c r="AM4" s="116" t="str" cm="1">
        <f t="array" aca="1" ref="AM4" ca="1">IFERROR(INDEX(ISN!$D$3:$D$1000,
SMALL(
IF((ISN!$Q$3:$Q$1000&lt;&gt;"")*(ISN!$Q$3:$Q$1000&lt;&gt;"Not Due"),
ROW(ISN!$Q$3:$Q$1000)-ROW(ISN!$Q$3)+1),
ROWS(A$2:A4))),"")</f>
        <v>MYFINANCIAL CLIENT</v>
      </c>
      <c r="AN4" s="116"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31-60 Days</v>
      </c>
      <c r="AQ4" s="115">
        <v>3</v>
      </c>
      <c r="AR4" s="124" t="str" cm="1">
        <f t="array" aca="1" ref="AR4" ca="1">IFERROR(INDEX(MSN!$E$3:$E$1000,
SMALL(
IF((MSN!$Q$3:$Q$1000&lt;&gt;"")*(MSN!$Q$3:$Q$1000&lt;&gt;"Not Due"),
ROW(MSN!$Q$3:$Q$1000)-ROW(MSN!$Q$3)+1),
ROWS(A$2:A4))),"")</f>
        <v>MSN</v>
      </c>
      <c r="AS4" s="115" t="str" cm="1">
        <f t="array" aca="1" ref="AS4" ca="1">IFERROR(INDEX(MSN!$B$3:$B$1000,
SMALL(
IF((MSN!$Q$3:$Q$1000&lt;&gt;"")*(MSN!$Q$3:$Q$1000&lt;&gt;"Not Due"),
ROW(MSN!$Q$3:$Q$1000)-ROW(MSN!$Q$3)+1),
ROWS(A$2:A4))),"")</f>
        <v>T/2026/00238</v>
      </c>
      <c r="AT4" s="115" t="str" cm="1">
        <f t="array" aca="1" ref="AT4" ca="1">IFERROR(INDEX(MSN!$D$3:$D$1000,
SMALL(
IF((MSN!$Q$3:$Q$1000&lt;&gt;"")*(MSN!$Q$3:$Q$1000&lt;&gt;"Not Due"),
ROW(MSN!$Q$3:$Q$1000)-ROW(MSN!$Q$3)+1),
ROWS(A$2:A4))),"")</f>
        <v>ATK</v>
      </c>
      <c r="AU4" s="116"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5">
        <v>4</v>
      </c>
      <c r="B5" s="118" t="str" cm="1">
        <f t="array" aca="1" ref="B5" ca="1">IFERROR(INDEX(FRIM!$E$3:$E$1000,
SMALL(IF(FRIM!$Q$3:$Q$1000&lt;&gt;"",
ROW(FRIM!$Q$3:$Q$1000)-ROW(FRIM!$Q$3)+1),
ROWS(A$2:A5))),"")</f>
        <v>FRIM</v>
      </c>
      <c r="C5" s="116" t="str" cm="1">
        <f t="array" aca="1" ref="C5" ca="1">IFERROR(INDEX(FRIM!$B$3:$B$1000,
SMALL(IF(FRIM!$Q$3:$Q$1000&lt;&gt;"",
ROW(FRIM!$Q$3:$Q$1000)-ROW(FRIM!$Q$3)+1),
ROWS(A$2:A5))),"")</f>
        <v>T/2026/00076</v>
      </c>
      <c r="D5" s="116" t="str" cm="1">
        <f t="array" aca="1" ref="D5" ca="1">IFERROR(INDEX(FRIM!$D$3:$D$1000,
SMALL(IF(FRIM!$Q$3:$Q$1000&lt;&gt;"",
ROW(FRIM!$Q$3:$Q$1000)-ROW(FRIM!$Q$3)+1),
ROWS(A$2:A5))),"")</f>
        <v>MYFINANCIAL CLIENT</v>
      </c>
      <c r="E5" s="116" t="str" cm="1">
        <f t="array" aca="1" ref="E5" ca="1">IFERROR(INDEX(FRIM!$G$3:$G$1000,
SMALL(IF(FRIM!$Q$3:$Q$1000&lt;&gt;"",
ROW(FRIM!$Q$3:$Q$1000)-ROW(FRIM!$Q$3)+1),
ROWS(A$2:A5))),"")</f>
        <v>No Aduan: W2509 Name: HASRINA HASNOR BT. KAMARUZAMAN Date: 06/02/2026 Desc: CETAKAN RESIT &amp; LAPORAN 7260182 - SETTING LARI</v>
      </c>
      <c r="F5" s="88" t="str" cm="1">
        <f t="array" aca="1" ref="F5" ca="1">IFERROR(INDEX(FRIM!$Q$3:$Q$1000,
SMALL(IF(FRIM!$Q$3:$Q$1000&lt;&gt;"",
ROW(FRIM!$Q$3:$Q$1000)-ROW(FRIM!$Q$3)+1),
ROWS(A$2:A5))),"")</f>
        <v>&gt;60 Days</v>
      </c>
      <c r="H5" s="115">
        <v>4</v>
      </c>
      <c r="I5" s="119" t="str" cm="1">
        <f t="array" aca="1" ref="I5" ca="1">IFERROR(INDEX(MTIB!$E$3:$E$1000,
SMALL(
IF((MTIB!$Q$3:$Q$1000&lt;&gt;"")*(MTIB!$Q$3:$Q$1000&lt;&gt;"Not Due"),
ROW(MTIB!$Q$3:$Q$1000)-ROW(MTIB!$Q$3)+1),
ROWS(A$2:A5))),"")</f>
        <v>MTIB</v>
      </c>
      <c r="J5" s="115" t="str" cm="1">
        <f t="array" aca="1" ref="J5" ca="1">IFERROR(INDEX(MTIB!$B$3:$B$1000,
SMALL(
IF((MTIB!$Q$3:$Q$1000&lt;&gt;"")*(MTIB!$Q$3:$Q$1000&lt;&gt;"Not Due"),
ROW(MTIB!$Q$3:$Q$1000)-ROW(MTIB!$Q$3)+1),
ROWS(A$2:A5))),"")</f>
        <v>T/2025/00198</v>
      </c>
      <c r="K5" s="115" t="str" cm="1">
        <f t="array" aca="1" ref="K5" ca="1">IFERROR(INDEX(MTIB!$D$3:$D$1000,
SMALL(
IF((MTIB!$Q$3:$Q$1000&lt;&gt;"")*(MTIB!$Q$3:$Q$1000&lt;&gt;"Not Due"),
ROW(MTIB!$Q$3:$Q$1000)-ROW(MTIB!$Q$3)+1),
ROWS(A$2:A5))),"")</f>
        <v>MYLOAN</v>
      </c>
      <c r="L5" s="116" t="str" cm="1">
        <f t="array" aca="1" ref="L5" ca="1">IFERROR(INDEX(MTIB!$G$3:$G$1000,
SMALL(
IF((MTIB!$Q$3:$Q$1000&lt;&gt;"")*(MTIB!$Q$3:$Q$1000&lt;&gt;"Not Due"),
ROW(MTIB!$Q$3:$Q$1000)-ROW(MTIB!$Q$3)+1),
ROWS(A$2:A5))),"")</f>
        <v>Tiada fungsi hapus atau roles dibenarkan kepada Nor Atikah (PSM) untuk hapus permohonan/rekod Nurul Iman seperti di lampiran kerana pemohon tak jadi mohon pinjaman.</v>
      </c>
      <c r="M5" s="88" t="str" cm="1">
        <f t="array" aca="1" ref="M5" ca="1">IFERROR(INDEX(MTIB!$Q$3:$Q$1000,
SMALL(
IF((MTIB!$Q$3:$Q$1000&lt;&gt;"")*(MTIB!$Q$3:$Q$1000&lt;&gt;"Not Due"),
ROW(MTIB!$Q$3:$Q$1000)-ROW(MTIB!$Q$3)+1),
ROWS(A$2:A5))
),"")</f>
        <v>&gt;60 Days</v>
      </c>
      <c r="O5" s="115">
        <v>4</v>
      </c>
      <c r="P5" s="120" t="str" cm="1">
        <f t="array" aca="1" ref="P5" ca="1">IFERROR(INDEX(MPOB!$E$3:$E$1000,
SMALL(
IF((MPOB!$Q$3:$Q$1000&lt;&gt;"")*(MPOB!$Q$3:$Q$1000&lt;&gt;"Not Due"),
ROW(MPOB!$Q$3:$Q$1000)-ROW(MPOB!$Q$3)+1),
ROWS(A$2:A5))),"")</f>
        <v>MPOB</v>
      </c>
      <c r="Q5" s="115" t="str" cm="1">
        <f t="array" aca="1" ref="Q5" ca="1">IFERROR(INDEX(MPOB!$B$3:$B$1000,
SMALL(
IF((MPOB!$Q$3:$Q$1000&lt;&gt;"")*(MPOB!$Q$3:$Q$1000&lt;&gt;"Not Due"),
ROW(MPOB!$Q$3:$Q$1000)-ROW(MPOB!$Q$3)+1),
ROWS(A$2:A5))),"")</f>
        <v>T/2026/00146</v>
      </c>
      <c r="R5" s="115" t="str" cm="1">
        <f t="array" aca="1" ref="R5" ca="1">IFERROR(INDEX(MPOB!$D$3:$D$1000,
SMALL(
IF((MPOB!$Q$3:$Q$1000&lt;&gt;"")*(MPOB!$Q$3:$Q$1000&lt;&gt;"Not Due"),
ROW(MPOB!$Q$3:$Q$1000)-ROW(MPOB!$Q$3)+1),
ROWS(A$2:A5))),"")</f>
        <v>Projek Kos</v>
      </c>
      <c r="S5" s="116" t="str" cm="1">
        <f t="array" aca="1" ref="S5" ca="1">IFERROR(INDEX(MPOB!$G$3:$G$1000,
SMALL(
IF((MPOB!$Q$3:$Q$1000&lt;&gt;"")*(MPOB!$Q$3:$Q$1000&lt;&gt;"Not Due"),
ROW(MPOB!$Q$3:$Q$1000)-ROW(MPOB!$Q$3)+1),
ROWS(A$2:A5))),"")</f>
        <v>Nama User : Khairun nisa Date : 20/1/2026 Isu : Ada amaun negatif.</v>
      </c>
      <c r="T5" s="88" t="str" cm="1">
        <f t="array" aca="1" ref="T5" ca="1">IFERROR(INDEX(MPOB!$Q$3:$Q$1000,
SMALL(
IF((MPOB!$Q$3:$Q$1000&lt;&gt;"")*(MPOB!$Q$3:$Q$1000&lt;&gt;"Not Due"),
ROW(MPOB!$Q$3:$Q$1000)-ROW(MPOB!$Q$3)+1),
ROWS(A$2:A5))
),"")</f>
        <v>&gt;60 Days</v>
      </c>
      <c r="V5" s="115">
        <v>4</v>
      </c>
      <c r="W5" s="121" t="str" cm="1">
        <f t="array" aca="1" ref="W5" ca="1">IFERROR(INDEX(LKTN!$E$3:$E$1000,
SMALL(
IF((LKTN!$Q$3:$Q$1000&lt;&gt;"")*(LKTN!$Q$3:$Q$1000&lt;&gt;"Not Due"),
ROW(LKTN!$Q$3:$Q$1000)-ROW(LKTN!$Q$3)+1),
ROWS(A$2:A5))),"")</f>
        <v>LKTN</v>
      </c>
      <c r="X5" s="115" t="str" cm="1">
        <f t="array" aca="1" ref="X5" ca="1">IFERROR(INDEX(LKTN!$B$3:$B$1000,
SMALL(
IF((LKTN!$Q$3:$Q$1000&lt;&gt;"")*(LKTN!$Q$3:$Q$1000&lt;&gt;"Not Due"),
ROW(LKTN!$Q$3:$Q$1000)-ROW(LKTN!$Q$3)+1),
ROWS(A$2:A5))),"")</f>
        <v>T/2026/00455</v>
      </c>
      <c r="Y5" s="115" t="str" cm="1">
        <f t="array" aca="1" ref="Y5" ca="1">IFERROR(INDEX(LKTN!$D$3:$D$1000,
SMALL(
IF((LKTN!$Q$3:$Q$1000&lt;&gt;"")*(LKTN!$Q$3:$Q$1000&lt;&gt;"Not Due"),
ROW(LKTN!$Q$3:$Q$1000)-ROW(LKTN!$Q$3)+1),
ROWS(A$2:A5))),"")</f>
        <v>MYSTOR</v>
      </c>
      <c r="Z5" s="116"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1-30 Days</v>
      </c>
      <c r="AC5" s="115">
        <v>4</v>
      </c>
      <c r="AD5" s="122" t="str" cm="1">
        <f t="array" aca="1" ref="AD5" ca="1">IFERROR(INDEX(LAM!$E$3:$E$1000,
SMALL(
IF((LAM!$Q$3:$Q$1000&lt;&gt;"")*(LAM!$Q$3:$Q$1000&lt;&gt;"Not Due"),
ROW(LAM!$Q$3:$Q$1000)-ROW(LAM!$Q$3)+1),
ROWS(A$2:A5))),"")</f>
        <v>LAM</v>
      </c>
      <c r="AE5" s="115" t="str" cm="1">
        <f t="array" aca="1" ref="AE5" ca="1">IFERROR(INDEX(LAM!$B$3:$B$1000,
SMALL(
IF((LAM!$Q$3:$Q$1000&lt;&gt;"")*(LAM!$Q$3:$Q$1000&lt;&gt;"Not Due"),
ROW(LAM!$Q$3:$Q$1000)-ROW(LAM!$Q$3)+1),
ROWS(A$2:A5))),"")</f>
        <v>T/2026/00452</v>
      </c>
      <c r="AF5" s="115" t="str" cm="1">
        <f t="array" aca="1" ref="AF5" ca="1">IFERROR(INDEX(LAM!$D$3:$D$1000,
SMALL(
IF((LAM!$Q$3:$Q$1000&lt;&gt;"")*(LAM!$Q$3:$Q$1000&lt;&gt;"Not Due"),
ROW(LAM!$Q$3:$Q$1000)-ROW(LAM!$Q$3)+1),
ROWS(A$2:A5))),"")</f>
        <v>MYFINANCIAL</v>
      </c>
      <c r="AG5" s="116" t="str" cm="1">
        <f t="array" aca="1" ref="AG5" ca="1">IFERROR(INDEX(LAM!$G$3:$G$1000,
SMALL(
IF((LAM!$Q$3:$Q$1000&lt;&gt;"")*(LAM!$Q$3:$Q$1000&lt;&gt;"Not Due"),
ROW(LAM!$Q$3:$Q$1000)-ROW(LAM!$Q$3)+1),
ROWS(A$2:A5))),"")</f>
        <v>Tiada amaun keluar di Penyata Aliran Tunai bagi tahun 2025 Laporan MPSAS --&gt; Laporan Aliran Tunai --&gt; 2025</v>
      </c>
      <c r="AH5" s="64" t="str" cm="1">
        <f t="array" aca="1" ref="AH5" ca="1">IFERROR(INDEX(LAM!$Q$3:$Q$1000,
SMALL(
IF((LAM!$Q$3:$Q$1000&lt;&gt;"")*(LAM!$Q$3:$Q$1000&lt;&gt;"Not Due"),
ROW(LAM!$Q$3:$Q$1000)-ROW(LAM!$Q$3)+1),
ROWS(A$2:A5))
),"")</f>
        <v>1-30 Days</v>
      </c>
      <c r="AJ5" s="115">
        <v>4</v>
      </c>
      <c r="AK5" s="123" t="str" cm="1">
        <f t="array" aca="1" ref="AK5" ca="1">IFERROR(INDEX(ISN!$E$3:$E$1000,
SMALL(
IF((ISN!$Q$3:$Q$1000&lt;&gt;"")*(ISN!$Q$3:$Q$1000&lt;&gt;"Not Due"),
ROW(ISN!$Q$3:$Q$1000)-ROW(ISN!$Q$3)+1),
ROWS(A$2:A5))),"")</f>
        <v>ISN</v>
      </c>
      <c r="AL5" s="115" t="str" cm="1">
        <f t="array" aca="1" ref="AL5" ca="1">IFERROR(INDEX(ISN!$B$3:$B$1000,
SMALL(
IF((ISN!$Q$3:$Q$1000&lt;&gt;"")*(ISN!$Q$3:$Q$1000&lt;&gt;"Not Due"),
ROW(ISN!$Q$3:$Q$1000)-ROW(ISN!$Q$3)+1),
ROWS(A$2:A5))),"")</f>
        <v>T/2026/00370</v>
      </c>
      <c r="AM5" s="116" t="str" cm="1">
        <f t="array" aca="1" ref="AM5" ca="1">IFERROR(INDEX(ISN!$D$3:$D$1000,
SMALL(
IF((ISN!$Q$3:$Q$1000&lt;&gt;"")*(ISN!$Q$3:$Q$1000&lt;&gt;"Not Due"),
ROW(ISN!$Q$3:$Q$1000)-ROW(ISN!$Q$3)+1),
ROWS(A$2:A5))),"")</f>
        <v>MYSTOR</v>
      </c>
      <c r="AN5" s="116"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31-60 Days</v>
      </c>
      <c r="AQ5" s="115">
        <v>4</v>
      </c>
      <c r="AR5" s="124" t="str" cm="1">
        <f t="array" aca="1" ref="AR5" ca="1">IFERROR(INDEX(MSN!$E$3:$E$1000,
SMALL(
IF((MSN!$Q$3:$Q$1000&lt;&gt;"")*(MSN!$Q$3:$Q$1000&lt;&gt;"Not Due"),
ROW(MSN!$Q$3:$Q$1000)-ROW(MSN!$Q$3)+1),
ROWS(A$2:A5))),"")</f>
        <v/>
      </c>
      <c r="AS5" s="115" t="str" cm="1">
        <f t="array" aca="1" ref="AS5" ca="1">IFERROR(INDEX(MSN!$B$3:$B$1000,
SMALL(
IF((MSN!$Q$3:$Q$1000&lt;&gt;"")*(MSN!$Q$3:$Q$1000&lt;&gt;"Not Due"),
ROW(MSN!$Q$3:$Q$1000)-ROW(MSN!$Q$3)+1),
ROWS(A$2:A5))),"")</f>
        <v/>
      </c>
      <c r="AT5" s="115" t="str" cm="1">
        <f t="array" aca="1" ref="AT5" ca="1">IFERROR(INDEX(MSN!$D$3:$D$1000,
SMALL(
IF((MSN!$Q$3:$Q$1000&lt;&gt;"")*(MSN!$Q$3:$Q$1000&lt;&gt;"Not Due"),
ROW(MSN!$Q$3:$Q$1000)-ROW(MSN!$Q$3)+1),
ROWS(A$2:A5))),"")</f>
        <v/>
      </c>
      <c r="AU5" s="116"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5">
        <v>5</v>
      </c>
      <c r="B6" s="118" t="str" cm="1">
        <f t="array" aca="1" ref="B6" ca="1">IFERROR(INDEX(FRIM!$E$3:$E$1000,
SMALL(IF(FRIM!$Q$3:$Q$1000&lt;&gt;"",
ROW(FRIM!$Q$3:$Q$1000)-ROW(FRIM!$Q$3)+1),
ROWS(A$2:A6))),"")</f>
        <v>FRIM</v>
      </c>
      <c r="C6" s="116" t="str" cm="1">
        <f t="array" aca="1" ref="C6" ca="1">IFERROR(INDEX(FRIM!$B$3:$B$1000,
SMALL(IF(FRIM!$Q$3:$Q$1000&lt;&gt;"",
ROW(FRIM!$Q$3:$Q$1000)-ROW(FRIM!$Q$3)+1),
ROWS(A$2:A6))),"")</f>
        <v>T/2026/00078</v>
      </c>
      <c r="D6" s="116" t="str" cm="1">
        <f t="array" aca="1" ref="D6" ca="1">IFERROR(INDEX(FRIM!$D$3:$D$1000,
SMALL(IF(FRIM!$Q$3:$Q$1000&lt;&gt;"",
ROW(FRIM!$Q$3:$Q$1000)-ROW(FRIM!$Q$3)+1),
ROWS(A$2:A6))),"")</f>
        <v>QUERY</v>
      </c>
      <c r="E6" s="116"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8" t="str" cm="1">
        <f t="array" aca="1" ref="F6" ca="1">IFERROR(INDEX(FRIM!$Q$3:$Q$1000,
SMALL(IF(FRIM!$Q$3:$Q$1000&lt;&gt;"",
ROW(FRIM!$Q$3:$Q$1000)-ROW(FRIM!$Q$3)+1),
ROWS(A$2:A6))),"")</f>
        <v>&gt;60 Days</v>
      </c>
      <c r="H6" s="115">
        <v>5</v>
      </c>
      <c r="I6" s="119" t="str" cm="1">
        <f t="array" aca="1" ref="I6" ca="1">IFERROR(INDEX(MTIB!$E$3:$E$1000,
SMALL(
IF((MTIB!$Q$3:$Q$1000&lt;&gt;"")*(MTIB!$Q$3:$Q$1000&lt;&gt;"Not Due"),
ROW(MTIB!$Q$3:$Q$1000)-ROW(MTIB!$Q$3)+1),
ROWS(A$2:A6))),"")</f>
        <v>MTIB</v>
      </c>
      <c r="J6" s="115" t="str" cm="1">
        <f t="array" aca="1" ref="J6" ca="1">IFERROR(INDEX(MTIB!$B$3:$B$1000,
SMALL(
IF((MTIB!$Q$3:$Q$1000&lt;&gt;"")*(MTIB!$Q$3:$Q$1000&lt;&gt;"Not Due"),
ROW(MTIB!$Q$3:$Q$1000)-ROW(MTIB!$Q$3)+1),
ROWS(A$2:A6))),"")</f>
        <v>T/2025/00202</v>
      </c>
      <c r="K6" s="115" t="str" cm="1">
        <f t="array" aca="1" ref="K6" ca="1">IFERROR(INDEX(MTIB!$D$3:$D$1000,
SMALL(
IF((MTIB!$Q$3:$Q$1000&lt;&gt;"")*(MTIB!$Q$3:$Q$1000&lt;&gt;"Not Due"),
ROW(MTIB!$Q$3:$Q$1000)-ROW(MTIB!$Q$3)+1),
ROWS(A$2:A6))),"")</f>
        <v>MYFINANCIAL</v>
      </c>
      <c r="L6" s="116" t="str" cm="1">
        <f t="array" aca="1" ref="L6" ca="1">IFERROR(INDEX(MTIB!$G$3:$G$1000,
SMALL(
IF((MTIB!$Q$3:$Q$1000&lt;&gt;"")*(MTIB!$Q$3:$Q$1000&lt;&gt;"Not Due"),
ROW(MTIB!$Q$3:$Q$1000)-ROW(MTIB!$Q$3)+1),
ROWS(A$2:A6))),"")</f>
        <v>Tidak dapat membuat cetakan terus dari sistem MyFinancial tetapi boleh melalui 'text view'. Namun butiran baucar akan terputus ke baucar seterusnya. Untuk itu setiap baucar perlu diperbetul margin sebelum membuat cetakan. Pengadu: Suhani Hassan</v>
      </c>
      <c r="M6" s="88" t="str" cm="1">
        <f t="array" aca="1" ref="M6" ca="1">IFERROR(INDEX(MTIB!$Q$3:$Q$1000,
SMALL(
IF((MTIB!$Q$3:$Q$1000&lt;&gt;"")*(MTIB!$Q$3:$Q$1000&lt;&gt;"Not Due"),
ROW(MTIB!$Q$3:$Q$1000)-ROW(MTIB!$Q$3)+1),
ROWS(A$2:A6))
),"")</f>
        <v>&gt;60 Days</v>
      </c>
      <c r="O6" s="115">
        <v>5</v>
      </c>
      <c r="P6" s="120" t="str" cm="1">
        <f t="array" aca="1" ref="P6" ca="1">IFERROR(INDEX(MPOB!$E$3:$E$1000,
SMALL(
IF((MPOB!$Q$3:$Q$1000&lt;&gt;"")*(MPOB!$Q$3:$Q$1000&lt;&gt;"Not Due"),
ROW(MPOB!$Q$3:$Q$1000)-ROW(MPOB!$Q$3)+1),
ROWS(A$2:A6))),"")</f>
        <v>MPOB</v>
      </c>
      <c r="Q6" s="115" t="str" cm="1">
        <f t="array" aca="1" ref="Q6" ca="1">IFERROR(INDEX(MPOB!$B$3:$B$1000,
SMALL(
IF((MPOB!$Q$3:$Q$1000&lt;&gt;"")*(MPOB!$Q$3:$Q$1000&lt;&gt;"Not Due"),
ROW(MPOB!$Q$3:$Q$1000)-ROW(MPOB!$Q$3)+1),
ROWS(A$2:A6))),"")</f>
        <v>T/2026/00147</v>
      </c>
      <c r="R6" s="115" t="str" cm="1">
        <f t="array" aca="1" ref="R6" ca="1">IFERROR(INDEX(MPOB!$D$3:$D$1000,
SMALL(
IF((MPOB!$Q$3:$Q$1000&lt;&gt;"")*(MPOB!$Q$3:$Q$1000&lt;&gt;"Not Due"),
ROW(MPOB!$Q$3:$Q$1000)-ROW(MPOB!$Q$3)+1),
ROWS(A$2:A6))),"")</f>
        <v>MyFinancial</v>
      </c>
      <c r="S6" s="116" t="str" cm="1">
        <f t="array" aca="1" ref="S6" ca="1">IFERROR(INDEX(MPOB!$G$3:$G$1000,
SMALL(
IF((MPOB!$Q$3:$Q$1000&lt;&gt;"")*(MPOB!$Q$3:$Q$1000&lt;&gt;"Not Due"),
ROW(MPOB!$Q$3:$Q$1000)-ROW(MPOB!$Q$3)+1),
ROWS(A$2:A6))),"")</f>
        <v>Nama User : Dalillah Date : 20/1/2026 Isu : Sistem error message</v>
      </c>
      <c r="T6" s="88" t="str" cm="1">
        <f t="array" aca="1" ref="T6" ca="1">IFERROR(INDEX(MPOB!$Q$3:$Q$1000,
SMALL(
IF((MPOB!$Q$3:$Q$1000&lt;&gt;"")*(MPOB!$Q$3:$Q$1000&lt;&gt;"Not Due"),
ROW(MPOB!$Q$3:$Q$1000)-ROW(MPOB!$Q$3)+1),
ROWS(A$2:A6))
),"")</f>
        <v>&gt;60 Days</v>
      </c>
      <c r="V6" s="115">
        <v>5</v>
      </c>
      <c r="W6" s="121" t="str" cm="1">
        <f t="array" aca="1" ref="W6" ca="1">IFERROR(INDEX(LKTN!$E$3:$E$1000,
SMALL(
IF((LKTN!$Q$3:$Q$1000&lt;&gt;"")*(LKTN!$Q$3:$Q$1000&lt;&gt;"Not Due"),
ROW(LKTN!$Q$3:$Q$1000)-ROW(LKTN!$Q$3)+1),
ROWS(A$2:A6))),"")</f>
        <v/>
      </c>
      <c r="X6" s="115" t="str" cm="1">
        <f t="array" aca="1" ref="X6" ca="1">IFERROR(INDEX(LKTN!$B$3:$B$1000,
SMALL(
IF((LKTN!$Q$3:$Q$1000&lt;&gt;"")*(LKTN!$Q$3:$Q$1000&lt;&gt;"Not Due"),
ROW(LKTN!$Q$3:$Q$1000)-ROW(LKTN!$Q$3)+1),
ROWS(A$2:A6))),"")</f>
        <v/>
      </c>
      <c r="Y6" s="115" t="str" cm="1">
        <f t="array" aca="1" ref="Y6" ca="1">IFERROR(INDEX(LKTN!$D$3:$D$1000,
SMALL(
IF((LKTN!$Q$3:$Q$1000&lt;&gt;"")*(LKTN!$Q$3:$Q$1000&lt;&gt;"Not Due"),
ROW(LKTN!$Q$3:$Q$1000)-ROW(LKTN!$Q$3)+1),
ROWS(A$2:A6))),"")</f>
        <v/>
      </c>
      <c r="Z6" s="116" t="str" cm="1">
        <f t="array" aca="1" ref="Z6" ca="1">IFERROR(INDEX(LKTN!$G$3:$G$1000,
SMALL(
IF((LKTN!$Q$3:$Q$1000&lt;&gt;"")*(LKTN!$Q$3:$Q$1000&lt;&gt;"Not Due"),
ROW(LKTN!$Q$3:$Q$1000)-ROW(LKTN!$Q$3)+1),
ROWS(A$2:A6))),"")</f>
        <v/>
      </c>
      <c r="AA6" s="64" t="str" cm="1">
        <f t="array" aca="1" ref="AA6" ca="1">IFERROR(INDEX(LKTN!$Q$3:$Q$1000,
SMALL(
IF((LKTN!$Q$3:$Q$1000&lt;&gt;"")*(LKTN!$Q$3:$Q$1000&lt;&gt;"Not Due"),
ROW(LKTN!$Q$3:$Q$1000)-ROW(LKTN!$Q$3)+1),
ROWS(A$2:A6))
),"")</f>
        <v/>
      </c>
      <c r="AC6" s="115">
        <v>5</v>
      </c>
      <c r="AD6" s="122" t="str" cm="1">
        <f t="array" aca="1" ref="AD6" ca="1">IFERROR(INDEX(LAM!$E$3:$E$1000,
SMALL(
IF((LAM!$Q$3:$Q$1000&lt;&gt;"")*(LAM!$Q$3:$Q$1000&lt;&gt;"Not Due"),
ROW(LAM!$Q$3:$Q$1000)-ROW(LAM!$Q$3)+1),
ROWS(A$2:A6))),"")</f>
        <v/>
      </c>
      <c r="AE6" s="115" t="str" cm="1">
        <f t="array" aca="1" ref="AE6" ca="1">IFERROR(INDEX(LAM!$B$3:$B$1000,
SMALL(
IF((LAM!$Q$3:$Q$1000&lt;&gt;"")*(LAM!$Q$3:$Q$1000&lt;&gt;"Not Due"),
ROW(LAM!$Q$3:$Q$1000)-ROW(LAM!$Q$3)+1),
ROWS(A$2:A6))),"")</f>
        <v/>
      </c>
      <c r="AF6" s="115" t="str" cm="1">
        <f t="array" aca="1" ref="AF6" ca="1">IFERROR(INDEX(LAM!$D$3:$D$1000,
SMALL(
IF((LAM!$Q$3:$Q$1000&lt;&gt;"")*(LAM!$Q$3:$Q$1000&lt;&gt;"Not Due"),
ROW(LAM!$Q$3:$Q$1000)-ROW(LAM!$Q$3)+1),
ROWS(A$2:A6))),"")</f>
        <v/>
      </c>
      <c r="AG6" s="116"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5">
        <v>5</v>
      </c>
      <c r="AK6" s="123" t="str" cm="1">
        <f t="array" aca="1" ref="AK6" ca="1">IFERROR(INDEX(ISN!$E$3:$E$1000,
SMALL(
IF((ISN!$Q$3:$Q$1000&lt;&gt;"")*(ISN!$Q$3:$Q$1000&lt;&gt;"Not Due"),
ROW(ISN!$Q$3:$Q$1000)-ROW(ISN!$Q$3)+1),
ROWS(A$2:A6))),"")</f>
        <v>ISN</v>
      </c>
      <c r="AL6" s="115" t="str" cm="1">
        <f t="array" aca="1" ref="AL6" ca="1">IFERROR(INDEX(ISN!$B$3:$B$1000,
SMALL(
IF((ISN!$Q$3:$Q$1000&lt;&gt;"")*(ISN!$Q$3:$Q$1000&lt;&gt;"Not Due"),
ROW(ISN!$Q$3:$Q$1000)-ROW(ISN!$Q$3)+1),
ROWS(A$2:A6))),"")</f>
        <v>T/2026/00428</v>
      </c>
      <c r="AM6" s="116" t="str" cm="1">
        <f t="array" aca="1" ref="AM6" ca="1">IFERROR(INDEX(ISN!$D$3:$D$1000,
SMALL(
IF((ISN!$Q$3:$Q$1000&lt;&gt;"")*(ISN!$Q$3:$Q$1000&lt;&gt;"Not Due"),
ROW(ISN!$Q$3:$Q$1000)-ROW(ISN!$Q$3)+1),
ROWS(A$2:A6))),"")</f>
        <v>MYASSET</v>
      </c>
      <c r="AN6" s="116"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1-30 Days</v>
      </c>
      <c r="AQ6" s="115">
        <v>5</v>
      </c>
      <c r="AR6" s="124" t="str" cm="1">
        <f t="array" aca="1" ref="AR6" ca="1">IFERROR(INDEX(MSN!$E$3:$E$1000,
SMALL(
IF((MSN!$Q$3:$Q$1000&lt;&gt;"")*(MSN!$Q$3:$Q$1000&lt;&gt;"Not Due"),
ROW(MSN!$Q$3:$Q$1000)-ROW(MSN!$Q$3)+1),
ROWS(A$2:A6))),"")</f>
        <v/>
      </c>
      <c r="AS6" s="115" t="str" cm="1">
        <f t="array" aca="1" ref="AS6" ca="1">IFERROR(INDEX(MSN!$B$3:$B$1000,
SMALL(
IF((MSN!$Q$3:$Q$1000&lt;&gt;"")*(MSN!$Q$3:$Q$1000&lt;&gt;"Not Due"),
ROW(MSN!$Q$3:$Q$1000)-ROW(MSN!$Q$3)+1),
ROWS(A$2:A6))),"")</f>
        <v/>
      </c>
      <c r="AT6" s="115" t="str" cm="1">
        <f t="array" aca="1" ref="AT6" ca="1">IFERROR(INDEX(MSN!$D$3:$D$1000,
SMALL(
IF((MSN!$Q$3:$Q$1000&lt;&gt;"")*(MSN!$Q$3:$Q$1000&lt;&gt;"Not Due"),
ROW(MSN!$Q$3:$Q$1000)-ROW(MSN!$Q$3)+1),
ROWS(A$2:A6))),"")</f>
        <v/>
      </c>
      <c r="AU6" s="116"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40.4" x14ac:dyDescent="0.3">
      <c r="A7" s="115">
        <v>6</v>
      </c>
      <c r="B7" s="118" t="str" cm="1">
        <f t="array" aca="1" ref="B7" ca="1">IFERROR(INDEX(FRIM!$E$3:$E$1000,
SMALL(IF(FRIM!$Q$3:$Q$1000&lt;&gt;"",
ROW(FRIM!$Q$3:$Q$1000)-ROW(FRIM!$Q$3)+1),
ROWS(A$2:A7))),"")</f>
        <v>FRIM</v>
      </c>
      <c r="C7" s="116" t="str" cm="1">
        <f t="array" aca="1" ref="C7" ca="1">IFERROR(INDEX(FRIM!$B$3:$B$1000,
SMALL(IF(FRIM!$Q$3:$Q$1000&lt;&gt;"",
ROW(FRIM!$Q$3:$Q$1000)-ROW(FRIM!$Q$3)+1),
ROWS(A$2:A7))),"")</f>
        <v>T/2026/00087</v>
      </c>
      <c r="D7" s="116" t="str" cm="1">
        <f t="array" aca="1" ref="D7" ca="1">IFERROR(INDEX(FRIM!$D$3:$D$1000,
SMALL(IF(FRIM!$Q$3:$Q$1000&lt;&gt;"",
ROW(FRIM!$Q$3:$Q$1000)-ROW(FRIM!$Q$3)+1),
ROWS(A$2:A7))),"")</f>
        <v>MYFINANCIAL CLIENT</v>
      </c>
      <c r="E7" s="116"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8" t="str" cm="1">
        <f t="array" aca="1" ref="F7" ca="1">IFERROR(INDEX(FRIM!$Q$3:$Q$1000,
SMALL(IF(FRIM!$Q$3:$Q$1000&lt;&gt;"",
ROW(FRIM!$Q$3:$Q$1000)-ROW(FRIM!$Q$3)+1),
ROWS(A$2:A7))),"")</f>
        <v>&gt;60 Days</v>
      </c>
      <c r="H7" s="115">
        <v>6</v>
      </c>
      <c r="I7" s="119" t="str" cm="1">
        <f t="array" aca="1" ref="I7" ca="1">IFERROR(INDEX(MTIB!$E$3:$E$1000,
SMALL(
IF((MTIB!$Q$3:$Q$1000&lt;&gt;"")*(MTIB!$Q$3:$Q$1000&lt;&gt;"Not Due"),
ROW(MTIB!$Q$3:$Q$1000)-ROW(MTIB!$Q$3)+1),
ROWS(A$2:A7))),"")</f>
        <v>MTIB</v>
      </c>
      <c r="J7" s="115" t="str" cm="1">
        <f t="array" aca="1" ref="J7" ca="1">IFERROR(INDEX(MTIB!$B$3:$B$1000,
SMALL(
IF((MTIB!$Q$3:$Q$1000&lt;&gt;"")*(MTIB!$Q$3:$Q$1000&lt;&gt;"Not Due"),
ROW(MTIB!$Q$3:$Q$1000)-ROW(MTIB!$Q$3)+1),
ROWS(A$2:A7))),"")</f>
        <v>T/2026/00020</v>
      </c>
      <c r="K7" s="115" t="str" cm="1">
        <f t="array" aca="1" ref="K7" ca="1">IFERROR(INDEX(MTIB!$D$3:$D$1000,
SMALL(
IF((MTIB!$Q$3:$Q$1000&lt;&gt;"")*(MTIB!$Q$3:$Q$1000&lt;&gt;"Not Due"),
ROW(MTIB!$Q$3:$Q$1000)-ROW(MTIB!$Q$3)+1),
ROWS(A$2:A7))),"")</f>
        <v>MYFINANCIAL</v>
      </c>
      <c r="L7" s="116" t="str" cm="1">
        <f t="array" aca="1" ref="L7" ca="1">IFERROR(INDEX(MTIB!$G$3:$G$1000,
SMALL(
IF((MTIB!$Q$3:$Q$1000&lt;&gt;"")*(MTIB!$Q$3:$Q$1000&lt;&gt;"Not Due"),
ROW(MTIB!$Q$3:$Q$1000)-ROW(MTIB!$Q$3)+1),
ROWS(A$2:A7))),"")</f>
        <v>Tidak dapat notifikasi emel bagi MyFinancial</v>
      </c>
      <c r="M7" s="88" t="str" cm="1">
        <f t="array" aca="1" ref="M7" ca="1">IFERROR(INDEX(MTIB!$Q$3:$Q$1000,
SMALL(
IF((MTIB!$Q$3:$Q$1000&lt;&gt;"")*(MTIB!$Q$3:$Q$1000&lt;&gt;"Not Due"),
ROW(MTIB!$Q$3:$Q$1000)-ROW(MTIB!$Q$3)+1),
ROWS(A$2:A7))
),"")</f>
        <v>&gt;60 Days</v>
      </c>
      <c r="O7" s="115">
        <v>6</v>
      </c>
      <c r="P7" s="120" t="str" cm="1">
        <f t="array" aca="1" ref="P7" ca="1">IFERROR(INDEX(MPOB!$E$3:$E$1000,
SMALL(
IF((MPOB!$Q$3:$Q$1000&lt;&gt;"")*(MPOB!$Q$3:$Q$1000&lt;&gt;"Not Due"),
ROW(MPOB!$Q$3:$Q$1000)-ROW(MPOB!$Q$3)+1),
ROWS(A$2:A7))),"")</f>
        <v>MPOB</v>
      </c>
      <c r="Q7" s="115" t="str" cm="1">
        <f t="array" aca="1" ref="Q7" ca="1">IFERROR(INDEX(MPOB!$B$3:$B$1000,
SMALL(
IF((MPOB!$Q$3:$Q$1000&lt;&gt;"")*(MPOB!$Q$3:$Q$1000&lt;&gt;"Not Due"),
ROW(MPOB!$Q$3:$Q$1000)-ROW(MPOB!$Q$3)+1),
ROWS(A$2:A7))),"")</f>
        <v>T/2026/00148</v>
      </c>
      <c r="R7" s="115" t="str" cm="1">
        <f t="array" aca="1" ref="R7" ca="1">IFERROR(INDEX(MPOB!$D$3:$D$1000,
SMALL(
IF((MPOB!$Q$3:$Q$1000&lt;&gt;"")*(MPOB!$Q$3:$Q$1000&lt;&gt;"Not Due"),
ROW(MPOB!$Q$3:$Q$1000)-ROW(MPOB!$Q$3)+1),
ROWS(A$2:A7))),"")</f>
        <v>MyProcurement</v>
      </c>
      <c r="S7" s="116"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8" t="str" cm="1">
        <f t="array" aca="1" ref="T7" ca="1">IFERROR(INDEX(MPOB!$Q$3:$Q$1000,
SMALL(
IF((MPOB!$Q$3:$Q$1000&lt;&gt;"")*(MPOB!$Q$3:$Q$1000&lt;&gt;"Not Due"),
ROW(MPOB!$Q$3:$Q$1000)-ROW(MPOB!$Q$3)+1),
ROWS(A$2:A7))
),"")</f>
        <v>&gt;60 Days</v>
      </c>
      <c r="V7" s="115">
        <v>6</v>
      </c>
      <c r="W7" s="121" t="str" cm="1">
        <f t="array" aca="1" ref="W7" ca="1">IFERROR(INDEX(LKTN!$E$3:$E$1000,
SMALL(
IF((LKTN!$Q$3:$Q$1000&lt;&gt;"")*(LKTN!$Q$3:$Q$1000&lt;&gt;"Not Due"),
ROW(LKTN!$Q$3:$Q$1000)-ROW(LKTN!$Q$3)+1),
ROWS(A$2:A7))),"")</f>
        <v/>
      </c>
      <c r="X7" s="115" t="str" cm="1">
        <f t="array" aca="1" ref="X7" ca="1">IFERROR(INDEX(LKTN!$B$3:$B$1000,
SMALL(
IF((LKTN!$Q$3:$Q$1000&lt;&gt;"")*(LKTN!$Q$3:$Q$1000&lt;&gt;"Not Due"),
ROW(LKTN!$Q$3:$Q$1000)-ROW(LKTN!$Q$3)+1),
ROWS(A$2:A7))),"")</f>
        <v/>
      </c>
      <c r="Y7" s="115" t="str" cm="1">
        <f t="array" aca="1" ref="Y7" ca="1">IFERROR(INDEX(LKTN!$D$3:$D$1000,
SMALL(
IF((LKTN!$Q$3:$Q$1000&lt;&gt;"")*(LKTN!$Q$3:$Q$1000&lt;&gt;"Not Due"),
ROW(LKTN!$Q$3:$Q$1000)-ROW(LKTN!$Q$3)+1),
ROWS(A$2:A7))),"")</f>
        <v/>
      </c>
      <c r="Z7" s="116" t="str" cm="1">
        <f t="array" aca="1" ref="Z7" ca="1">IFERROR(INDEX(LKTN!$G$3:$G$1000,
SMALL(
IF((LKTN!$Q$3:$Q$1000&lt;&gt;"")*(LKTN!$Q$3:$Q$1000&lt;&gt;"Not Due"),
ROW(LKTN!$Q$3:$Q$1000)-ROW(LKTN!$Q$3)+1),
ROWS(A$2:A7))),"")</f>
        <v/>
      </c>
      <c r="AA7" s="64" t="str" cm="1">
        <f t="array" aca="1" ref="AA7" ca="1">IFERROR(INDEX(LKTN!$Q$3:$Q$1000,
SMALL(
IF((LKTN!$Q$3:$Q$1000&lt;&gt;"")*(LKTN!$Q$3:$Q$1000&lt;&gt;"Not Due"),
ROW(LKTN!$Q$3:$Q$1000)-ROW(LKTN!$Q$3)+1),
ROWS(A$2:A7))
),"")</f>
        <v/>
      </c>
      <c r="AC7" s="115">
        <v>6</v>
      </c>
      <c r="AD7" s="122" t="str" cm="1">
        <f t="array" aca="1" ref="AD7" ca="1">IFERROR(INDEX(LAM!$E$3:$E$1000,
SMALL(
IF((LAM!$Q$3:$Q$1000&lt;&gt;"")*(LAM!$Q$3:$Q$1000&lt;&gt;"Not Due"),
ROW(LAM!$Q$3:$Q$1000)-ROW(LAM!$Q$3)+1),
ROWS(A$2:A7))),"")</f>
        <v/>
      </c>
      <c r="AE7" s="115" t="str" cm="1">
        <f t="array" aca="1" ref="AE7" ca="1">IFERROR(INDEX(LAM!$B$3:$B$1000,
SMALL(
IF((LAM!$Q$3:$Q$1000&lt;&gt;"")*(LAM!$Q$3:$Q$1000&lt;&gt;"Not Due"),
ROW(LAM!$Q$3:$Q$1000)-ROW(LAM!$Q$3)+1),
ROWS(A$2:A7))),"")</f>
        <v/>
      </c>
      <c r="AF7" s="115" t="str" cm="1">
        <f t="array" aca="1" ref="AF7" ca="1">IFERROR(INDEX(LAM!$D$3:$D$1000,
SMALL(
IF((LAM!$Q$3:$Q$1000&lt;&gt;"")*(LAM!$Q$3:$Q$1000&lt;&gt;"Not Due"),
ROW(LAM!$Q$3:$Q$1000)-ROW(LAM!$Q$3)+1),
ROWS(A$2:A7))),"")</f>
        <v/>
      </c>
      <c r="AG7" s="116"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5">
        <v>6</v>
      </c>
      <c r="AK7" s="123" t="str" cm="1">
        <f t="array" aca="1" ref="AK7" ca="1">IFERROR(INDEX(ISN!$E$3:$E$1000,
SMALL(
IF((ISN!$Q$3:$Q$1000&lt;&gt;"")*(ISN!$Q$3:$Q$1000&lt;&gt;"Not Due"),
ROW(ISN!$Q$3:$Q$1000)-ROW(ISN!$Q$3)+1),
ROWS(A$2:A7))),"")</f>
        <v>ISN</v>
      </c>
      <c r="AL7" s="115" t="str" cm="1">
        <f t="array" aca="1" ref="AL7" ca="1">IFERROR(INDEX(ISN!$B$3:$B$1000,
SMALL(
IF((ISN!$Q$3:$Q$1000&lt;&gt;"")*(ISN!$Q$3:$Q$1000&lt;&gt;"Not Due"),
ROW(ISN!$Q$3:$Q$1000)-ROW(ISN!$Q$3)+1),
ROWS(A$2:A7))),"")</f>
        <v>T/2026/00432</v>
      </c>
      <c r="AM7" s="116" t="str" cm="1">
        <f t="array" aca="1" ref="AM7" ca="1">IFERROR(INDEX(ISN!$D$3:$D$1000,
SMALL(
IF((ISN!$Q$3:$Q$1000&lt;&gt;"")*(ISN!$Q$3:$Q$1000&lt;&gt;"Not Due"),
ROW(ISN!$Q$3:$Q$1000)-ROW(ISN!$Q$3)+1),
ROWS(A$2:A7))),"")</f>
        <v>MYSTOR</v>
      </c>
      <c r="AN7" s="116" t="str" cm="1">
        <f t="array" aca="1" ref="AN7" ca="1">IFERROR(INDEX(ISN!$G$3:$G$1000,
SMALL(
IF((ISN!$Q$3:$Q$1000&lt;&gt;"")*(ISN!$Q$3:$Q$1000&lt;&gt;"Not Due"),
ROW(ISN!$Q$3:$Q$1000)-ROW(ISN!$Q$3)+1),
ROWS(A$2:A7))),"")</f>
        <v>KEMASKINI BAKI KEW-PS 3 BAGI TAHUN 2026 UNTUK 155 ITEM YANG TERLIBAT SEPERTI DIBINCANGKAN ANTARA EN. MUHAIMIN DAN EN.NIK TERIMA KASIH. -MUHAIMIN (ISN)</v>
      </c>
      <c r="AO7" s="64" t="str" cm="1">
        <f t="array" aca="1" ref="AO7" ca="1">IFERROR(INDEX(ISN!$Q$3:$Q$1000,
SMALL(
IF((ISN!$Q$3:$Q$1000&lt;&gt;"")*(ISN!$Q$3:$Q$1000&lt;&gt;"Not Due"),
ROW(ISN!$Q$3:$Q$1000)-ROW(ISN!$Q$3)+1),
ROWS(A$2:A7))
),"")</f>
        <v>1-30 Days</v>
      </c>
      <c r="AQ7" s="115">
        <v>6</v>
      </c>
      <c r="AR7" s="124" t="str" cm="1">
        <f t="array" aca="1" ref="AR7" ca="1">IFERROR(INDEX(MSN!$E$3:$E$1000,
SMALL(
IF((MSN!$Q$3:$Q$1000&lt;&gt;"")*(MSN!$Q$3:$Q$1000&lt;&gt;"Not Due"),
ROW(MSN!$Q$3:$Q$1000)-ROW(MSN!$Q$3)+1),
ROWS(A$2:A7))),"")</f>
        <v/>
      </c>
      <c r="AS7" s="115" t="str" cm="1">
        <f t="array" aca="1" ref="AS7" ca="1">IFERROR(INDEX(MSN!$B$3:$B$1000,
SMALL(
IF((MSN!$Q$3:$Q$1000&lt;&gt;"")*(MSN!$Q$3:$Q$1000&lt;&gt;"Not Due"),
ROW(MSN!$Q$3:$Q$1000)-ROW(MSN!$Q$3)+1),
ROWS(A$2:A7))),"")</f>
        <v/>
      </c>
      <c r="AT7" s="115" t="str" cm="1">
        <f t="array" aca="1" ref="AT7" ca="1">IFERROR(INDEX(MSN!$D$3:$D$1000,
SMALL(
IF((MSN!$Q$3:$Q$1000&lt;&gt;"")*(MSN!$Q$3:$Q$1000&lt;&gt;"Not Due"),
ROW(MSN!$Q$3:$Q$1000)-ROW(MSN!$Q$3)+1),
ROWS(A$2:A7))),"")</f>
        <v/>
      </c>
      <c r="AU7" s="116"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71.6" x14ac:dyDescent="0.3">
      <c r="A8" s="115">
        <v>7</v>
      </c>
      <c r="B8" s="118" t="str" cm="1">
        <f t="array" aca="1" ref="B8" ca="1">IFERROR(INDEX(FRIM!$E$3:$E$1000,
SMALL(IF(FRIM!$Q$3:$Q$1000&lt;&gt;"",
ROW(FRIM!$Q$3:$Q$1000)-ROW(FRIM!$Q$3)+1),
ROWS(A$2:A8))),"")</f>
        <v>FRIM</v>
      </c>
      <c r="C8" s="116" t="str" cm="1">
        <f t="array" aca="1" ref="C8" ca="1">IFERROR(INDEX(FRIM!$B$3:$B$1000,
SMALL(IF(FRIM!$Q$3:$Q$1000&lt;&gt;"",
ROW(FRIM!$Q$3:$Q$1000)-ROW(FRIM!$Q$3)+1),
ROWS(A$2:A8))),"")</f>
        <v>T/2026/00093</v>
      </c>
      <c r="D8" s="116" t="str" cm="1">
        <f t="array" aca="1" ref="D8" ca="1">IFERROR(INDEX(FRIM!$D$3:$D$1000,
SMALL(IF(FRIM!$Q$3:$Q$1000&lt;&gt;"",
ROW(FRIM!$Q$3:$Q$1000)-ROW(FRIM!$Q$3)+1),
ROWS(A$2:A8))),"")</f>
        <v>MYFINANCIAL CLIENT</v>
      </c>
      <c r="E8" s="116"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8" t="str" cm="1">
        <f t="array" aca="1" ref="F8" ca="1">IFERROR(INDEX(FRIM!$Q$3:$Q$1000,
SMALL(IF(FRIM!$Q$3:$Q$1000&lt;&gt;"",
ROW(FRIM!$Q$3:$Q$1000)-ROW(FRIM!$Q$3)+1),
ROWS(A$2:A8))),"")</f>
        <v>&gt;60 Days</v>
      </c>
      <c r="H8" s="115">
        <v>7</v>
      </c>
      <c r="I8" s="119" t="str" cm="1">
        <f t="array" aca="1" ref="I8" ca="1">IFERROR(INDEX(MTIB!$E$3:$E$1000,
SMALL(
IF((MTIB!$Q$3:$Q$1000&lt;&gt;"")*(MTIB!$Q$3:$Q$1000&lt;&gt;"Not Due"),
ROW(MTIB!$Q$3:$Q$1000)-ROW(MTIB!$Q$3)+1),
ROWS(A$2:A8))),"")</f>
        <v>MTIB</v>
      </c>
      <c r="J8" s="115" t="str" cm="1">
        <f t="array" aca="1" ref="J8" ca="1">IFERROR(INDEX(MTIB!$B$3:$B$1000,
SMALL(
IF((MTIB!$Q$3:$Q$1000&lt;&gt;"")*(MTIB!$Q$3:$Q$1000&lt;&gt;"Not Due"),
ROW(MTIB!$Q$3:$Q$1000)-ROW(MTIB!$Q$3)+1),
ROWS(A$2:A8))),"")</f>
        <v>T/2026/00094</v>
      </c>
      <c r="K8" s="115" t="str" cm="1">
        <f t="array" aca="1" ref="K8" ca="1">IFERROR(INDEX(MTIB!$D$3:$D$1000,
SMALL(
IF((MTIB!$Q$3:$Q$1000&lt;&gt;"")*(MTIB!$Q$3:$Q$1000&lt;&gt;"Not Due"),
ROW(MTIB!$Q$3:$Q$1000)-ROW(MTIB!$Q$3)+1),
ROWS(A$2:A8))),"")</f>
        <v>MYFINANCIAL</v>
      </c>
      <c r="L8" s="116" t="str" cm="1">
        <f t="array" aca="1" ref="L8" ca="1">IFERROR(INDEX(MTIB!$G$3:$G$1000,
SMALL(
IF((MTIB!$Q$3:$Q$1000&lt;&gt;"")*(MTIB!$Q$3:$Q$1000&lt;&gt;"Not Due"),
ROW(MTIB!$Q$3:$Q$1000)-ROW(MTIB!$Q$3)+1),
ROWS(A$2:A8))),"")</f>
        <v>1. Jumlah tidak sama pada laporan KIRA-KIRA KENA BAYAR (TELAH POS) 2. Invois/ daftar bil menjadi double Pengadu: Siti Zahrah Senin</v>
      </c>
      <c r="M8" s="88" t="str" cm="1">
        <f t="array" aca="1" ref="M8" ca="1">IFERROR(INDEX(MTIB!$Q$3:$Q$1000,
SMALL(
IF((MTIB!$Q$3:$Q$1000&lt;&gt;"")*(MTIB!$Q$3:$Q$1000&lt;&gt;"Not Due"),
ROW(MTIB!$Q$3:$Q$1000)-ROW(MTIB!$Q$3)+1),
ROWS(A$2:A8))
),"")</f>
        <v>&gt;60 Days</v>
      </c>
      <c r="O8" s="115">
        <v>7</v>
      </c>
      <c r="P8" s="120" t="str" cm="1">
        <f t="array" aca="1" ref="P8" ca="1">IFERROR(INDEX(MPOB!$E$3:$E$1000,
SMALL(
IF((MPOB!$Q$3:$Q$1000&lt;&gt;"")*(MPOB!$Q$3:$Q$1000&lt;&gt;"Not Due"),
ROW(MPOB!$Q$3:$Q$1000)-ROW(MPOB!$Q$3)+1),
ROWS(A$2:A8))),"")</f>
        <v>MPOB</v>
      </c>
      <c r="Q8" s="115" t="str" cm="1">
        <f t="array" aca="1" ref="Q8" ca="1">IFERROR(INDEX(MPOB!$B$3:$B$1000,
SMALL(
IF((MPOB!$Q$3:$Q$1000&lt;&gt;"")*(MPOB!$Q$3:$Q$1000&lt;&gt;"Not Due"),
ROW(MPOB!$Q$3:$Q$1000)-ROW(MPOB!$Q$3)+1),
ROWS(A$2:A8))),"")</f>
        <v>T/2026/00150</v>
      </c>
      <c r="R8" s="115" t="str" cm="1">
        <f t="array" aca="1" ref="R8" ca="1">IFERROR(INDEX(MPOB!$D$3:$D$1000,
SMALL(
IF((MPOB!$Q$3:$Q$1000&lt;&gt;"")*(MPOB!$Q$3:$Q$1000&lt;&gt;"Not Due"),
ROW(MPOB!$Q$3:$Q$1000)-ROW(MPOB!$Q$3)+1),
ROWS(A$2:A8))),"")</f>
        <v>MyFinancial</v>
      </c>
      <c r="S8" s="116" t="str" cm="1">
        <f t="array" aca="1" ref="S8" ca="1">IFERROR(INDEX(MPOB!$G$3:$G$1000,
SMALL(
IF((MPOB!$Q$3:$Q$1000&lt;&gt;"")*(MPOB!$Q$3:$Q$1000&lt;&gt;"Not Due"),
ROW(MPOB!$Q$3:$Q$1000)-ROW(MPOB!$Q$3)+1),
ROWS(A$2:A8))),"")</f>
        <v>Nama User : Norlizah Date : 21/1/2026 Isu : saya masih tak boleh sahkan ni👆 yg ni pun tak boleh nk sahkan</v>
      </c>
      <c r="T8" s="88" t="str" cm="1">
        <f t="array" aca="1" ref="T8" ca="1">IFERROR(INDEX(MPOB!$Q$3:$Q$1000,
SMALL(
IF((MPOB!$Q$3:$Q$1000&lt;&gt;"")*(MPOB!$Q$3:$Q$1000&lt;&gt;"Not Due"),
ROW(MPOB!$Q$3:$Q$1000)-ROW(MPOB!$Q$3)+1),
ROWS(A$2:A8))
),"")</f>
        <v>&gt;60 Days</v>
      </c>
      <c r="V8" s="115">
        <v>7</v>
      </c>
      <c r="W8" s="121" t="str" cm="1">
        <f t="array" aca="1" ref="W8" ca="1">IFERROR(INDEX(LKTN!$E$3:$E$1000,
SMALL(
IF((LKTN!$Q$3:$Q$1000&lt;&gt;"")*(LKTN!$Q$3:$Q$1000&lt;&gt;"Not Due"),
ROW(LKTN!$Q$3:$Q$1000)-ROW(LKTN!$Q$3)+1),
ROWS(A$2:A8))),"")</f>
        <v/>
      </c>
      <c r="X8" s="115" t="str" cm="1">
        <f t="array" aca="1" ref="X8" ca="1">IFERROR(INDEX(LKTN!$B$3:$B$1000,
SMALL(
IF((LKTN!$Q$3:$Q$1000&lt;&gt;"")*(LKTN!$Q$3:$Q$1000&lt;&gt;"Not Due"),
ROW(LKTN!$Q$3:$Q$1000)-ROW(LKTN!$Q$3)+1),
ROWS(A$2:A8))),"")</f>
        <v/>
      </c>
      <c r="Y8" s="115" t="str" cm="1">
        <f t="array" aca="1" ref="Y8" ca="1">IFERROR(INDEX(LKTN!$D$3:$D$1000,
SMALL(
IF((LKTN!$Q$3:$Q$1000&lt;&gt;"")*(LKTN!$Q$3:$Q$1000&lt;&gt;"Not Due"),
ROW(LKTN!$Q$3:$Q$1000)-ROW(LKTN!$Q$3)+1),
ROWS(A$2:A8))),"")</f>
        <v/>
      </c>
      <c r="Z8" s="116" t="str" cm="1">
        <f t="array" aca="1" ref="Z8" ca="1">IFERROR(INDEX(LKTN!$G$3:$G$1000,
SMALL(
IF((LKTN!$Q$3:$Q$1000&lt;&gt;"")*(LKTN!$Q$3:$Q$1000&lt;&gt;"Not Due"),
ROW(LKTN!$Q$3:$Q$1000)-ROW(LKTN!$Q$3)+1),
ROWS(A$2:A8))),"")</f>
        <v/>
      </c>
      <c r="AA8" s="64" t="str" cm="1">
        <f t="array" aca="1" ref="AA8" ca="1">IFERROR(INDEX(LKTN!$Q$3:$Q$1000,
SMALL(
IF((LKTN!$Q$3:$Q$1000&lt;&gt;"")*(LKTN!$Q$3:$Q$1000&lt;&gt;"Not Due"),
ROW(LKTN!$Q$3:$Q$1000)-ROW(LKTN!$Q$3)+1),
ROWS(A$2:A8))
),"")</f>
        <v/>
      </c>
      <c r="AC8" s="115">
        <v>7</v>
      </c>
      <c r="AD8" s="122" t="str" cm="1">
        <f t="array" aca="1" ref="AD8" ca="1">IFERROR(INDEX(LAM!$E$3:$E$1000,
SMALL(
IF((LAM!$Q$3:$Q$1000&lt;&gt;"")*(LAM!$Q$3:$Q$1000&lt;&gt;"Not Due"),
ROW(LAM!$Q$3:$Q$1000)-ROW(LAM!$Q$3)+1),
ROWS(A$2:A8))),"")</f>
        <v/>
      </c>
      <c r="AE8" s="115" t="str" cm="1">
        <f t="array" aca="1" ref="AE8" ca="1">IFERROR(INDEX(LAM!$B$3:$B$1000,
SMALL(
IF((LAM!$Q$3:$Q$1000&lt;&gt;"")*(LAM!$Q$3:$Q$1000&lt;&gt;"Not Due"),
ROW(LAM!$Q$3:$Q$1000)-ROW(LAM!$Q$3)+1),
ROWS(A$2:A8))),"")</f>
        <v/>
      </c>
      <c r="AF8" s="115" t="str" cm="1">
        <f t="array" aca="1" ref="AF8" ca="1">IFERROR(INDEX(LAM!$D$3:$D$1000,
SMALL(
IF((LAM!$Q$3:$Q$1000&lt;&gt;"")*(LAM!$Q$3:$Q$1000&lt;&gt;"Not Due"),
ROW(LAM!$Q$3:$Q$1000)-ROW(LAM!$Q$3)+1),
ROWS(A$2:A8))),"")</f>
        <v/>
      </c>
      <c r="AG8" s="116"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5">
        <v>7</v>
      </c>
      <c r="AK8" s="123" t="str" cm="1">
        <f t="array" aca="1" ref="AK8" ca="1">IFERROR(INDEX(ISN!$E$3:$E$1000,
SMALL(
IF((ISN!$Q$3:$Q$1000&lt;&gt;"")*(ISN!$Q$3:$Q$1000&lt;&gt;"Not Due"),
ROW(ISN!$Q$3:$Q$1000)-ROW(ISN!$Q$3)+1),
ROWS(A$2:A8))),"")</f>
        <v>ISN</v>
      </c>
      <c r="AL8" s="115" t="str" cm="1">
        <f t="array" aca="1" ref="AL8" ca="1">IFERROR(INDEX(ISN!$B$3:$B$1000,
SMALL(
IF((ISN!$Q$3:$Q$1000&lt;&gt;"")*(ISN!$Q$3:$Q$1000&lt;&gt;"Not Due"),
ROW(ISN!$Q$3:$Q$1000)-ROW(ISN!$Q$3)+1),
ROWS(A$2:A8))),"")</f>
        <v>T/2026/00453</v>
      </c>
      <c r="AM8" s="116" t="str" cm="1">
        <f t="array" aca="1" ref="AM8" ca="1">IFERROR(INDEX(ISN!$D$3:$D$1000,
SMALL(
IF((ISN!$Q$3:$Q$1000&lt;&gt;"")*(ISN!$Q$3:$Q$1000&lt;&gt;"Not Due"),
ROW(ISN!$Q$3:$Q$1000)-ROW(ISN!$Q$3)+1),
ROWS(A$2:A8))),"")</f>
        <v>MYASSET</v>
      </c>
      <c r="AN8" s="116" t="str" cm="1">
        <f t="array" aca="1" ref="AN8" ca="1">IFERROR(INDEX(ISN!$G$3:$G$1000,
SMALL(
IF((ISN!$Q$3:$Q$1000&lt;&gt;"")*(ISN!$Q$3:$Q$1000&lt;&gt;"Not Due"),
ROW(ISN!$Q$3:$Q$1000)-ROW(ISN!$Q$3)+1),
ROWS(A$2:A8))),"")</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8" s="64" t="str" cm="1">
        <f t="array" aca="1" ref="AO8" ca="1">IFERROR(INDEX(ISN!$Q$3:$Q$1000,
SMALL(
IF((ISN!$Q$3:$Q$1000&lt;&gt;"")*(ISN!$Q$3:$Q$1000&lt;&gt;"Not Due"),
ROW(ISN!$Q$3:$Q$1000)-ROW(ISN!$Q$3)+1),
ROWS(A$2:A8))
),"")</f>
        <v>1-30 Days</v>
      </c>
      <c r="AQ8" s="115">
        <v>7</v>
      </c>
      <c r="AR8" s="124" t="str" cm="1">
        <f t="array" aca="1" ref="AR8" ca="1">IFERROR(INDEX(MSN!$E$3:$E$1000,
SMALL(
IF((MSN!$Q$3:$Q$1000&lt;&gt;"")*(MSN!$Q$3:$Q$1000&lt;&gt;"Not Due"),
ROW(MSN!$Q$3:$Q$1000)-ROW(MSN!$Q$3)+1),
ROWS(A$2:A8))),"")</f>
        <v/>
      </c>
      <c r="AS8" s="115" t="str" cm="1">
        <f t="array" aca="1" ref="AS8" ca="1">IFERROR(INDEX(MSN!$B$3:$B$1000,
SMALL(
IF((MSN!$Q$3:$Q$1000&lt;&gt;"")*(MSN!$Q$3:$Q$1000&lt;&gt;"Not Due"),
ROW(MSN!$Q$3:$Q$1000)-ROW(MSN!$Q$3)+1),
ROWS(A$2:A8))),"")</f>
        <v/>
      </c>
      <c r="AT8" s="115" t="str" cm="1">
        <f t="array" aca="1" ref="AT8" ca="1">IFERROR(INDEX(MSN!$D$3:$D$1000,
SMALL(
IF((MSN!$Q$3:$Q$1000&lt;&gt;"")*(MSN!$Q$3:$Q$1000&lt;&gt;"Not Due"),
ROW(MSN!$Q$3:$Q$1000)-ROW(MSN!$Q$3)+1),
ROWS(A$2:A8))),"")</f>
        <v/>
      </c>
      <c r="AU8" s="116"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109.2" x14ac:dyDescent="0.3">
      <c r="A9" s="115">
        <v>8</v>
      </c>
      <c r="B9" s="118" t="str" cm="1">
        <f t="array" aca="1" ref="B9" ca="1">IFERROR(INDEX(FRIM!$E$3:$E$1000,
SMALL(IF(FRIM!$Q$3:$Q$1000&lt;&gt;"",
ROW(FRIM!$Q$3:$Q$1000)-ROW(FRIM!$Q$3)+1),
ROWS(A$2:A9))),"")</f>
        <v>FRIM</v>
      </c>
      <c r="C9" s="116" t="str" cm="1">
        <f t="array" aca="1" ref="C9" ca="1">IFERROR(INDEX(FRIM!$B$3:$B$1000,
SMALL(IF(FRIM!$Q$3:$Q$1000&lt;&gt;"",
ROW(FRIM!$Q$3:$Q$1000)-ROW(FRIM!$Q$3)+1),
ROWS(A$2:A9))),"")</f>
        <v>T/2026/00095</v>
      </c>
      <c r="D9" s="116" t="str" cm="1">
        <f t="array" aca="1" ref="D9" ca="1">IFERROR(INDEX(FRIM!$D$3:$D$1000,
SMALL(IF(FRIM!$Q$3:$Q$1000&lt;&gt;"",
ROW(FRIM!$Q$3:$Q$1000)-ROW(FRIM!$Q$3)+1),
ROWS(A$2:A9))),"")</f>
        <v>URUSNIAGA PPS</v>
      </c>
      <c r="E9" s="116"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8" t="str" cm="1">
        <f t="array" aca="1" ref="F9" ca="1">IFERROR(INDEX(FRIM!$Q$3:$Q$1000,
SMALL(IF(FRIM!$Q$3:$Q$1000&lt;&gt;"",
ROW(FRIM!$Q$3:$Q$1000)-ROW(FRIM!$Q$3)+1),
ROWS(A$2:A9))),"")</f>
        <v>&gt;60 Days</v>
      </c>
      <c r="H9" s="115">
        <v>8</v>
      </c>
      <c r="I9" s="119" t="str" cm="1">
        <f t="array" aca="1" ref="I9" ca="1">IFERROR(INDEX(MTIB!$E$3:$E$1000,
SMALL(
IF((MTIB!$Q$3:$Q$1000&lt;&gt;"")*(MTIB!$Q$3:$Q$1000&lt;&gt;"Not Due"),
ROW(MTIB!$Q$3:$Q$1000)-ROW(MTIB!$Q$3)+1),
ROWS(A$2:A9))),"")</f>
        <v>MTIB</v>
      </c>
      <c r="J9" s="115" t="str" cm="1">
        <f t="array" aca="1" ref="J9" ca="1">IFERROR(INDEX(MTIB!$B$3:$B$1000,
SMALL(
IF((MTIB!$Q$3:$Q$1000&lt;&gt;"")*(MTIB!$Q$3:$Q$1000&lt;&gt;"Not Due"),
ROW(MTIB!$Q$3:$Q$1000)-ROW(MTIB!$Q$3)+1),
ROWS(A$2:A9))),"")</f>
        <v>T/2026/00298</v>
      </c>
      <c r="K9" s="115" t="str" cm="1">
        <f t="array" aca="1" ref="K9" ca="1">IFERROR(INDEX(MTIB!$D$3:$D$1000,
SMALL(
IF((MTIB!$Q$3:$Q$1000&lt;&gt;"")*(MTIB!$Q$3:$Q$1000&lt;&gt;"Not Due"),
ROW(MTIB!$Q$3:$Q$1000)-ROW(MTIB!$Q$3)+1),
ROWS(A$2:A9))),"")</f>
        <v>MYFINANCIAL</v>
      </c>
      <c r="L9" s="116" t="str" cm="1">
        <f t="array" aca="1" ref="L9" ca="1">IFERROR(INDEX(MTIB!$G$3:$G$1000,
SMALL(
IF((MTIB!$Q$3:$Q$1000&lt;&gt;"")*(MTIB!$Q$3:$Q$1000&lt;&gt;"Not Due"),
ROW(MTIB!$Q$3:$Q$1000)-ROW(MTIB!$Q$3)+1),
ROWS(A$2:A9))),"")</f>
        <v>Masukkan nombor akaun Maybank:514404801787 di ruangan nombor akaun dalam Invoice. Pengadu: Marliani</v>
      </c>
      <c r="M9" s="88" t="str" cm="1">
        <f t="array" aca="1" ref="M9" ca="1">IFERROR(INDEX(MTIB!$Q$3:$Q$1000,
SMALL(
IF((MTIB!$Q$3:$Q$1000&lt;&gt;"")*(MTIB!$Q$3:$Q$1000&lt;&gt;"Not Due"),
ROW(MTIB!$Q$3:$Q$1000)-ROW(MTIB!$Q$3)+1),
ROWS(A$2:A9))
),"")</f>
        <v>31-60 Days</v>
      </c>
      <c r="O9" s="115">
        <v>8</v>
      </c>
      <c r="P9" s="120" t="str" cm="1">
        <f t="array" aca="1" ref="P9" ca="1">IFERROR(INDEX(MPOB!$E$3:$E$1000,
SMALL(
IF((MPOB!$Q$3:$Q$1000&lt;&gt;"")*(MPOB!$Q$3:$Q$1000&lt;&gt;"Not Due"),
ROW(MPOB!$Q$3:$Q$1000)-ROW(MPOB!$Q$3)+1),
ROWS(A$2:A9))),"")</f>
        <v>MPOB</v>
      </c>
      <c r="Q9" s="115" t="str" cm="1">
        <f t="array" aca="1" ref="Q9" ca="1">IFERROR(INDEX(MPOB!$B$3:$B$1000,
SMALL(
IF((MPOB!$Q$3:$Q$1000&lt;&gt;"")*(MPOB!$Q$3:$Q$1000&lt;&gt;"Not Due"),
ROW(MPOB!$Q$3:$Q$1000)-ROW(MPOB!$Q$3)+1),
ROWS(A$2:A9))),"")</f>
        <v>T/2026/00151</v>
      </c>
      <c r="R9" s="115" t="str" cm="1">
        <f t="array" aca="1" ref="R9" ca="1">IFERROR(INDEX(MPOB!$D$3:$D$1000,
SMALL(
IF((MPOB!$Q$3:$Q$1000&lt;&gt;"")*(MPOB!$Q$3:$Q$1000&lt;&gt;"Not Due"),
ROW(MPOB!$Q$3:$Q$1000)-ROW(MPOB!$Q$3)+1),
ROWS(A$2:A9))),"")</f>
        <v>MyProcurement</v>
      </c>
      <c r="S9" s="116" t="str" cm="1">
        <f t="array" aca="1" ref="S9" ca="1">IFERROR(INDEX(MPOB!$G$3:$G$1000,
SMALL(
IF((MPOB!$Q$3:$Q$1000&lt;&gt;"")*(MPOB!$Q$3:$Q$1000&lt;&gt;"Not Due"),
ROW(MPOB!$Q$3:$Q$1000)-ROW(MPOB!$Q$3)+1),
ROWS(A$2:A9))),"")</f>
        <v>Nama User : Hazirah Hasnudin Date : 22/1/2026 Isu : Sy nak tny berkenaan myprocurement. Sy buat perolehan menggunakan kod P60SOIL01B1435701, tp utk urusan pendaftaran aset dlm myaset kod ni tiada. Kod ni tiada dlm list diatas</v>
      </c>
      <c r="T9" s="88" t="str" cm="1">
        <f t="array" aca="1" ref="T9" ca="1">IFERROR(INDEX(MPOB!$Q$3:$Q$1000,
SMALL(
IF((MPOB!$Q$3:$Q$1000&lt;&gt;"")*(MPOB!$Q$3:$Q$1000&lt;&gt;"Not Due"),
ROW(MPOB!$Q$3:$Q$1000)-ROW(MPOB!$Q$3)+1),
ROWS(A$2:A9))
),"")</f>
        <v>&gt;60 Days</v>
      </c>
      <c r="V9" s="115">
        <v>8</v>
      </c>
      <c r="W9" s="121" t="str" cm="1">
        <f t="array" aca="1" ref="W9" ca="1">IFERROR(INDEX(LKTN!$E$3:$E$1000,
SMALL(
IF((LKTN!$Q$3:$Q$1000&lt;&gt;"")*(LKTN!$Q$3:$Q$1000&lt;&gt;"Not Due"),
ROW(LKTN!$Q$3:$Q$1000)-ROW(LKTN!$Q$3)+1),
ROWS(A$2:A9))),"")</f>
        <v/>
      </c>
      <c r="X9" s="115" t="str" cm="1">
        <f t="array" aca="1" ref="X9" ca="1">IFERROR(INDEX(LKTN!$B$3:$B$1000,
SMALL(
IF((LKTN!$Q$3:$Q$1000&lt;&gt;"")*(LKTN!$Q$3:$Q$1000&lt;&gt;"Not Due"),
ROW(LKTN!$Q$3:$Q$1000)-ROW(LKTN!$Q$3)+1),
ROWS(A$2:A9))),"")</f>
        <v/>
      </c>
      <c r="Y9" s="115" t="str" cm="1">
        <f t="array" aca="1" ref="Y9" ca="1">IFERROR(INDEX(LKTN!$D$3:$D$1000,
SMALL(
IF((LKTN!$Q$3:$Q$1000&lt;&gt;"")*(LKTN!$Q$3:$Q$1000&lt;&gt;"Not Due"),
ROW(LKTN!$Q$3:$Q$1000)-ROW(LKTN!$Q$3)+1),
ROWS(A$2:A9))),"")</f>
        <v/>
      </c>
      <c r="Z9" s="116" t="str" cm="1">
        <f t="array" aca="1" ref="Z9" ca="1">IFERROR(INDEX(LKTN!$G$3:$G$1000,
SMALL(
IF((LKTN!$Q$3:$Q$1000&lt;&gt;"")*(LKTN!$Q$3:$Q$1000&lt;&gt;"Not Due"),
ROW(LKTN!$Q$3:$Q$1000)-ROW(LKTN!$Q$3)+1),
ROWS(A$2:A9))),"")</f>
        <v/>
      </c>
      <c r="AA9" s="64" t="str" cm="1">
        <f t="array" aca="1" ref="AA9" ca="1">IFERROR(INDEX(LKTN!$Q$3:$Q$1000,
SMALL(
IF((LKTN!$Q$3:$Q$1000&lt;&gt;"")*(LKTN!$Q$3:$Q$1000&lt;&gt;"Not Due"),
ROW(LKTN!$Q$3:$Q$1000)-ROW(LKTN!$Q$3)+1),
ROWS(A$2:A9))
),"")</f>
        <v/>
      </c>
      <c r="AC9" s="115">
        <v>8</v>
      </c>
      <c r="AD9" s="122" t="str" cm="1">
        <f t="array" aca="1" ref="AD9" ca="1">IFERROR(INDEX(LAM!$E$3:$E$1000,
SMALL(
IF((LAM!$Q$3:$Q$1000&lt;&gt;"")*(LAM!$Q$3:$Q$1000&lt;&gt;"Not Due"),
ROW(LAM!$Q$3:$Q$1000)-ROW(LAM!$Q$3)+1),
ROWS(A$2:A9))),"")</f>
        <v/>
      </c>
      <c r="AE9" s="115" t="str" cm="1">
        <f t="array" aca="1" ref="AE9" ca="1">IFERROR(INDEX(LAM!$B$3:$B$1000,
SMALL(
IF((LAM!$Q$3:$Q$1000&lt;&gt;"")*(LAM!$Q$3:$Q$1000&lt;&gt;"Not Due"),
ROW(LAM!$Q$3:$Q$1000)-ROW(LAM!$Q$3)+1),
ROWS(A$2:A9))),"")</f>
        <v/>
      </c>
      <c r="AF9" s="115" t="str" cm="1">
        <f t="array" aca="1" ref="AF9" ca="1">IFERROR(INDEX(LAM!$D$3:$D$1000,
SMALL(
IF((LAM!$Q$3:$Q$1000&lt;&gt;"")*(LAM!$Q$3:$Q$1000&lt;&gt;"Not Due"),
ROW(LAM!$Q$3:$Q$1000)-ROW(LAM!$Q$3)+1),
ROWS(A$2:A9))),"")</f>
        <v/>
      </c>
      <c r="AG9" s="116"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5">
        <v>8</v>
      </c>
      <c r="AK9" s="123" t="str" cm="1">
        <f t="array" aca="1" ref="AK9" ca="1">IFERROR(INDEX(ISN!$E$3:$E$1000,
SMALL(
IF((ISN!$Q$3:$Q$1000&lt;&gt;"")*(ISN!$Q$3:$Q$1000&lt;&gt;"Not Due"),
ROW(ISN!$Q$3:$Q$1000)-ROW(ISN!$Q$3)+1),
ROWS(A$2:A9))),"")</f>
        <v>ISN</v>
      </c>
      <c r="AL9" s="115" t="str" cm="1">
        <f t="array" aca="1" ref="AL9" ca="1">IFERROR(INDEX(ISN!$B$3:$B$1000,
SMALL(
IF((ISN!$Q$3:$Q$1000&lt;&gt;"")*(ISN!$Q$3:$Q$1000&lt;&gt;"Not Due"),
ROW(ISN!$Q$3:$Q$1000)-ROW(ISN!$Q$3)+1),
ROWS(A$2:A9))),"")</f>
        <v>T/2026/00454</v>
      </c>
      <c r="AM9" s="116" t="str" cm="1">
        <f t="array" aca="1" ref="AM9" ca="1">IFERROR(INDEX(ISN!$D$3:$D$1000,
SMALL(
IF((ISN!$Q$3:$Q$1000&lt;&gt;"")*(ISN!$Q$3:$Q$1000&lt;&gt;"Not Due"),
ROW(ISN!$Q$3:$Q$1000)-ROW(ISN!$Q$3)+1),
ROWS(A$2:A9))),"")</f>
        <v>MYASSET</v>
      </c>
      <c r="AN9" s="116" t="str" cm="1">
        <f t="array" aca="1" ref="AN9" ca="1">IFERROR(INDEX(ISN!$G$3:$G$1000,
SMALL(
IF((ISN!$Q$3:$Q$1000&lt;&gt;"")*(ISN!$Q$3:$Q$1000&lt;&gt;"Not Due"),
ROW(ISN!$Q$3:$Q$1000)-ROW(ISN!$Q$3)+1),
ROWS(A$2:A9))),"")</f>
        <v>1) Melalui MyAsset, Submodel: Kemaskini Rekod Pemeriksaan Aset, mohon tambah: 1.1) Filter Nama Pegawai Semasa untuk diklik 1.2) Pada Butiran Aset, mohon tambah column untuk paparan Nama Pegawai Semasa</v>
      </c>
      <c r="AO9" s="64" t="str" cm="1">
        <f t="array" aca="1" ref="AO9" ca="1">IFERROR(INDEX(ISN!$Q$3:$Q$1000,
SMALL(
IF((ISN!$Q$3:$Q$1000&lt;&gt;"")*(ISN!$Q$3:$Q$1000&lt;&gt;"Not Due"),
ROW(ISN!$Q$3:$Q$1000)-ROW(ISN!$Q$3)+1),
ROWS(A$2:A9))
),"")</f>
        <v>1-30 Days</v>
      </c>
      <c r="AQ9" s="115">
        <v>8</v>
      </c>
      <c r="AR9" s="124" t="str" cm="1">
        <f t="array" aca="1" ref="AR9" ca="1">IFERROR(INDEX(MSN!$E$3:$E$1000,
SMALL(
IF((MSN!$Q$3:$Q$1000&lt;&gt;"")*(MSN!$Q$3:$Q$1000&lt;&gt;"Not Due"),
ROW(MSN!$Q$3:$Q$1000)-ROW(MSN!$Q$3)+1),
ROWS(A$2:A9))),"")</f>
        <v/>
      </c>
      <c r="AS9" s="115" t="str" cm="1">
        <f t="array" aca="1" ref="AS9" ca="1">IFERROR(INDEX(MSN!$B$3:$B$1000,
SMALL(
IF((MSN!$Q$3:$Q$1000&lt;&gt;"")*(MSN!$Q$3:$Q$1000&lt;&gt;"Not Due"),
ROW(MSN!$Q$3:$Q$1000)-ROW(MSN!$Q$3)+1),
ROWS(A$2:A9))),"")</f>
        <v/>
      </c>
      <c r="AT9" s="115" t="str" cm="1">
        <f t="array" aca="1" ref="AT9" ca="1">IFERROR(INDEX(MSN!$D$3:$D$1000,
SMALL(
IF((MSN!$Q$3:$Q$1000&lt;&gt;"")*(MSN!$Q$3:$Q$1000&lt;&gt;"Not Due"),
ROW(MSN!$Q$3:$Q$1000)-ROW(MSN!$Q$3)+1),
ROWS(A$2:A9))),"")</f>
        <v/>
      </c>
      <c r="AU9" s="116"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5">
        <v>9</v>
      </c>
      <c r="B10" s="118" t="str" cm="1">
        <f t="array" aca="1" ref="B10" ca="1">IFERROR(INDEX(FRIM!$E$3:$E$1000,
SMALL(IF(FRIM!$Q$3:$Q$1000&lt;&gt;"",
ROW(FRIM!$Q$3:$Q$1000)-ROW(FRIM!$Q$3)+1),
ROWS(A$2:A10))),"")</f>
        <v>FRIM</v>
      </c>
      <c r="C10" s="116" t="str" cm="1">
        <f t="array" aca="1" ref="C10" ca="1">IFERROR(INDEX(FRIM!$B$3:$B$1000,
SMALL(IF(FRIM!$Q$3:$Q$1000&lt;&gt;"",
ROW(FRIM!$Q$3:$Q$1000)-ROW(FRIM!$Q$3)+1),
ROWS(A$2:A10))),"")</f>
        <v>T/2026/00096</v>
      </c>
      <c r="D10" s="116" t="str" cm="1">
        <f t="array" aca="1" ref="D10" ca="1">IFERROR(INDEX(FRIM!$D$3:$D$1000,
SMALL(IF(FRIM!$Q$3:$Q$1000&lt;&gt;"",
ROW(FRIM!$Q$3:$Q$1000)-ROW(FRIM!$Q$3)+1),
ROWS(A$2:A10))),"")</f>
        <v>QUERY</v>
      </c>
      <c r="E10" s="116"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8" t="str" cm="1">
        <f t="array" aca="1" ref="F10" ca="1">IFERROR(INDEX(FRIM!$Q$3:$Q$1000,
SMALL(IF(FRIM!$Q$3:$Q$1000&lt;&gt;"",
ROW(FRIM!$Q$3:$Q$1000)-ROW(FRIM!$Q$3)+1),
ROWS(A$2:A10))),"")</f>
        <v>&gt;60 Days</v>
      </c>
      <c r="H10" s="115">
        <v>9</v>
      </c>
      <c r="I10" s="119" t="str" cm="1">
        <f t="array" aca="1" ref="I10" ca="1">IFERROR(INDEX(MTIB!$E$3:$E$1000,
SMALL(
IF((MTIB!$Q$3:$Q$1000&lt;&gt;"")*(MTIB!$Q$3:$Q$1000&lt;&gt;"Not Due"),
ROW(MTIB!$Q$3:$Q$1000)-ROW(MTIB!$Q$3)+1),
ROWS(A$2:A10))),"")</f>
        <v>MTIB</v>
      </c>
      <c r="J10" s="115" t="str" cm="1">
        <f t="array" aca="1" ref="J10" ca="1">IFERROR(INDEX(MTIB!$B$3:$B$1000,
SMALL(
IF((MTIB!$Q$3:$Q$1000&lt;&gt;"")*(MTIB!$Q$3:$Q$1000&lt;&gt;"Not Due"),
ROW(MTIB!$Q$3:$Q$1000)-ROW(MTIB!$Q$3)+1),
ROWS(A$2:A10))),"")</f>
        <v>T/2026/00309</v>
      </c>
      <c r="K10" s="115" t="str" cm="1">
        <f t="array" aca="1" ref="K10" ca="1">IFERROR(INDEX(MTIB!$D$3:$D$1000,
SMALL(
IF((MTIB!$Q$3:$Q$1000&lt;&gt;"")*(MTIB!$Q$3:$Q$1000&lt;&gt;"Not Due"),
ROW(MTIB!$Q$3:$Q$1000)-ROW(MTIB!$Q$3)+1),
ROWS(A$2:A10))),"")</f>
        <v>MYFINANCIAL</v>
      </c>
      <c r="L10" s="116" t="str" cm="1">
        <f t="array" aca="1" ref="L10" ca="1">IFERROR(INDEX(MTIB!$G$3:$G$1000,
SMALL(
IF((MTIB!$Q$3:$Q$1000&lt;&gt;"")*(MTIB!$Q$3:$Q$1000&lt;&gt;"Not Due"),
ROW(MTIB!$Q$3:$Q$1000)-ROW(MTIB!$Q$3)+1),
ROWS(A$2:A10))),"")</f>
        <v>Isu yang sama berulang. Sebelum ini telah diadukan pada tahun 2025 dan telah dibaiki.</v>
      </c>
      <c r="M10" s="88" t="str" cm="1">
        <f t="array" aca="1" ref="M10" ca="1">IFERROR(INDEX(MTIB!$Q$3:$Q$1000,
SMALL(
IF((MTIB!$Q$3:$Q$1000&lt;&gt;"")*(MTIB!$Q$3:$Q$1000&lt;&gt;"Not Due"),
ROW(MTIB!$Q$3:$Q$1000)-ROW(MTIB!$Q$3)+1),
ROWS(A$2:A10))
),"")</f>
        <v>31-60 Days</v>
      </c>
      <c r="O10" s="115">
        <v>9</v>
      </c>
      <c r="P10" s="120" t="str" cm="1">
        <f t="array" aca="1" ref="P10" ca="1">IFERROR(INDEX(MPOB!$E$3:$E$1000,
SMALL(
IF((MPOB!$Q$3:$Q$1000&lt;&gt;"")*(MPOB!$Q$3:$Q$1000&lt;&gt;"Not Due"),
ROW(MPOB!$Q$3:$Q$1000)-ROW(MPOB!$Q$3)+1),
ROWS(A$2:A10))),"")</f>
        <v>MPOB</v>
      </c>
      <c r="Q10" s="115" t="str" cm="1">
        <f t="array" aca="1" ref="Q10" ca="1">IFERROR(INDEX(MPOB!$B$3:$B$1000,
SMALL(
IF((MPOB!$Q$3:$Q$1000&lt;&gt;"")*(MPOB!$Q$3:$Q$1000&lt;&gt;"Not Due"),
ROW(MPOB!$Q$3:$Q$1000)-ROW(MPOB!$Q$3)+1),
ROWS(A$2:A10))),"")</f>
        <v>T/2026/00152</v>
      </c>
      <c r="R10" s="115" t="str" cm="1">
        <f t="array" aca="1" ref="R10" ca="1">IFERROR(INDEX(MPOB!$D$3:$D$1000,
SMALL(
IF((MPOB!$Q$3:$Q$1000&lt;&gt;"")*(MPOB!$Q$3:$Q$1000&lt;&gt;"Not Due"),
ROW(MPOB!$Q$3:$Q$1000)-ROW(MPOB!$Q$3)+1),
ROWS(A$2:A10))),"")</f>
        <v>MyFinancial</v>
      </c>
      <c r="S10" s="116" t="str" cm="1">
        <f t="array" aca="1" ref="S10" ca="1">IFERROR(INDEX(MPOB!$G$3:$G$1000,
SMALL(
IF((MPOB!$Q$3:$Q$1000&lt;&gt;"")*(MPOB!$Q$3:$Q$1000&lt;&gt;"Not Due"),
ROW(MPOB!$Q$3:$Q$1000)-ROW(MPOB!$Q$3)+1),
ROWS(A$2:A10))),"")</f>
        <v>Nama User : Hanif Date : 22/1/2026 Isu : boleh minta tolong untuk sorang staff kami ni tak ingat password, dia cuba untuk set kata laluan baru tapi email tu tak dapat dapat..dari semalam dia kata..email dia : norasikin.ulkeply@mpob.gov.my</v>
      </c>
      <c r="T10" s="88" t="str" cm="1">
        <f t="array" aca="1" ref="T10" ca="1">IFERROR(INDEX(MPOB!$Q$3:$Q$1000,
SMALL(
IF((MPOB!$Q$3:$Q$1000&lt;&gt;"")*(MPOB!$Q$3:$Q$1000&lt;&gt;"Not Due"),
ROW(MPOB!$Q$3:$Q$1000)-ROW(MPOB!$Q$3)+1),
ROWS(A$2:A10))
),"")</f>
        <v>&gt;60 Days</v>
      </c>
      <c r="V10" s="115">
        <v>9</v>
      </c>
      <c r="W10" s="121" t="str" cm="1">
        <f t="array" aca="1" ref="W10" ca="1">IFERROR(INDEX(LKTN!$E$3:$E$1000,
SMALL(
IF((LKTN!$Q$3:$Q$1000&lt;&gt;"")*(LKTN!$Q$3:$Q$1000&lt;&gt;"Not Due"),
ROW(LKTN!$Q$3:$Q$1000)-ROW(LKTN!$Q$3)+1),
ROWS(A$2:A10))),"")</f>
        <v/>
      </c>
      <c r="X10" s="115" t="str" cm="1">
        <f t="array" aca="1" ref="X10" ca="1">IFERROR(INDEX(LKTN!$B$3:$B$1000,
SMALL(
IF((LKTN!$Q$3:$Q$1000&lt;&gt;"")*(LKTN!$Q$3:$Q$1000&lt;&gt;"Not Due"),
ROW(LKTN!$Q$3:$Q$1000)-ROW(LKTN!$Q$3)+1),
ROWS(A$2:A10))),"")</f>
        <v/>
      </c>
      <c r="Y10" s="115" t="str" cm="1">
        <f t="array" aca="1" ref="Y10" ca="1">IFERROR(INDEX(LKTN!$D$3:$D$1000,
SMALL(
IF((LKTN!$Q$3:$Q$1000&lt;&gt;"")*(LKTN!$Q$3:$Q$1000&lt;&gt;"Not Due"),
ROW(LKTN!$Q$3:$Q$1000)-ROW(LKTN!$Q$3)+1),
ROWS(A$2:A10))),"")</f>
        <v/>
      </c>
      <c r="Z10" s="116"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5">
        <v>9</v>
      </c>
      <c r="AD10" s="122" t="str" cm="1">
        <f t="array" aca="1" ref="AD10" ca="1">IFERROR(INDEX(LAM!$E$3:$E$1000,
SMALL(
IF((LAM!$Q$3:$Q$1000&lt;&gt;"")*(LAM!$Q$3:$Q$1000&lt;&gt;"Not Due"),
ROW(LAM!$Q$3:$Q$1000)-ROW(LAM!$Q$3)+1),
ROWS(A$2:A10))),"")</f>
        <v/>
      </c>
      <c r="AE10" s="115" t="str" cm="1">
        <f t="array" aca="1" ref="AE10" ca="1">IFERROR(INDEX(LAM!$B$3:$B$1000,
SMALL(
IF((LAM!$Q$3:$Q$1000&lt;&gt;"")*(LAM!$Q$3:$Q$1000&lt;&gt;"Not Due"),
ROW(LAM!$Q$3:$Q$1000)-ROW(LAM!$Q$3)+1),
ROWS(A$2:A10))),"")</f>
        <v/>
      </c>
      <c r="AF10" s="115" t="str" cm="1">
        <f t="array" aca="1" ref="AF10" ca="1">IFERROR(INDEX(LAM!$D$3:$D$1000,
SMALL(
IF((LAM!$Q$3:$Q$1000&lt;&gt;"")*(LAM!$Q$3:$Q$1000&lt;&gt;"Not Due"),
ROW(LAM!$Q$3:$Q$1000)-ROW(LAM!$Q$3)+1),
ROWS(A$2:A10))),"")</f>
        <v/>
      </c>
      <c r="AG10" s="116"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5">
        <v>9</v>
      </c>
      <c r="AK10" s="123" t="str" cm="1">
        <f t="array" aca="1" ref="AK10" ca="1">IFERROR(INDEX(ISN!$E$3:$E$1000,
SMALL(
IF((ISN!$Q$3:$Q$1000&lt;&gt;"")*(ISN!$Q$3:$Q$1000&lt;&gt;"Not Due"),
ROW(ISN!$Q$3:$Q$1000)-ROW(ISN!$Q$3)+1),
ROWS(A$2:A10))),"")</f>
        <v>ISN</v>
      </c>
      <c r="AL10" s="115" t="str" cm="1">
        <f t="array" aca="1" ref="AL10" ca="1">IFERROR(INDEX(ISN!$B$3:$B$1000,
SMALL(
IF((ISN!$Q$3:$Q$1000&lt;&gt;"")*(ISN!$Q$3:$Q$1000&lt;&gt;"Not Due"),
ROW(ISN!$Q$3:$Q$1000)-ROW(ISN!$Q$3)+1),
ROWS(A$2:A10))),"")</f>
        <v>T/2026/00459</v>
      </c>
      <c r="AM10" s="116" t="str" cm="1">
        <f t="array" aca="1" ref="AM10" ca="1">IFERROR(INDEX(ISN!$D$3:$D$1000,
SMALL(
IF((ISN!$Q$3:$Q$1000&lt;&gt;"")*(ISN!$Q$3:$Q$1000&lt;&gt;"Not Due"),
ROW(ISN!$Q$3:$Q$1000)-ROW(ISN!$Q$3)+1),
ROWS(A$2:A10))),"")</f>
        <v>MYSTOR</v>
      </c>
      <c r="AN10" s="116" t="str" cm="1">
        <f t="array" aca="1" ref="AN10" ca="1">IFERROR(INDEX(ISN!$G$3:$G$1000,
SMALL(
IF((ISN!$Q$3:$Q$1000&lt;&gt;"")*(ISN!$Q$3:$Q$1000&lt;&gt;"Not Due"),
ROW(ISN!$Q$3:$Q$1000)-ROW(ISN!$Q$3)+1),
ROWS(A$2:A10))),"")</f>
        <v>PADA 30/6/2026 SAYA TELAH POS TRANSAKSI STOCK OUT DALAM SISTEM MYSTORE UNTUK TRANSAKSI PEMOHON BERTARIKH 29/6/2026 (FLOORSTOCK UNIT FISIOTERAPI) NAMUN TRANSAKSI BERNOMBOR NO. BPSI K07147 ITU TIDAK DAPAT DIPAPARKAN KETIKA SAYA MAHU MENCETAK KEWPS 8.</v>
      </c>
      <c r="AO10" s="64" t="str" cm="1">
        <f t="array" aca="1" ref="AO10" ca="1">IFERROR(INDEX(ISN!$Q$3:$Q$1000,
SMALL(
IF((ISN!$Q$3:$Q$1000&lt;&gt;"")*(ISN!$Q$3:$Q$1000&lt;&gt;"Not Due"),
ROW(ISN!$Q$3:$Q$1000)-ROW(ISN!$Q$3)+1),
ROWS(A$2:A10))
),"")</f>
        <v>1-30 Days</v>
      </c>
      <c r="AQ10" s="115">
        <v>9</v>
      </c>
      <c r="AR10" s="124" t="str" cm="1">
        <f t="array" aca="1" ref="AR10" ca="1">IFERROR(INDEX(MSN!$E$3:$E$1000,
SMALL(
IF((MSN!$Q$3:$Q$1000&lt;&gt;"")*(MSN!$Q$3:$Q$1000&lt;&gt;"Not Due"),
ROW(MSN!$Q$3:$Q$1000)-ROW(MSN!$Q$3)+1),
ROWS(A$2:A10))),"")</f>
        <v/>
      </c>
      <c r="AS10" s="115" t="str" cm="1">
        <f t="array" aca="1" ref="AS10" ca="1">IFERROR(INDEX(MSN!$B$3:$B$1000,
SMALL(
IF((MSN!$Q$3:$Q$1000&lt;&gt;"")*(MSN!$Q$3:$Q$1000&lt;&gt;"Not Due"),
ROW(MSN!$Q$3:$Q$1000)-ROW(MSN!$Q$3)+1),
ROWS(A$2:A10))),"")</f>
        <v/>
      </c>
      <c r="AT10" s="115" t="str" cm="1">
        <f t="array" aca="1" ref="AT10" ca="1">IFERROR(INDEX(MSN!$D$3:$D$1000,
SMALL(
IF((MSN!$Q$3:$Q$1000&lt;&gt;"")*(MSN!$Q$3:$Q$1000&lt;&gt;"Not Due"),
ROW(MSN!$Q$3:$Q$1000)-ROW(MSN!$Q$3)+1),
ROWS(A$2:A10))),"")</f>
        <v/>
      </c>
      <c r="AU10" s="116"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46.8" x14ac:dyDescent="0.3">
      <c r="A11" s="115">
        <v>10</v>
      </c>
      <c r="B11" s="118" t="str" cm="1">
        <f t="array" aca="1" ref="B11" ca="1">IFERROR(INDEX(FRIM!$E$3:$E$1000,
SMALL(IF(FRIM!$Q$3:$Q$1000&lt;&gt;"",
ROW(FRIM!$Q$3:$Q$1000)-ROW(FRIM!$Q$3)+1),
ROWS(A$2:A11))),"")</f>
        <v>FRIM</v>
      </c>
      <c r="C11" s="116" t="str" cm="1">
        <f t="array" aca="1" ref="C11" ca="1">IFERROR(INDEX(FRIM!$B$3:$B$1000,
SMALL(IF(FRIM!$Q$3:$Q$1000&lt;&gt;"",
ROW(FRIM!$Q$3:$Q$1000)-ROW(FRIM!$Q$3)+1),
ROWS(A$2:A11))),"")</f>
        <v>T/2026/00099</v>
      </c>
      <c r="D11" s="116" t="str" cm="1">
        <f t="array" aca="1" ref="D11" ca="1">IFERROR(INDEX(FRIM!$D$3:$D$1000,
SMALL(IF(FRIM!$Q$3:$Q$1000&lt;&gt;"",
ROW(FRIM!$Q$3:$Q$1000)-ROW(FRIM!$Q$3)+1),
ROWS(A$2:A11))),"")</f>
        <v>URUSNIAGA PPS</v>
      </c>
      <c r="E11" s="116" t="str" cm="1">
        <f t="array" aca="1" ref="E11" ca="1">IFERROR(INDEX(FRIM!$G$3:$G$1000,
SMALL(IF(FRIM!$Q$3:$Q$1000&lt;&gt;"",
ROW(FRIM!$Q$3:$Q$1000)-ROW(FRIM!$Q$3)+1),
ROWS(A$2:A11))),"")</f>
        <v>W2401 24/03/2025 NURFAIEZAH BT. MAZERI MOHON PENAMBAIKAN UNTUK ADD ITEM DI MYURUSNIAGA</v>
      </c>
      <c r="F11" s="88" t="str" cm="1">
        <f t="array" aca="1" ref="F11" ca="1">IFERROR(INDEX(FRIM!$Q$3:$Q$1000,
SMALL(IF(FRIM!$Q$3:$Q$1000&lt;&gt;"",
ROW(FRIM!$Q$3:$Q$1000)-ROW(FRIM!$Q$3)+1),
ROWS(A$2:A11))),"")</f>
        <v>&gt;60 Days</v>
      </c>
      <c r="H11" s="115">
        <v>10</v>
      </c>
      <c r="I11" s="119" t="str" cm="1">
        <f t="array" aca="1" ref="I11" ca="1">IFERROR(INDEX(MTIB!$E$3:$E$1000,
SMALL(
IF((MTIB!$Q$3:$Q$1000&lt;&gt;"")*(MTIB!$Q$3:$Q$1000&lt;&gt;"Not Due"),
ROW(MTIB!$Q$3:$Q$1000)-ROW(MTIB!$Q$3)+1),
ROWS(A$2:A11))),"")</f>
        <v>MTIB</v>
      </c>
      <c r="J11" s="115" t="str" cm="1">
        <f t="array" aca="1" ref="J11" ca="1">IFERROR(INDEX(MTIB!$B$3:$B$1000,
SMALL(
IF((MTIB!$Q$3:$Q$1000&lt;&gt;"")*(MTIB!$Q$3:$Q$1000&lt;&gt;"Not Due"),
ROW(MTIB!$Q$3:$Q$1000)-ROW(MTIB!$Q$3)+1),
ROWS(A$2:A11))),"")</f>
        <v>T/2026/00332</v>
      </c>
      <c r="K11" s="115" t="str" cm="1">
        <f t="array" aca="1" ref="K11" ca="1">IFERROR(INDEX(MTIB!$D$3:$D$1000,
SMALL(
IF((MTIB!$Q$3:$Q$1000&lt;&gt;"")*(MTIB!$Q$3:$Q$1000&lt;&gt;"Not Due"),
ROW(MTIB!$Q$3:$Q$1000)-ROW(MTIB!$Q$3)+1),
ROWS(A$2:A11))),"")</f>
        <v>MyPanjar</v>
      </c>
      <c r="L11" s="116" t="str" cm="1">
        <f t="array" aca="1" ref="L11" ca="1">IFERROR(INDEX(MTIB!$G$3:$G$1000,
SMALL(
IF((MTIB!$Q$3:$Q$1000&lt;&gt;"")*(MTIB!$Q$3:$Q$1000&lt;&gt;"Not Due"),
ROW(MTIB!$Q$3:$Q$1000)-ROW(MTIB!$Q$3)+1),
ROWS(A$2:A11))),"")</f>
        <v>Pegawai Pengesah HR (Patmah) tidak dapat membuat pengesahan perubatan dalam sistem MyPanjar. Pengadu: Suhani Hassan</v>
      </c>
      <c r="M11" s="88" t="str" cm="1">
        <f t="array" aca="1" ref="M11" ca="1">IFERROR(INDEX(MTIB!$Q$3:$Q$1000,
SMALL(
IF((MTIB!$Q$3:$Q$1000&lt;&gt;"")*(MTIB!$Q$3:$Q$1000&lt;&gt;"Not Due"),
ROW(MTIB!$Q$3:$Q$1000)-ROW(MTIB!$Q$3)+1),
ROWS(A$2:A11))
),"")</f>
        <v>31-60 Days</v>
      </c>
      <c r="O11" s="115">
        <v>10</v>
      </c>
      <c r="P11" s="120" t="str" cm="1">
        <f t="array" aca="1" ref="P11" ca="1">IFERROR(INDEX(MPOB!$E$3:$E$1000,
SMALL(
IF((MPOB!$Q$3:$Q$1000&lt;&gt;"")*(MPOB!$Q$3:$Q$1000&lt;&gt;"Not Due"),
ROW(MPOB!$Q$3:$Q$1000)-ROW(MPOB!$Q$3)+1),
ROWS(A$2:A11))),"")</f>
        <v>MPOB</v>
      </c>
      <c r="Q11" s="115" t="str" cm="1">
        <f t="array" aca="1" ref="Q11" ca="1">IFERROR(INDEX(MPOB!$B$3:$B$1000,
SMALL(
IF((MPOB!$Q$3:$Q$1000&lt;&gt;"")*(MPOB!$Q$3:$Q$1000&lt;&gt;"Not Due"),
ROW(MPOB!$Q$3:$Q$1000)-ROW(MPOB!$Q$3)+1),
ROWS(A$2:A11))),"")</f>
        <v>T/2026/00160</v>
      </c>
      <c r="R11" s="115" t="str" cm="1">
        <f t="array" aca="1" ref="R11" ca="1">IFERROR(INDEX(MPOB!$D$3:$D$1000,
SMALL(
IF((MPOB!$Q$3:$Q$1000&lt;&gt;"")*(MPOB!$Q$3:$Q$1000&lt;&gt;"Not Due"),
ROW(MPOB!$Q$3:$Q$1000)-ROW(MPOB!$Q$3)+1),
ROWS(A$2:A11))),"")</f>
        <v>MyAsset</v>
      </c>
      <c r="S11" s="116" t="str" cm="1">
        <f t="array" aca="1" ref="S11" ca="1">IFERROR(INDEX(MPOB!$G$3:$G$1000,
SMALL(
IF((MPOB!$Q$3:$Q$1000&lt;&gt;"")*(MPOB!$Q$3:$Q$1000&lt;&gt;"Not Due"),
ROW(MPOB!$Q$3:$Q$1000)-ROW(MPOB!$Q$3)+1),
ROWS(A$2:A11))),"")</f>
        <v>Nama User : Myra Date : 27/1/2026 Isu : Terdapat 40 aset yg telah dihapuskan tetapi GL tak update (reverse) pada 2024. Mohon aktifkan semula aset.</v>
      </c>
      <c r="T11" s="88" t="str" cm="1">
        <f t="array" aca="1" ref="T11" ca="1">IFERROR(INDEX(MPOB!$Q$3:$Q$1000,
SMALL(
IF((MPOB!$Q$3:$Q$1000&lt;&gt;"")*(MPOB!$Q$3:$Q$1000&lt;&gt;"Not Due"),
ROW(MPOB!$Q$3:$Q$1000)-ROW(MPOB!$Q$3)+1),
ROWS(A$2:A11))
),"")</f>
        <v>&gt;60 Days</v>
      </c>
      <c r="V11" s="115">
        <v>10</v>
      </c>
      <c r="W11" s="121" t="str" cm="1">
        <f t="array" aca="1" ref="W11" ca="1">IFERROR(INDEX(LKTN!$E$3:$E$1000,
SMALL(
IF((LKTN!$Q$3:$Q$1000&lt;&gt;"")*(LKTN!$Q$3:$Q$1000&lt;&gt;"Not Due"),
ROW(LKTN!$Q$3:$Q$1000)-ROW(LKTN!$Q$3)+1),
ROWS(A$2:A11))),"")</f>
        <v/>
      </c>
      <c r="X11" s="115" t="str" cm="1">
        <f t="array" aca="1" ref="X11" ca="1">IFERROR(INDEX(LKTN!$B$3:$B$1000,
SMALL(
IF((LKTN!$Q$3:$Q$1000&lt;&gt;"")*(LKTN!$Q$3:$Q$1000&lt;&gt;"Not Due"),
ROW(LKTN!$Q$3:$Q$1000)-ROW(LKTN!$Q$3)+1),
ROWS(A$2:A11))),"")</f>
        <v/>
      </c>
      <c r="Y11" s="115" t="str" cm="1">
        <f t="array" aca="1" ref="Y11" ca="1">IFERROR(INDEX(LKTN!$D$3:$D$1000,
SMALL(
IF((LKTN!$Q$3:$Q$1000&lt;&gt;"")*(LKTN!$Q$3:$Q$1000&lt;&gt;"Not Due"),
ROW(LKTN!$Q$3:$Q$1000)-ROW(LKTN!$Q$3)+1),
ROWS(A$2:A11))),"")</f>
        <v/>
      </c>
      <c r="Z11" s="116"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5">
        <v>10</v>
      </c>
      <c r="AK11" s="123" t="str" cm="1">
        <f t="array" aca="1" ref="AK11" ca="1">IFERROR(INDEX(ISN!$E$3:$E$1000,
SMALL(
IF((ISN!$Q$3:$Q$1000&lt;&gt;"")*(ISN!$Q$3:$Q$1000&lt;&gt;"Not Due"),
ROW(ISN!$Q$3:$Q$1000)-ROW(ISN!$Q$3)+1),
ROWS(A$2:A11))),"")</f>
        <v/>
      </c>
      <c r="AL11" s="115" t="str" cm="1">
        <f t="array" aca="1" ref="AL11" ca="1">IFERROR(INDEX(ISN!$B$3:$B$1000,
SMALL(
IF((ISN!$Q$3:$Q$1000&lt;&gt;"")*(ISN!$Q$3:$Q$1000&lt;&gt;"Not Due"),
ROW(ISN!$Q$3:$Q$1000)-ROW(ISN!$Q$3)+1),
ROWS(A$2:A11))),"")</f>
        <v/>
      </c>
      <c r="AM11" s="116" t="str" cm="1">
        <f t="array" aca="1" ref="AM11" ca="1">IFERROR(INDEX(ISN!$D$3:$D$1000,
SMALL(
IF((ISN!$Q$3:$Q$1000&lt;&gt;"")*(ISN!$Q$3:$Q$1000&lt;&gt;"Not Due"),
ROW(ISN!$Q$3:$Q$1000)-ROW(ISN!$Q$3)+1),
ROWS(A$2:A11))),"")</f>
        <v/>
      </c>
      <c r="AN11" s="116"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5">
        <v>10</v>
      </c>
      <c r="AR11" s="124" t="str" cm="1">
        <f t="array" aca="1" ref="AR11" ca="1">IFERROR(INDEX(MSN!$E$3:$E$1000,
SMALL(
IF((MSN!$Q$3:$Q$1000&lt;&gt;"")*(MSN!$Q$3:$Q$1000&lt;&gt;"Not Due"),
ROW(MSN!$Q$3:$Q$1000)-ROW(MSN!$Q$3)+1),
ROWS(A$2:A11))),"")</f>
        <v/>
      </c>
      <c r="AS11" s="115" t="str" cm="1">
        <f t="array" aca="1" ref="AS11" ca="1">IFERROR(INDEX(MSN!$B$3:$B$1000,
SMALL(
IF((MSN!$Q$3:$Q$1000&lt;&gt;"")*(MSN!$Q$3:$Q$1000&lt;&gt;"Not Due"),
ROW(MSN!$Q$3:$Q$1000)-ROW(MSN!$Q$3)+1),
ROWS(A$2:A11))),"")</f>
        <v/>
      </c>
      <c r="AT11" s="115" t="str" cm="1">
        <f t="array" aca="1" ref="AT11" ca="1">IFERROR(INDEX(MSN!$D$3:$D$1000,
SMALL(
IF((MSN!$Q$3:$Q$1000&lt;&gt;"")*(MSN!$Q$3:$Q$1000&lt;&gt;"Not Due"),
ROW(MSN!$Q$3:$Q$1000)-ROW(MSN!$Q$3)+1),
ROWS(A$2:A11))),"")</f>
        <v/>
      </c>
      <c r="AU11" s="116"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40.4" x14ac:dyDescent="0.3">
      <c r="A12" s="115">
        <v>11</v>
      </c>
      <c r="B12" s="118" t="str" cm="1">
        <f t="array" aca="1" ref="B12" ca="1">IFERROR(INDEX(FRIM!$E$3:$E$1000,
SMALL(IF(FRIM!$Q$3:$Q$1000&lt;&gt;"",
ROW(FRIM!$Q$3:$Q$1000)-ROW(FRIM!$Q$3)+1),
ROWS(A$2:A12))),"")</f>
        <v>FRIM</v>
      </c>
      <c r="C12" s="116" t="str" cm="1">
        <f t="array" aca="1" ref="C12" ca="1">IFERROR(INDEX(FRIM!$B$3:$B$1000,
SMALL(IF(FRIM!$Q$3:$Q$1000&lt;&gt;"",
ROW(FRIM!$Q$3:$Q$1000)-ROW(FRIM!$Q$3)+1),
ROWS(A$2:A12))),"")</f>
        <v>T/2026/00102</v>
      </c>
      <c r="D12" s="116" t="str" cm="1">
        <f t="array" aca="1" ref="D12" ca="1">IFERROR(INDEX(FRIM!$D$3:$D$1000,
SMALL(IF(FRIM!$Q$3:$Q$1000&lt;&gt;"",
ROW(FRIM!$Q$3:$Q$1000)-ROW(FRIM!$Q$3)+1),
ROWS(A$2:A12))),"")</f>
        <v>QUERY</v>
      </c>
      <c r="E12" s="116" t="str" cm="1">
        <f t="array" aca="1" ref="E12" ca="1">IFERROR(INDEX(FRIM!$G$3:$G$1000,
SMALL(IF(FRIM!$Q$3:$Q$1000&lt;&gt;"",
ROW(FRIM!$Q$3:$Q$1000)-ROW(FRIM!$Q$3)+1),
ROWS(A$2:A12))),"")</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2" s="88" t="str" cm="1">
        <f t="array" aca="1" ref="F12" ca="1">IFERROR(INDEX(FRIM!$Q$3:$Q$1000,
SMALL(IF(FRIM!$Q$3:$Q$1000&lt;&gt;"",
ROW(FRIM!$Q$3:$Q$1000)-ROW(FRIM!$Q$3)+1),
ROWS(A$2:A12))),"")</f>
        <v>&gt;60 Days</v>
      </c>
      <c r="H12" s="115">
        <v>11</v>
      </c>
      <c r="I12" s="119" t="str" cm="1">
        <f t="array" aca="1" ref="I12" ca="1">IFERROR(INDEX(MTIB!$E$3:$E$1000,
SMALL(
IF((MTIB!$Q$3:$Q$1000&lt;&gt;"")*(MTIB!$Q$3:$Q$1000&lt;&gt;"Not Due"),
ROW(MTIB!$Q$3:$Q$1000)-ROW(MTIB!$Q$3)+1),
ROWS(A$2:A12))),"")</f>
        <v>MTIB</v>
      </c>
      <c r="J12" s="115" t="str" cm="1">
        <f t="array" aca="1" ref="J12" ca="1">IFERROR(INDEX(MTIB!$B$3:$B$1000,
SMALL(
IF((MTIB!$Q$3:$Q$1000&lt;&gt;"")*(MTIB!$Q$3:$Q$1000&lt;&gt;"Not Due"),
ROW(MTIB!$Q$3:$Q$1000)-ROW(MTIB!$Q$3)+1),
ROWS(A$2:A12))),"")</f>
        <v>T/2026/00337</v>
      </c>
      <c r="K12" s="115" t="str" cm="1">
        <f t="array" aca="1" ref="K12" ca="1">IFERROR(INDEX(MTIB!$D$3:$D$1000,
SMALL(
IF((MTIB!$Q$3:$Q$1000&lt;&gt;"")*(MTIB!$Q$3:$Q$1000&lt;&gt;"Not Due"),
ROW(MTIB!$Q$3:$Q$1000)-ROW(MTIB!$Q$3)+1),
ROWS(A$2:A12))),"")</f>
        <v>MYFINANCIAL</v>
      </c>
      <c r="L12" s="116" t="str" cm="1">
        <f t="array" aca="1" ref="L12" ca="1">IFERROR(INDEX(MTIB!$G$3:$G$1000,
SMALL(
IF((MTIB!$Q$3:$Q$1000&lt;&gt;"")*(MTIB!$Q$3:$Q$1000&lt;&gt;"Not Due"),
ROW(MTIB!$Q$3:$Q$1000)-ROW(MTIB!$Q$3)+1),
ROWS(A$2:A12))),"")</f>
        <v>Mohon laksanakan MyFinancial Client Nama: SHARIFAH SUAIRAH BINTI SAYED KAMARUZAMAN No Kad Pengenalan: 950304-08-5330 No Pekerja: 1233</v>
      </c>
      <c r="M12" s="88" t="str" cm="1">
        <f t="array" aca="1" ref="M12" ca="1">IFERROR(INDEX(MTIB!$Q$3:$Q$1000,
SMALL(
IF((MTIB!$Q$3:$Q$1000&lt;&gt;"")*(MTIB!$Q$3:$Q$1000&lt;&gt;"Not Due"),
ROW(MTIB!$Q$3:$Q$1000)-ROW(MTIB!$Q$3)+1),
ROWS(A$2:A12))
),"")</f>
        <v>31-60 Days</v>
      </c>
      <c r="O12" s="115">
        <v>11</v>
      </c>
      <c r="P12" s="120" t="str" cm="1">
        <f t="array" aca="1" ref="P12" ca="1">IFERROR(INDEX(MPOB!$E$3:$E$1000,
SMALL(
IF((MPOB!$Q$3:$Q$1000&lt;&gt;"")*(MPOB!$Q$3:$Q$1000&lt;&gt;"Not Due"),
ROW(MPOB!$Q$3:$Q$1000)-ROW(MPOB!$Q$3)+1),
ROWS(A$2:A12))),"")</f>
        <v>MPOB</v>
      </c>
      <c r="Q12" s="115" t="str" cm="1">
        <f t="array" aca="1" ref="Q12" ca="1">IFERROR(INDEX(MPOB!$B$3:$B$1000,
SMALL(
IF((MPOB!$Q$3:$Q$1000&lt;&gt;"")*(MPOB!$Q$3:$Q$1000&lt;&gt;"Not Due"),
ROW(MPOB!$Q$3:$Q$1000)-ROW(MPOB!$Q$3)+1),
ROWS(A$2:A12))),"")</f>
        <v>T/2026/00161</v>
      </c>
      <c r="R12" s="115" t="str" cm="1">
        <f t="array" aca="1" ref="R12" ca="1">IFERROR(INDEX(MPOB!$D$3:$D$1000,
SMALL(
IF((MPOB!$Q$3:$Q$1000&lt;&gt;"")*(MPOB!$Q$3:$Q$1000&lt;&gt;"Not Due"),
ROW(MPOB!$Q$3:$Q$1000)-ROW(MPOB!$Q$3)+1),
ROWS(A$2:A12))),"")</f>
        <v>MyFinancial</v>
      </c>
      <c r="S12" s="116" t="str" cm="1">
        <f t="array" aca="1" ref="S12" ca="1">IFERROR(INDEX(MPOB!$G$3:$G$1000,
SMALL(
IF((MPOB!$Q$3:$Q$1000&lt;&gt;"")*(MPOB!$Q$3:$Q$1000&lt;&gt;"Not Due"),
ROW(MPOB!$Q$3:$Q$1000)-ROW(MPOB!$Q$3)+1),
ROWS(A$2:A12))),"")</f>
        <v>Nama User : Fitrah Date : 27/01/2026 Isu : Baucar tidak dijumpai. No Baucar VOPOB/0126/02611 baucar tu dh wujud dekat baucar yg tlah dipos tpi dekat kelulusan baucar dye tk kluar en hasrol tk dpt nk lulus kn</v>
      </c>
      <c r="T12" s="88" t="str" cm="1">
        <f t="array" aca="1" ref="T12" ca="1">IFERROR(INDEX(MPOB!$Q$3:$Q$1000,
SMALL(
IF((MPOB!$Q$3:$Q$1000&lt;&gt;"")*(MPOB!$Q$3:$Q$1000&lt;&gt;"Not Due"),
ROW(MPOB!$Q$3:$Q$1000)-ROW(MPOB!$Q$3)+1),
ROWS(A$2:A12))
),"")</f>
        <v>&gt;60 Days</v>
      </c>
      <c r="V12" s="115">
        <v>11</v>
      </c>
      <c r="W12" s="121" t="str" cm="1">
        <f t="array" aca="1" ref="W12" ca="1">IFERROR(INDEX(LKTN!$E$3:$E$1000,
SMALL(
IF((LKTN!$Q$3:$Q$1000&lt;&gt;"")*(LKTN!$Q$3:$Q$1000&lt;&gt;"Not Due"),
ROW(LKTN!$Q$3:$Q$1000)-ROW(LKTN!$Q$3)+1),
ROWS(A$2:A12))),"")</f>
        <v/>
      </c>
      <c r="X12" s="115" t="str" cm="1">
        <f t="array" aca="1" ref="X12" ca="1">IFERROR(INDEX(LKTN!$B$3:$B$1000,
SMALL(
IF((LKTN!$Q$3:$Q$1000&lt;&gt;"")*(LKTN!$Q$3:$Q$1000&lt;&gt;"Not Due"),
ROW(LKTN!$Q$3:$Q$1000)-ROW(LKTN!$Q$3)+1),
ROWS(A$2:A12))),"")</f>
        <v/>
      </c>
      <c r="Y12" s="115" t="str" cm="1">
        <f t="array" aca="1" ref="Y12" ca="1">IFERROR(INDEX(LKTN!$D$3:$D$1000,
SMALL(
IF((LKTN!$Q$3:$Q$1000&lt;&gt;"")*(LKTN!$Q$3:$Q$1000&lt;&gt;"Not Due"),
ROW(LKTN!$Q$3:$Q$1000)-ROW(LKTN!$Q$3)+1),
ROWS(A$2:A12))),"")</f>
        <v/>
      </c>
      <c r="Z12" s="116"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5">
        <v>11</v>
      </c>
      <c r="AK12" s="123" t="str" cm="1">
        <f t="array" aca="1" ref="AK12" ca="1">IFERROR(INDEX(ISN!$E$3:$E$1000,
SMALL(
IF((ISN!$Q$3:$Q$1000&lt;&gt;"")*(ISN!$Q$3:$Q$1000&lt;&gt;"Not Due"),
ROW(ISN!$Q$3:$Q$1000)-ROW(ISN!$Q$3)+1),
ROWS(A$2:A12))),"")</f>
        <v/>
      </c>
      <c r="AL12" s="115" t="str" cm="1">
        <f t="array" aca="1" ref="AL12" ca="1">IFERROR(INDEX(ISN!$B$3:$B$1000,
SMALL(
IF((ISN!$Q$3:$Q$1000&lt;&gt;"")*(ISN!$Q$3:$Q$1000&lt;&gt;"Not Due"),
ROW(ISN!$Q$3:$Q$1000)-ROW(ISN!$Q$3)+1),
ROWS(A$2:A12))),"")</f>
        <v/>
      </c>
      <c r="AM12" s="116" t="str" cm="1">
        <f t="array" aca="1" ref="AM12" ca="1">IFERROR(INDEX(ISN!$D$3:$D$1000,
SMALL(
IF((ISN!$Q$3:$Q$1000&lt;&gt;"")*(ISN!$Q$3:$Q$1000&lt;&gt;"Not Due"),
ROW(ISN!$Q$3:$Q$1000)-ROW(ISN!$Q$3)+1),
ROWS(A$2:A12))),"")</f>
        <v/>
      </c>
      <c r="AN12" s="116"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5">
        <v>11</v>
      </c>
      <c r="AR12" s="124" t="str" cm="1">
        <f t="array" aca="1" ref="AR12" ca="1">IFERROR(INDEX(MSN!$E$3:$E$1000,
SMALL(
IF((MSN!$Q$3:$Q$1000&lt;&gt;"")*(MSN!$Q$3:$Q$1000&lt;&gt;"Not Due"),
ROW(MSN!$Q$3:$Q$1000)-ROW(MSN!$Q$3)+1),
ROWS(A$2:A12))),"")</f>
        <v/>
      </c>
      <c r="AS12" s="115" t="str" cm="1">
        <f t="array" aca="1" ref="AS12" ca="1">IFERROR(INDEX(MSN!$B$3:$B$1000,
SMALL(
IF((MSN!$Q$3:$Q$1000&lt;&gt;"")*(MSN!$Q$3:$Q$1000&lt;&gt;"Not Due"),
ROW(MSN!$Q$3:$Q$1000)-ROW(MSN!$Q$3)+1),
ROWS(A$2:A12))),"")</f>
        <v/>
      </c>
      <c r="AT12" s="115" t="str" cm="1">
        <f t="array" aca="1" ref="AT12" ca="1">IFERROR(INDEX(MSN!$D$3:$D$1000,
SMALL(
IF((MSN!$Q$3:$Q$1000&lt;&gt;"")*(MSN!$Q$3:$Q$1000&lt;&gt;"Not Due"),
ROW(MSN!$Q$3:$Q$1000)-ROW(MSN!$Q$3)+1),
ROWS(A$2:A12))),"")</f>
        <v/>
      </c>
      <c r="AU12" s="116"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5">
        <v>12</v>
      </c>
      <c r="B13" s="118" t="str" cm="1">
        <f t="array" aca="1" ref="B13" ca="1">IFERROR(INDEX(FRIM!$E$3:$E$1000,
SMALL(IF(FRIM!$Q$3:$Q$1000&lt;&gt;"",
ROW(FRIM!$Q$3:$Q$1000)-ROW(FRIM!$Q$3)+1),
ROWS(A$2:A13))),"")</f>
        <v>FRIM</v>
      </c>
      <c r="C13" s="116" t="str" cm="1">
        <f t="array" aca="1" ref="C13" ca="1">IFERROR(INDEX(FRIM!$B$3:$B$1000,
SMALL(IF(FRIM!$Q$3:$Q$1000&lt;&gt;"",
ROW(FRIM!$Q$3:$Q$1000)-ROW(FRIM!$Q$3)+1),
ROWS(A$2:A13))),"")</f>
        <v>T/2026/00103</v>
      </c>
      <c r="D13" s="116" t="str" cm="1">
        <f t="array" aca="1" ref="D13" ca="1">IFERROR(INDEX(FRIM!$D$3:$D$1000,
SMALL(IF(FRIM!$Q$3:$Q$1000&lt;&gt;"",
ROW(FRIM!$Q$3:$Q$1000)-ROW(FRIM!$Q$3)+1),
ROWS(A$2:A13))),"")</f>
        <v>MYFINANCIAL CLIENT</v>
      </c>
      <c r="E13" s="116" t="str" cm="1">
        <f t="array" aca="1" ref="E13" ca="1">IFERROR(INDEX(FRIM!$G$3:$G$1000,
SMALL(IF(FRIM!$Q$3:$Q$1000&lt;&gt;"",
ROW(FRIM!$Q$3:$Q$1000)-ROW(FRIM!$Q$3)+1),
ROWS(A$2:A13))),"")</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3" s="88" t="str" cm="1">
        <f t="array" aca="1" ref="F13" ca="1">IFERROR(INDEX(FRIM!$Q$3:$Q$1000,
SMALL(IF(FRIM!$Q$3:$Q$1000&lt;&gt;"",
ROW(FRIM!$Q$3:$Q$1000)-ROW(FRIM!$Q$3)+1),
ROWS(A$2:A13))),"")</f>
        <v>&gt;60 Days</v>
      </c>
      <c r="H13" s="115">
        <v>12</v>
      </c>
      <c r="I13" s="119" t="str" cm="1">
        <f t="array" aca="1" ref="I13" ca="1">IFERROR(INDEX(MTIB!$E$3:$E$1000,
SMALL(
IF((MTIB!$Q$3:$Q$1000&lt;&gt;"")*(MTIB!$Q$3:$Q$1000&lt;&gt;"Not Due"),
ROW(MTIB!$Q$3:$Q$1000)-ROW(MTIB!$Q$3)+1),
ROWS(A$2:A13))),"")</f>
        <v>MTIB</v>
      </c>
      <c r="J13" s="115" t="str" cm="1">
        <f t="array" aca="1" ref="J13" ca="1">IFERROR(INDEX(MTIB!$B$3:$B$1000,
SMALL(
IF((MTIB!$Q$3:$Q$1000&lt;&gt;"")*(MTIB!$Q$3:$Q$1000&lt;&gt;"Not Due"),
ROW(MTIB!$Q$3:$Q$1000)-ROW(MTIB!$Q$3)+1),
ROWS(A$2:A13))),"")</f>
        <v>T/2026/00354</v>
      </c>
      <c r="K13" s="115" t="str" cm="1">
        <f t="array" aca="1" ref="K13" ca="1">IFERROR(INDEX(MTIB!$D$3:$D$1000,
SMALL(
IF((MTIB!$Q$3:$Q$1000&lt;&gt;"")*(MTIB!$Q$3:$Q$1000&lt;&gt;"Not Due"),
ROW(MTIB!$Q$3:$Q$1000)-ROW(MTIB!$Q$3)+1),
ROWS(A$2:A13))),"")</f>
        <v>MYINVESTMENT</v>
      </c>
      <c r="L13" s="116" t="str" cm="1">
        <f t="array" aca="1" ref="L13" ca="1">IFERROR(INDEX(MTIB!$G$3:$G$1000,
SMALL(
IF((MTIB!$Q$3:$Q$1000&lt;&gt;"")*(MTIB!$Q$3:$Q$1000&lt;&gt;"Not Due"),
ROW(MTIB!$Q$3:$Q$1000)-ROW(MTIB!$Q$3)+1),
ROWS(A$2:A13))),"")</f>
        <v>1. Data di MYINVESTMENT tidak lengkap. 2. Pengguna pos data dua kali. Pengadu: Norhayati Muhamad</v>
      </c>
      <c r="M13" s="88" t="str" cm="1">
        <f t="array" aca="1" ref="M13" ca="1">IFERROR(INDEX(MTIB!$Q$3:$Q$1000,
SMALL(
IF((MTIB!$Q$3:$Q$1000&lt;&gt;"")*(MTIB!$Q$3:$Q$1000&lt;&gt;"Not Due"),
ROW(MTIB!$Q$3:$Q$1000)-ROW(MTIB!$Q$3)+1),
ROWS(A$2:A13))
),"")</f>
        <v>31-60 Days</v>
      </c>
      <c r="O13" s="115">
        <v>12</v>
      </c>
      <c r="P13" s="120" t="str" cm="1">
        <f t="array" aca="1" ref="P13" ca="1">IFERROR(INDEX(MPOB!$E$3:$E$1000,
SMALL(
IF((MPOB!$Q$3:$Q$1000&lt;&gt;"")*(MPOB!$Q$3:$Q$1000&lt;&gt;"Not Due"),
ROW(MPOB!$Q$3:$Q$1000)-ROW(MPOB!$Q$3)+1),
ROWS(A$2:A13))),"")</f>
        <v>MPOB</v>
      </c>
      <c r="Q13" s="115" t="str" cm="1">
        <f t="array" aca="1" ref="Q13" ca="1">IFERROR(INDEX(MPOB!$B$3:$B$1000,
SMALL(
IF((MPOB!$Q$3:$Q$1000&lt;&gt;"")*(MPOB!$Q$3:$Q$1000&lt;&gt;"Not Due"),
ROW(MPOB!$Q$3:$Q$1000)-ROW(MPOB!$Q$3)+1),
ROWS(A$2:A13))),"")</f>
        <v>T/2026/00162</v>
      </c>
      <c r="R13" s="115" t="str" cm="1">
        <f t="array" aca="1" ref="R13" ca="1">IFERROR(INDEX(MPOB!$D$3:$D$1000,
SMALL(
IF((MPOB!$Q$3:$Q$1000&lt;&gt;"")*(MPOB!$Q$3:$Q$1000&lt;&gt;"Not Due"),
ROW(MPOB!$Q$3:$Q$1000)-ROW(MPOB!$Q$3)+1),
ROWS(A$2:A13))),"")</f>
        <v>MyProcurement</v>
      </c>
      <c r="S13" s="116" t="str" cm="1">
        <f t="array" aca="1" ref="S13" ca="1">IFERROR(INDEX(MPOB!$G$3:$G$1000,
SMALL(
IF((MPOB!$Q$3:$Q$1000&lt;&gt;"")*(MPOB!$Q$3:$Q$1000&lt;&gt;"Not Due"),
ROW(MPOB!$Q$3:$Q$1000)-ROW(MPOB!$Q$3)+1),
ROWS(A$2:A13))),"")</f>
        <v>Nama User : AsAlya Date : 28/01/2026 Isu : sy salah terbatalkan Ro ni boleh reverse ke ye? No. Permohonan : R260202</v>
      </c>
      <c r="T13" s="88" t="str" cm="1">
        <f t="array" aca="1" ref="T13" ca="1">IFERROR(INDEX(MPOB!$Q$3:$Q$1000,
SMALL(
IF((MPOB!$Q$3:$Q$1000&lt;&gt;"")*(MPOB!$Q$3:$Q$1000&lt;&gt;"Not Due"),
ROW(MPOB!$Q$3:$Q$1000)-ROW(MPOB!$Q$3)+1),
ROWS(A$2:A13))
),"")</f>
        <v>&gt;60 Days</v>
      </c>
      <c r="V13" s="115">
        <v>12</v>
      </c>
      <c r="W13" s="121" t="str" cm="1">
        <f t="array" aca="1" ref="W13" ca="1">IFERROR(INDEX(LKTN!$E$3:$E$1000,
SMALL(
IF((LKTN!$Q$3:$Q$1000&lt;&gt;"")*(LKTN!$Q$3:$Q$1000&lt;&gt;"Not Due"),
ROW(LKTN!$Q$3:$Q$1000)-ROW(LKTN!$Q$3)+1),
ROWS(A$2:A13))),"")</f>
        <v/>
      </c>
      <c r="X13" s="115" t="str" cm="1">
        <f t="array" aca="1" ref="X13" ca="1">IFERROR(INDEX(LKTN!$B$3:$B$1000,
SMALL(
IF((LKTN!$Q$3:$Q$1000&lt;&gt;"")*(LKTN!$Q$3:$Q$1000&lt;&gt;"Not Due"),
ROW(LKTN!$Q$3:$Q$1000)-ROW(LKTN!$Q$3)+1),
ROWS(A$2:A13))),"")</f>
        <v/>
      </c>
      <c r="Y13" s="115" t="str" cm="1">
        <f t="array" aca="1" ref="Y13" ca="1">IFERROR(INDEX(LKTN!$D$3:$D$1000,
SMALL(
IF((LKTN!$Q$3:$Q$1000&lt;&gt;"")*(LKTN!$Q$3:$Q$1000&lt;&gt;"Not Due"),
ROW(LKTN!$Q$3:$Q$1000)-ROW(LKTN!$Q$3)+1),
ROWS(A$2:A13))),"")</f>
        <v/>
      </c>
      <c r="Z13" s="116"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5">
        <v>12</v>
      </c>
      <c r="AK13" s="123" t="str" cm="1">
        <f t="array" aca="1" ref="AK13" ca="1">IFERROR(INDEX(ISN!$E$3:$E$1000,
SMALL(
IF((ISN!$Q$3:$Q$1000&lt;&gt;"")*(ISN!$Q$3:$Q$1000&lt;&gt;"Not Due"),
ROW(ISN!$Q$3:$Q$1000)-ROW(ISN!$Q$3)+1),
ROWS(A$2:A13))),"")</f>
        <v/>
      </c>
      <c r="AL13" s="115" t="str" cm="1">
        <f t="array" aca="1" ref="AL13" ca="1">IFERROR(INDEX(ISN!$B$3:$B$1000,
SMALL(
IF((ISN!$Q$3:$Q$1000&lt;&gt;"")*(ISN!$Q$3:$Q$1000&lt;&gt;"Not Due"),
ROW(ISN!$Q$3:$Q$1000)-ROW(ISN!$Q$3)+1),
ROWS(A$2:A13))),"")</f>
        <v/>
      </c>
      <c r="AM13" s="116" t="str" cm="1">
        <f t="array" aca="1" ref="AM13" ca="1">IFERROR(INDEX(ISN!$D$3:$D$1000,
SMALL(
IF((ISN!$Q$3:$Q$1000&lt;&gt;"")*(ISN!$Q$3:$Q$1000&lt;&gt;"Not Due"),
ROW(ISN!$Q$3:$Q$1000)-ROW(ISN!$Q$3)+1),
ROWS(A$2:A13))),"")</f>
        <v/>
      </c>
      <c r="AN13" s="116"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5">
        <v>12</v>
      </c>
      <c r="AR13" s="124" t="str" cm="1">
        <f t="array" aca="1" ref="AR13" ca="1">IFERROR(INDEX(MSN!$E$3:$E$1000,
SMALL(
IF((MSN!$Q$3:$Q$1000&lt;&gt;"")*(MSN!$Q$3:$Q$1000&lt;&gt;"Not Due"),
ROW(MSN!$Q$3:$Q$1000)-ROW(MSN!$Q$3)+1),
ROWS(A$2:A13))),"")</f>
        <v/>
      </c>
      <c r="AS13" s="115" t="str" cm="1">
        <f t="array" aca="1" ref="AS13" ca="1">IFERROR(INDEX(MSN!$B$3:$B$1000,
SMALL(
IF((MSN!$Q$3:$Q$1000&lt;&gt;"")*(MSN!$Q$3:$Q$1000&lt;&gt;"Not Due"),
ROW(MSN!$Q$3:$Q$1000)-ROW(MSN!$Q$3)+1),
ROWS(A$2:A13))),"")</f>
        <v/>
      </c>
      <c r="AT13" s="115" t="str" cm="1">
        <f t="array" aca="1" ref="AT13" ca="1">IFERROR(INDEX(MSN!$D$3:$D$1000,
SMALL(
IF((MSN!$Q$3:$Q$1000&lt;&gt;"")*(MSN!$Q$3:$Q$1000&lt;&gt;"Not Due"),
ROW(MSN!$Q$3:$Q$1000)-ROW(MSN!$Q$3)+1),
ROWS(A$2:A13))),"")</f>
        <v/>
      </c>
      <c r="AU13" s="116"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93.6" x14ac:dyDescent="0.3">
      <c r="A14" s="115">
        <v>13</v>
      </c>
      <c r="B14" s="118" t="str" cm="1">
        <f t="array" aca="1" ref="B14" ca="1">IFERROR(INDEX(FRIM!$E$3:$E$1000,
SMALL(IF(FRIM!$Q$3:$Q$1000&lt;&gt;"",
ROW(FRIM!$Q$3:$Q$1000)-ROW(FRIM!$Q$3)+1),
ROWS(A$2:A14))),"")</f>
        <v>FRIM</v>
      </c>
      <c r="C14" s="116" t="str" cm="1">
        <f t="array" aca="1" ref="C14" ca="1">IFERROR(INDEX(FRIM!$B$3:$B$1000,
SMALL(IF(FRIM!$Q$3:$Q$1000&lt;&gt;"",
ROW(FRIM!$Q$3:$Q$1000)-ROW(FRIM!$Q$3)+1),
ROWS(A$2:A14))),"")</f>
        <v>T/2026/00108</v>
      </c>
      <c r="D14" s="116" t="str" cm="1">
        <f t="array" aca="1" ref="D14" ca="1">IFERROR(INDEX(FRIM!$D$3:$D$1000,
SMALL(IF(FRIM!$Q$3:$Q$1000&lt;&gt;"",
ROW(FRIM!$Q$3:$Q$1000)-ROW(FRIM!$Q$3)+1),
ROWS(A$2:A14))),"")</f>
        <v>MYPROCUREMENT</v>
      </c>
      <c r="E14" s="116" t="str" cm="1">
        <f t="array" aca="1" ref="E14" ca="1">IFERROR(INDEX(FRIM!$G$3:$G$1000,
SMALL(IF(FRIM!$Q$3:$Q$1000&lt;&gt;"",
ROW(FRIM!$Q$3:$Q$1000)-ROW(FRIM!$Q$3)+1),
ROWS(A$2:A14))),"")</f>
        <v>W2470 04/12/2025 AZMEI B. MARZUKI DARI LUAR SYARIKAT TAK BOLEH MASUKKAN KOD BIDANG. KELUAR ERROR. TAPI SAYA BUAT DI PC SAYA BOLEH KEYIN KOD BIDANG TIADA MASALAH.</v>
      </c>
      <c r="F14" s="88" t="str" cm="1">
        <f t="array" aca="1" ref="F14" ca="1">IFERROR(INDEX(FRIM!$Q$3:$Q$1000,
SMALL(IF(FRIM!$Q$3:$Q$1000&lt;&gt;"",
ROW(FRIM!$Q$3:$Q$1000)-ROW(FRIM!$Q$3)+1),
ROWS(A$2:A14))),"")</f>
        <v>&gt;60 Days</v>
      </c>
      <c r="H14" s="115">
        <v>13</v>
      </c>
      <c r="I14" s="119" t="str" cm="1">
        <f t="array" aca="1" ref="I14" ca="1">IFERROR(INDEX(MTIB!$E$3:$E$1000,
SMALL(
IF((MTIB!$Q$3:$Q$1000&lt;&gt;"")*(MTIB!$Q$3:$Q$1000&lt;&gt;"Not Due"),
ROW(MTIB!$Q$3:$Q$1000)-ROW(MTIB!$Q$3)+1),
ROWS(A$2:A14))),"")</f>
        <v>MTIB</v>
      </c>
      <c r="J14" s="115" t="str" cm="1">
        <f t="array" aca="1" ref="J14" ca="1">IFERROR(INDEX(MTIB!$B$3:$B$1000,
SMALL(
IF((MTIB!$Q$3:$Q$1000&lt;&gt;"")*(MTIB!$Q$3:$Q$1000&lt;&gt;"Not Due"),
ROW(MTIB!$Q$3:$Q$1000)-ROW(MTIB!$Q$3)+1),
ROWS(A$2:A14))),"")</f>
        <v>T/2026/00355</v>
      </c>
      <c r="K14" s="115" t="str" cm="1">
        <f t="array" aca="1" ref="K14" ca="1">IFERROR(INDEX(MTIB!$D$3:$D$1000,
SMALL(
IF((MTIB!$Q$3:$Q$1000&lt;&gt;"")*(MTIB!$Q$3:$Q$1000&lt;&gt;"Not Due"),
ROW(MTIB!$Q$3:$Q$1000)-ROW(MTIB!$Q$3)+1),
ROWS(A$2:A14))),"")</f>
        <v>MYFINANCIAL</v>
      </c>
      <c r="L14" s="116" t="str" cm="1">
        <f t="array" aca="1" ref="L14" ca="1">IFERROR(INDEX(MTIB!$G$3:$G$1000,
SMALL(
IF((MTIB!$Q$3:$Q$1000&lt;&gt;"")*(MTIB!$Q$3:$Q$1000&lt;&gt;"Not Due"),
ROW(MTIB!$Q$3:$Q$1000)-ROW(MTIB!$Q$3)+1),
ROWS(A$2:A14))),"")</f>
        <v>Untuk makluman tuan, dua akaun ini perlu akses kepada MyFinancial Client Nama: Shah Badri Mohd Nor IC: 891214015729 Nama: Nur Adila Badrol Hisham IC: 960414085496 Untuk makluman, akses melalui MySecurity telah dibuat.</v>
      </c>
      <c r="M14" s="88" t="str" cm="1">
        <f t="array" aca="1" ref="M14" ca="1">IFERROR(INDEX(MTIB!$Q$3:$Q$1000,
SMALL(
IF((MTIB!$Q$3:$Q$1000&lt;&gt;"")*(MTIB!$Q$3:$Q$1000&lt;&gt;"Not Due"),
ROW(MTIB!$Q$3:$Q$1000)-ROW(MTIB!$Q$3)+1),
ROWS(A$2:A14))
),"")</f>
        <v>31-60 Days</v>
      </c>
      <c r="O14" s="115">
        <v>13</v>
      </c>
      <c r="P14" s="120" t="str" cm="1">
        <f t="array" aca="1" ref="P14" ca="1">IFERROR(INDEX(MPOB!$E$3:$E$1000,
SMALL(
IF((MPOB!$Q$3:$Q$1000&lt;&gt;"")*(MPOB!$Q$3:$Q$1000&lt;&gt;"Not Due"),
ROW(MPOB!$Q$3:$Q$1000)-ROW(MPOB!$Q$3)+1),
ROWS(A$2:A14))),"")</f>
        <v>MPOB</v>
      </c>
      <c r="Q14" s="115" t="str" cm="1">
        <f t="array" aca="1" ref="Q14" ca="1">IFERROR(INDEX(MPOB!$B$3:$B$1000,
SMALL(
IF((MPOB!$Q$3:$Q$1000&lt;&gt;"")*(MPOB!$Q$3:$Q$1000&lt;&gt;"Not Due"),
ROW(MPOB!$Q$3:$Q$1000)-ROW(MPOB!$Q$3)+1),
ROWS(A$2:A14))),"")</f>
        <v>T/2026/00167</v>
      </c>
      <c r="R14" s="115" t="str" cm="1">
        <f t="array" aca="1" ref="R14" ca="1">IFERROR(INDEX(MPOB!$D$3:$D$1000,
SMALL(
IF((MPOB!$Q$3:$Q$1000&lt;&gt;"")*(MPOB!$Q$3:$Q$1000&lt;&gt;"Not Due"),
ROW(MPOB!$Q$3:$Q$1000)-ROW(MPOB!$Q$3)+1),
ROWS(A$2:A14))),"")</f>
        <v>MyAsset</v>
      </c>
      <c r="S14" s="116" t="str" cm="1">
        <f t="array" aca="1" ref="S14" ca="1">IFERROR(INDEX(MPOB!$G$3:$G$1000,
SMALL(
IF((MPOB!$Q$3:$Q$1000&lt;&gt;"")*(MPOB!$Q$3:$Q$1000&lt;&gt;"Not Due"),
ROW(MPOB!$Q$3:$Q$1000)-ROW(MPOB!$Q$3)+1),
ROWS(A$2:A14))),"")</f>
        <v>Nama User : Myra Date : 29/01/2026 Isu : utk pendaftaran aset 2520211253 sepatutnya link kod A1432203..tapi bile kite print GL AM2601-0079 xappear kod merging aset nya..boleh tlg tgk kn x? klo kata xlink, boleh tlg link kn antara kod A2032203 ke A1432203</v>
      </c>
      <c r="T14" s="88" t="str" cm="1">
        <f t="array" aca="1" ref="T14" ca="1">IFERROR(INDEX(MPOB!$Q$3:$Q$1000,
SMALL(
IF((MPOB!$Q$3:$Q$1000&lt;&gt;"")*(MPOB!$Q$3:$Q$1000&lt;&gt;"Not Due"),
ROW(MPOB!$Q$3:$Q$1000)-ROW(MPOB!$Q$3)+1),
ROWS(A$2:A14))
),"")</f>
        <v>&gt;60 Days</v>
      </c>
      <c r="V14" s="115">
        <v>13</v>
      </c>
      <c r="W14" s="121" t="str" cm="1">
        <f t="array" aca="1" ref="W14" ca="1">IFERROR(INDEX(LKTN!$E$3:$E$1000,
SMALL(
IF((LKTN!$Q$3:$Q$1000&lt;&gt;"")*(LKTN!$Q$3:$Q$1000&lt;&gt;"Not Due"),
ROW(LKTN!$Q$3:$Q$1000)-ROW(LKTN!$Q$3)+1),
ROWS(A$2:A14))),"")</f>
        <v/>
      </c>
      <c r="X14" s="115" t="str" cm="1">
        <f t="array" aca="1" ref="X14" ca="1">IFERROR(INDEX(LKTN!$B$3:$B$1000,
SMALL(
IF((LKTN!$Q$3:$Q$1000&lt;&gt;"")*(LKTN!$Q$3:$Q$1000&lt;&gt;"Not Due"),
ROW(LKTN!$Q$3:$Q$1000)-ROW(LKTN!$Q$3)+1),
ROWS(A$2:A14))),"")</f>
        <v/>
      </c>
      <c r="Y14" s="115" t="str" cm="1">
        <f t="array" aca="1" ref="Y14" ca="1">IFERROR(INDEX(LKTN!$D$3:$D$1000,
SMALL(
IF((LKTN!$Q$3:$Q$1000&lt;&gt;"")*(LKTN!$Q$3:$Q$1000&lt;&gt;"Not Due"),
ROW(LKTN!$Q$3:$Q$1000)-ROW(LKTN!$Q$3)+1),
ROWS(A$2:A14))),"")</f>
        <v/>
      </c>
      <c r="Z14" s="116"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5">
        <v>13</v>
      </c>
      <c r="AK14" s="123" t="str" cm="1">
        <f t="array" aca="1" ref="AK14" ca="1">IFERROR(INDEX(ISN!$E$3:$E$1000,
SMALL(
IF((ISN!$Q$3:$Q$1000&lt;&gt;"")*(ISN!$Q$3:$Q$1000&lt;&gt;"Not Due"),
ROW(ISN!$Q$3:$Q$1000)-ROW(ISN!$Q$3)+1),
ROWS(A$2:A14))),"")</f>
        <v/>
      </c>
      <c r="AL14" s="115" t="str" cm="1">
        <f t="array" aca="1" ref="AL14" ca="1">IFERROR(INDEX(ISN!$B$3:$B$1000,
SMALL(
IF((ISN!$Q$3:$Q$1000&lt;&gt;"")*(ISN!$Q$3:$Q$1000&lt;&gt;"Not Due"),
ROW(ISN!$Q$3:$Q$1000)-ROW(ISN!$Q$3)+1),
ROWS(A$2:A14))),"")</f>
        <v/>
      </c>
      <c r="AM14" s="116" t="str" cm="1">
        <f t="array" aca="1" ref="AM14" ca="1">IFERROR(INDEX(ISN!$D$3:$D$1000,
SMALL(
IF((ISN!$Q$3:$Q$1000&lt;&gt;"")*(ISN!$Q$3:$Q$1000&lt;&gt;"Not Due"),
ROW(ISN!$Q$3:$Q$1000)-ROW(ISN!$Q$3)+1),
ROWS(A$2:A14))),"")</f>
        <v/>
      </c>
      <c r="AN14" s="116"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5">
        <v>13</v>
      </c>
      <c r="AR14" s="124" t="str" cm="1">
        <f t="array" aca="1" ref="AR14" ca="1">IFERROR(INDEX(MSN!$E$3:$E$1000,
SMALL(
IF((MSN!$Q$3:$Q$1000&lt;&gt;"")*(MSN!$Q$3:$Q$1000&lt;&gt;"Not Due"),
ROW(MSN!$Q$3:$Q$1000)-ROW(MSN!$Q$3)+1),
ROWS(A$2:A14))),"")</f>
        <v/>
      </c>
      <c r="AS14" s="115" t="str" cm="1">
        <f t="array" aca="1" ref="AS14" ca="1">IFERROR(INDEX(MSN!$B$3:$B$1000,
SMALL(
IF((MSN!$Q$3:$Q$1000&lt;&gt;"")*(MSN!$Q$3:$Q$1000&lt;&gt;"Not Due"),
ROW(MSN!$Q$3:$Q$1000)-ROW(MSN!$Q$3)+1),
ROWS(A$2:A14))),"")</f>
        <v/>
      </c>
      <c r="AT14" s="115" t="str" cm="1">
        <f t="array" aca="1" ref="AT14" ca="1">IFERROR(INDEX(MSN!$D$3:$D$1000,
SMALL(
IF((MSN!$Q$3:$Q$1000&lt;&gt;"")*(MSN!$Q$3:$Q$1000&lt;&gt;"Not Due"),
ROW(MSN!$Q$3:$Q$1000)-ROW(MSN!$Q$3)+1),
ROWS(A$2:A14))),"")</f>
        <v/>
      </c>
      <c r="AU14" s="116"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93.6" x14ac:dyDescent="0.3">
      <c r="A15" s="115">
        <v>14</v>
      </c>
      <c r="B15" s="118" t="str" cm="1">
        <f t="array" aca="1" ref="B15" ca="1">IFERROR(INDEX(FRIM!$E$3:$E$1000,
SMALL(IF(FRIM!$Q$3:$Q$1000&lt;&gt;"",
ROW(FRIM!$Q$3:$Q$1000)-ROW(FRIM!$Q$3)+1),
ROWS(A$2:A15))),"")</f>
        <v>FRIM</v>
      </c>
      <c r="C15" s="116" t="str" cm="1">
        <f t="array" aca="1" ref="C15" ca="1">IFERROR(INDEX(FRIM!$B$3:$B$1000,
SMALL(IF(FRIM!$Q$3:$Q$1000&lt;&gt;"",
ROW(FRIM!$Q$3:$Q$1000)-ROW(FRIM!$Q$3)+1),
ROWS(A$2:A15))),"")</f>
        <v>T/2026/00112</v>
      </c>
      <c r="D15" s="116" t="str" cm="1">
        <f t="array" aca="1" ref="D15" ca="1">IFERROR(INDEX(FRIM!$D$3:$D$1000,
SMALL(IF(FRIM!$Q$3:$Q$1000&lt;&gt;"",
ROW(FRIM!$Q$3:$Q$1000)-ROW(FRIM!$Q$3)+1),
ROWS(A$2:A15))),"")</f>
        <v>MYPROCUREMENT</v>
      </c>
      <c r="E15" s="116" t="str" cm="1">
        <f t="array" aca="1" ref="E15" ca="1">IFERROR(INDEX(FRIM!$G$3:$G$1000,
SMALL(IF(FRIM!$Q$3:$Q$1000&lt;&gt;"",
ROW(FRIM!$Q$3:$Q$1000)-ROW(FRIM!$Q$3)+1),
ROWS(A$2:A15))),"")</f>
        <v>W2477 17/12/2025 AZMEI B. MARZUKI AZTEC SINAR SDN BHD MENGADU. MASALAH TIADA BUTANG UPLOAD SELEPAS KAMI BERI ID &amp; PWORD. SO SYARIKAT TIDAK DAPAT BUAT RENEWAL DI DALAM SISTEM. MOHON TINDAKAN SEGERA SEBAB PROSES PEMBELIAN SEBUTHARGA TERGENDALA.</v>
      </c>
      <c r="F15" s="88" t="str" cm="1">
        <f t="array" aca="1" ref="F15" ca="1">IFERROR(INDEX(FRIM!$Q$3:$Q$1000,
SMALL(IF(FRIM!$Q$3:$Q$1000&lt;&gt;"",
ROW(FRIM!$Q$3:$Q$1000)-ROW(FRIM!$Q$3)+1),
ROWS(A$2:A15))),"")</f>
        <v>&gt;60 Days</v>
      </c>
      <c r="H15" s="115">
        <v>14</v>
      </c>
      <c r="I15" s="119" t="str" cm="1">
        <f t="array" aca="1" ref="I15" ca="1">IFERROR(INDEX(MTIB!$E$3:$E$1000,
SMALL(
IF((MTIB!$Q$3:$Q$1000&lt;&gt;"")*(MTIB!$Q$3:$Q$1000&lt;&gt;"Not Due"),
ROW(MTIB!$Q$3:$Q$1000)-ROW(MTIB!$Q$3)+1),
ROWS(A$2:A15))),"")</f>
        <v>MTIB</v>
      </c>
      <c r="J15" s="115" t="str" cm="1">
        <f t="array" aca="1" ref="J15" ca="1">IFERROR(INDEX(MTIB!$B$3:$B$1000,
SMALL(
IF((MTIB!$Q$3:$Q$1000&lt;&gt;"")*(MTIB!$Q$3:$Q$1000&lt;&gt;"Not Due"),
ROW(MTIB!$Q$3:$Q$1000)-ROW(MTIB!$Q$3)+1),
ROWS(A$2:A15))),"")</f>
        <v>T/2026/00445</v>
      </c>
      <c r="K15" s="115" t="str" cm="1">
        <f t="array" aca="1" ref="K15" ca="1">IFERROR(INDEX(MTIB!$D$3:$D$1000,
SMALL(
IF((MTIB!$Q$3:$Q$1000&lt;&gt;"")*(MTIB!$Q$3:$Q$1000&lt;&gt;"Not Due"),
ROW(MTIB!$Q$3:$Q$1000)-ROW(MTIB!$Q$3)+1),
ROWS(A$2:A15))),"")</f>
        <v>MYFINANCIAL</v>
      </c>
      <c r="L15" s="116" t="str" cm="1">
        <f t="array" aca="1" ref="L15" ca="1">IFERROR(INDEX(MTIB!$G$3:$G$1000,
SMALL(
IF((MTIB!$Q$3:$Q$1000&lt;&gt;"")*(MTIB!$Q$3:$Q$1000&lt;&gt;"Not Due"),
ROW(MTIB!$Q$3:$Q$1000)-ROW(MTIB!$Q$3)+1),
ROWS(A$2:A15))),"")</f>
        <v>Dah banyak kali key-in dan tak boleh nak SIMPAN. Bila click SIMPAN, keluar error "Tambah tidak berjaya". Untuk makluman, bajet mencukupi.</v>
      </c>
      <c r="M15" s="88" t="str" cm="1">
        <f t="array" aca="1" ref="M15" ca="1">IFERROR(INDEX(MTIB!$Q$3:$Q$1000,
SMALL(
IF((MTIB!$Q$3:$Q$1000&lt;&gt;"")*(MTIB!$Q$3:$Q$1000&lt;&gt;"Not Due"),
ROW(MTIB!$Q$3:$Q$1000)-ROW(MTIB!$Q$3)+1),
ROWS(A$2:A15))
),"")</f>
        <v>1-30 Days</v>
      </c>
      <c r="O15" s="115">
        <v>14</v>
      </c>
      <c r="P15" s="120" t="str" cm="1">
        <f t="array" aca="1" ref="P15" ca="1">IFERROR(INDEX(MPOB!$E$3:$E$1000,
SMALL(
IF((MPOB!$Q$3:$Q$1000&lt;&gt;"")*(MPOB!$Q$3:$Q$1000&lt;&gt;"Not Due"),
ROW(MPOB!$Q$3:$Q$1000)-ROW(MPOB!$Q$3)+1),
ROWS(A$2:A15))),"")</f>
        <v>MPOB</v>
      </c>
      <c r="Q15" s="115" t="str" cm="1">
        <f t="array" aca="1" ref="Q15" ca="1">IFERROR(INDEX(MPOB!$B$3:$B$1000,
SMALL(
IF((MPOB!$Q$3:$Q$1000&lt;&gt;"")*(MPOB!$Q$3:$Q$1000&lt;&gt;"Not Due"),
ROW(MPOB!$Q$3:$Q$1000)-ROW(MPOB!$Q$3)+1),
ROWS(A$2:A15))),"")</f>
        <v>T/2026/00168</v>
      </c>
      <c r="R15" s="115" t="str" cm="1">
        <f t="array" aca="1" ref="R15" ca="1">IFERROR(INDEX(MPOB!$D$3:$D$1000,
SMALL(
IF((MPOB!$Q$3:$Q$1000&lt;&gt;"")*(MPOB!$Q$3:$Q$1000&lt;&gt;"Not Due"),
ROW(MPOB!$Q$3:$Q$1000)-ROW(MPOB!$Q$3)+1),
ROWS(A$2:A15))),"")</f>
        <v>MyFinancial</v>
      </c>
      <c r="S15" s="116" t="str" cm="1">
        <f t="array" aca="1" ref="S15" ca="1">IFERROR(INDEX(MPOB!$G$3:$G$1000,
SMALL(
IF((MPOB!$Q$3:$Q$1000&lt;&gt;"")*(MPOB!$Q$3:$Q$1000&lt;&gt;"Not Due"),
ROW(MPOB!$Q$3:$Q$1000)-ROW(MPOB!$Q$3)+1),
ROWS(A$2:A15))),"")</f>
        <v>Nama User : Liyana Date : 30/01/2026 Isu : NO BIL X APPEAR SEMASA BUAT CREDIT NOTE: BILFMDD/1224/01703, BILFMDD/1224/01707, BILFMDD/0624/00283, BILFMDD/0824/002787, BILFMDD/0624/00298, BILFMDD/1124/01470</v>
      </c>
      <c r="T15" s="88" t="str" cm="1">
        <f t="array" aca="1" ref="T15" ca="1">IFERROR(INDEX(MPOB!$Q$3:$Q$1000,
SMALL(
IF((MPOB!$Q$3:$Q$1000&lt;&gt;"")*(MPOB!$Q$3:$Q$1000&lt;&gt;"Not Due"),
ROW(MPOB!$Q$3:$Q$1000)-ROW(MPOB!$Q$3)+1),
ROWS(A$2:A15))
),"")</f>
        <v>&gt;60 Days</v>
      </c>
      <c r="V15" s="115">
        <v>14</v>
      </c>
      <c r="W15" s="121" t="str" cm="1">
        <f t="array" aca="1" ref="W15" ca="1">IFERROR(INDEX(LKTN!$E$3:$E$1000,
SMALL(
IF((LKTN!$Q$3:$Q$1000&lt;&gt;"")*(LKTN!$Q$3:$Q$1000&lt;&gt;"Not Due"),
ROW(LKTN!$Q$3:$Q$1000)-ROW(LKTN!$Q$3)+1),
ROWS(A$2:A15))),"")</f>
        <v/>
      </c>
      <c r="X15" s="115" t="str" cm="1">
        <f t="array" aca="1" ref="X15" ca="1">IFERROR(INDEX(LKTN!$B$3:$B$1000,
SMALL(
IF((LKTN!$Q$3:$Q$1000&lt;&gt;"")*(LKTN!$Q$3:$Q$1000&lt;&gt;"Not Due"),
ROW(LKTN!$Q$3:$Q$1000)-ROW(LKTN!$Q$3)+1),
ROWS(A$2:A15))),"")</f>
        <v/>
      </c>
      <c r="Y15" s="115" t="str" cm="1">
        <f t="array" aca="1" ref="Y15" ca="1">IFERROR(INDEX(LKTN!$D$3:$D$1000,
SMALL(
IF((LKTN!$Q$3:$Q$1000&lt;&gt;"")*(LKTN!$Q$3:$Q$1000&lt;&gt;"Not Due"),
ROW(LKTN!$Q$3:$Q$1000)-ROW(LKTN!$Q$3)+1),
ROWS(A$2:A15))),"")</f>
        <v/>
      </c>
      <c r="Z15" s="116"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5">
        <v>14</v>
      </c>
      <c r="AK15" s="123" t="str" cm="1">
        <f t="array" aca="1" ref="AK15" ca="1">IFERROR(INDEX(ISN!$E$3:$E$1000,
SMALL(
IF((ISN!$Q$3:$Q$1000&lt;&gt;"")*(ISN!$Q$3:$Q$1000&lt;&gt;"Not Due"),
ROW(ISN!$Q$3:$Q$1000)-ROW(ISN!$Q$3)+1),
ROWS(A$2:A15))),"")</f>
        <v/>
      </c>
      <c r="AL15" s="115" t="str" cm="1">
        <f t="array" aca="1" ref="AL15" ca="1">IFERROR(INDEX(ISN!$B$3:$B$1000,
SMALL(
IF((ISN!$Q$3:$Q$1000&lt;&gt;"")*(ISN!$Q$3:$Q$1000&lt;&gt;"Not Due"),
ROW(ISN!$Q$3:$Q$1000)-ROW(ISN!$Q$3)+1),
ROWS(A$2:A15))),"")</f>
        <v/>
      </c>
      <c r="AM15" s="116" t="str" cm="1">
        <f t="array" aca="1" ref="AM15" ca="1">IFERROR(INDEX(ISN!$D$3:$D$1000,
SMALL(
IF((ISN!$Q$3:$Q$1000&lt;&gt;"")*(ISN!$Q$3:$Q$1000&lt;&gt;"Not Due"),
ROW(ISN!$Q$3:$Q$1000)-ROW(ISN!$Q$3)+1),
ROWS(A$2:A15))),"")</f>
        <v/>
      </c>
      <c r="AN15" s="116"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5">
        <v>14</v>
      </c>
      <c r="AR15" s="124" t="str" cm="1">
        <f t="array" aca="1" ref="AR15" ca="1">IFERROR(INDEX(MSN!$E$3:$E$1000,
SMALL(
IF((MSN!$Q$3:$Q$1000&lt;&gt;"")*(MSN!$Q$3:$Q$1000&lt;&gt;"Not Due"),
ROW(MSN!$Q$3:$Q$1000)-ROW(MSN!$Q$3)+1),
ROWS(A$2:A15))),"")</f>
        <v/>
      </c>
      <c r="AS15" s="115" t="str" cm="1">
        <f t="array" aca="1" ref="AS15" ca="1">IFERROR(INDEX(MSN!$B$3:$B$1000,
SMALL(
IF((MSN!$Q$3:$Q$1000&lt;&gt;"")*(MSN!$Q$3:$Q$1000&lt;&gt;"Not Due"),
ROW(MSN!$Q$3:$Q$1000)-ROW(MSN!$Q$3)+1),
ROWS(A$2:A15))),"")</f>
        <v/>
      </c>
      <c r="AT15" s="115" t="str" cm="1">
        <f t="array" aca="1" ref="AT15" ca="1">IFERROR(INDEX(MSN!$D$3:$D$1000,
SMALL(
IF((MSN!$Q$3:$Q$1000&lt;&gt;"")*(MSN!$Q$3:$Q$1000&lt;&gt;"Not Due"),
ROW(MSN!$Q$3:$Q$1000)-ROW(MSN!$Q$3)+1),
ROWS(A$2:A15))),"")</f>
        <v/>
      </c>
      <c r="AU15" s="116"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124.8" x14ac:dyDescent="0.3">
      <c r="A16" s="115">
        <v>15</v>
      </c>
      <c r="B16" s="118" t="str" cm="1">
        <f t="array" aca="1" ref="B16" ca="1">IFERROR(INDEX(FRIM!$E$3:$E$1000,
SMALL(IF(FRIM!$Q$3:$Q$1000&lt;&gt;"",
ROW(FRIM!$Q$3:$Q$1000)-ROW(FRIM!$Q$3)+1),
ROWS(A$2:A16))),"")</f>
        <v>FRIM</v>
      </c>
      <c r="C16" s="116" t="str" cm="1">
        <f t="array" aca="1" ref="C16" ca="1">IFERROR(INDEX(FRIM!$B$3:$B$1000,
SMALL(IF(FRIM!$Q$3:$Q$1000&lt;&gt;"",
ROW(FRIM!$Q$3:$Q$1000)-ROW(FRIM!$Q$3)+1),
ROWS(A$2:A16))),"")</f>
        <v>T/2026/00115</v>
      </c>
      <c r="D16" s="116" t="str" cm="1">
        <f t="array" aca="1" ref="D16" ca="1">IFERROR(INDEX(FRIM!$D$3:$D$1000,
SMALL(IF(FRIM!$Q$3:$Q$1000&lt;&gt;"",
ROW(FRIM!$Q$3:$Q$1000)-ROW(FRIM!$Q$3)+1),
ROWS(A$2:A16))),"")</f>
        <v>MYFINANCIAL CLIENT</v>
      </c>
      <c r="E16" s="116" t="str" cm="1">
        <f t="array" aca="1" ref="E16" ca="1">IFERROR(INDEX(FRIM!$G$3:$G$1000,
SMALL(IF(FRIM!$Q$3:$Q$1000&lt;&gt;"",
ROW(FRIM!$Q$3:$Q$1000)-ROW(FRIM!$Q$3)+1),
ROWS(A$2:A16))),"")</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6" s="88" t="str" cm="1">
        <f t="array" aca="1" ref="F16" ca="1">IFERROR(INDEX(FRIM!$Q$3:$Q$1000,
SMALL(IF(FRIM!$Q$3:$Q$1000&lt;&gt;"",
ROW(FRIM!$Q$3:$Q$1000)-ROW(FRIM!$Q$3)+1),
ROWS(A$2:A16))),"")</f>
        <v>&gt;60 Days</v>
      </c>
      <c r="H16" s="115">
        <v>15</v>
      </c>
      <c r="I16" s="119" t="str" cm="1">
        <f t="array" aca="1" ref="I16" ca="1">IFERROR(INDEX(MTIB!$E$3:$E$1000,
SMALL(
IF((MTIB!$Q$3:$Q$1000&lt;&gt;"")*(MTIB!$Q$3:$Q$1000&lt;&gt;"Not Due"),
ROW(MTIB!$Q$3:$Q$1000)-ROW(MTIB!$Q$3)+1),
ROWS(A$2:A16))),"")</f>
        <v>MTIB</v>
      </c>
      <c r="J16" s="115" t="str" cm="1">
        <f t="array" aca="1" ref="J16" ca="1">IFERROR(INDEX(MTIB!$B$3:$B$1000,
SMALL(
IF((MTIB!$Q$3:$Q$1000&lt;&gt;"")*(MTIB!$Q$3:$Q$1000&lt;&gt;"Not Due"),
ROW(MTIB!$Q$3:$Q$1000)-ROW(MTIB!$Q$3)+1),
ROWS(A$2:A16))),"")</f>
        <v>T/2026/00451</v>
      </c>
      <c r="K16" s="115" t="str" cm="1">
        <f t="array" aca="1" ref="K16" ca="1">IFERROR(INDEX(MTIB!$D$3:$D$1000,
SMALL(
IF((MTIB!$Q$3:$Q$1000&lt;&gt;"")*(MTIB!$Q$3:$Q$1000&lt;&gt;"Not Due"),
ROW(MTIB!$Q$3:$Q$1000)-ROW(MTIB!$Q$3)+1),
ROWS(A$2:A16))),"")</f>
        <v>MYFINANCIAL</v>
      </c>
      <c r="L16" s="116" t="str" cm="1">
        <f t="array" aca="1" ref="L16" ca="1">IFERROR(INDEX(MTIB!$G$3:$G$1000,
SMALL(
IF((MTIB!$Q$3:$Q$1000&lt;&gt;"")*(MTIB!$Q$3:$Q$1000&lt;&gt;"Not Due"),
ROW(MTIB!$Q$3:$Q$1000)-ROW(MTIB!$Q$3)+1),
ROWS(A$2:A16))),"")</f>
        <v>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v>
      </c>
      <c r="M16" s="88" t="str" cm="1">
        <f t="array" aca="1" ref="M16" ca="1">IFERROR(INDEX(MTIB!$Q$3:$Q$1000,
SMALL(
IF((MTIB!$Q$3:$Q$1000&lt;&gt;"")*(MTIB!$Q$3:$Q$1000&lt;&gt;"Not Due"),
ROW(MTIB!$Q$3:$Q$1000)-ROW(MTIB!$Q$3)+1),
ROWS(A$2:A16))
),"")</f>
        <v>1-30 Days</v>
      </c>
      <c r="O16" s="115">
        <v>15</v>
      </c>
      <c r="P16" s="120" t="str" cm="1">
        <f t="array" aca="1" ref="P16" ca="1">IFERROR(INDEX(MPOB!$E$3:$E$1000,
SMALL(
IF((MPOB!$Q$3:$Q$1000&lt;&gt;"")*(MPOB!$Q$3:$Q$1000&lt;&gt;"Not Due"),
ROW(MPOB!$Q$3:$Q$1000)-ROW(MPOB!$Q$3)+1),
ROWS(A$2:A16))),"")</f>
        <v>MPOB</v>
      </c>
      <c r="Q16" s="115" t="str" cm="1">
        <f t="array" aca="1" ref="Q16" ca="1">IFERROR(INDEX(MPOB!$B$3:$B$1000,
SMALL(
IF((MPOB!$Q$3:$Q$1000&lt;&gt;"")*(MPOB!$Q$3:$Q$1000&lt;&gt;"Not Due"),
ROW(MPOB!$Q$3:$Q$1000)-ROW(MPOB!$Q$3)+1),
ROWS(A$2:A16))),"")</f>
        <v>T/2026/00177</v>
      </c>
      <c r="R16" s="115" t="str" cm="1">
        <f t="array" aca="1" ref="R16" ca="1">IFERROR(INDEX(MPOB!$D$3:$D$1000,
SMALL(
IF((MPOB!$Q$3:$Q$1000&lt;&gt;"")*(MPOB!$Q$3:$Q$1000&lt;&gt;"Not Due"),
ROW(MPOB!$Q$3:$Q$1000)-ROW(MPOB!$Q$3)+1),
ROWS(A$2:A16))),"")</f>
        <v>MyFinancial</v>
      </c>
      <c r="S16" s="116" t="str" cm="1">
        <f t="array" aca="1" ref="S16" ca="1">IFERROR(INDEX(MPOB!$G$3:$G$1000,
SMALL(
IF((MPOB!$Q$3:$Q$1000&lt;&gt;"")*(MPOB!$Q$3:$Q$1000&lt;&gt;"Not Due"),
ROW(MPOB!$Q$3:$Q$1000)-ROW(MPOB!$Q$3)+1),
ROWS(A$2:A16))),"")</f>
        <v>Nama User : Norlizah Date : 4/2/2026 Isu : bila klik cetak..kenapa resit kosong👆</v>
      </c>
      <c r="T16" s="88" t="str" cm="1">
        <f t="array" aca="1" ref="T16" ca="1">IFERROR(INDEX(MPOB!$Q$3:$Q$1000,
SMALL(
IF((MPOB!$Q$3:$Q$1000&lt;&gt;"")*(MPOB!$Q$3:$Q$1000&lt;&gt;"Not Due"),
ROW(MPOB!$Q$3:$Q$1000)-ROW(MPOB!$Q$3)+1),
ROWS(A$2:A16))
),"")</f>
        <v>&gt;60 Days</v>
      </c>
      <c r="V16" s="115">
        <v>15</v>
      </c>
      <c r="W16" s="121" t="str" cm="1">
        <f t="array" aca="1" ref="W16" ca="1">IFERROR(INDEX(LKTN!$E$3:$E$1000,
SMALL(
IF((LKTN!$Q$3:$Q$1000&lt;&gt;"")*(LKTN!$Q$3:$Q$1000&lt;&gt;"Not Due"),
ROW(LKTN!$Q$3:$Q$1000)-ROW(LKTN!$Q$3)+1),
ROWS(A$2:A16))),"")</f>
        <v/>
      </c>
      <c r="X16" s="115" t="str" cm="1">
        <f t="array" aca="1" ref="X16" ca="1">IFERROR(INDEX(LKTN!$B$3:$B$1000,
SMALL(
IF((LKTN!$Q$3:$Q$1000&lt;&gt;"")*(LKTN!$Q$3:$Q$1000&lt;&gt;"Not Due"),
ROW(LKTN!$Q$3:$Q$1000)-ROW(LKTN!$Q$3)+1),
ROWS(A$2:A16))),"")</f>
        <v/>
      </c>
      <c r="Y16" s="115" t="str" cm="1">
        <f t="array" aca="1" ref="Y16" ca="1">IFERROR(INDEX(LKTN!$D$3:$D$1000,
SMALL(
IF((LKTN!$Q$3:$Q$1000&lt;&gt;"")*(LKTN!$Q$3:$Q$1000&lt;&gt;"Not Due"),
ROW(LKTN!$Q$3:$Q$1000)-ROW(LKTN!$Q$3)+1),
ROWS(A$2:A16))),"")</f>
        <v/>
      </c>
      <c r="Z16" s="116"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5">
        <v>15</v>
      </c>
      <c r="AK16" s="123" t="str" cm="1">
        <f t="array" aca="1" ref="AK16" ca="1">IFERROR(INDEX(ISN!$E$3:$E$1000,
SMALL(
IF((ISN!$Q$3:$Q$1000&lt;&gt;"")*(ISN!$Q$3:$Q$1000&lt;&gt;"Not Due"),
ROW(ISN!$Q$3:$Q$1000)-ROW(ISN!$Q$3)+1),
ROWS(A$2:A16))),"")</f>
        <v/>
      </c>
      <c r="AL16" s="115" t="str" cm="1">
        <f t="array" aca="1" ref="AL16" ca="1">IFERROR(INDEX(ISN!$B$3:$B$1000,
SMALL(
IF((ISN!$Q$3:$Q$1000&lt;&gt;"")*(ISN!$Q$3:$Q$1000&lt;&gt;"Not Due"),
ROW(ISN!$Q$3:$Q$1000)-ROW(ISN!$Q$3)+1),
ROWS(A$2:A16))),"")</f>
        <v/>
      </c>
      <c r="AM16" s="116" t="str" cm="1">
        <f t="array" aca="1" ref="AM16" ca="1">IFERROR(INDEX(ISN!$D$3:$D$1000,
SMALL(
IF((ISN!$Q$3:$Q$1000&lt;&gt;"")*(ISN!$Q$3:$Q$1000&lt;&gt;"Not Due"),
ROW(ISN!$Q$3:$Q$1000)-ROW(ISN!$Q$3)+1),
ROWS(A$2:A16))),"")</f>
        <v/>
      </c>
      <c r="AN16" s="116"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5">
        <v>15</v>
      </c>
      <c r="AR16" s="124" t="str" cm="1">
        <f t="array" aca="1" ref="AR16" ca="1">IFERROR(INDEX(MSN!$E$3:$E$1000,
SMALL(
IF((MSN!$Q$3:$Q$1000&lt;&gt;"")*(MSN!$Q$3:$Q$1000&lt;&gt;"Not Due"),
ROW(MSN!$Q$3:$Q$1000)-ROW(MSN!$Q$3)+1),
ROWS(A$2:A16))),"")</f>
        <v/>
      </c>
      <c r="AS16" s="115" t="str" cm="1">
        <f t="array" aca="1" ref="AS16" ca="1">IFERROR(INDEX(MSN!$B$3:$B$1000,
SMALL(
IF((MSN!$Q$3:$Q$1000&lt;&gt;"")*(MSN!$Q$3:$Q$1000&lt;&gt;"Not Due"),
ROW(MSN!$Q$3:$Q$1000)-ROW(MSN!$Q$3)+1),
ROWS(A$2:A16))),"")</f>
        <v/>
      </c>
      <c r="AT16" s="115" t="str" cm="1">
        <f t="array" aca="1" ref="AT16" ca="1">IFERROR(INDEX(MSN!$D$3:$D$1000,
SMALL(
IF((MSN!$Q$3:$Q$1000&lt;&gt;"")*(MSN!$Q$3:$Q$1000&lt;&gt;"Not Due"),
ROW(MSN!$Q$3:$Q$1000)-ROW(MSN!$Q$3)+1),
ROWS(A$2:A16))),"")</f>
        <v/>
      </c>
      <c r="AU16" s="116"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62.4" x14ac:dyDescent="0.3">
      <c r="A17" s="115">
        <v>16</v>
      </c>
      <c r="B17" s="118" t="str" cm="1">
        <f t="array" aca="1" ref="B17" ca="1">IFERROR(INDEX(FRIM!$E$3:$E$1000,
SMALL(IF(FRIM!$Q$3:$Q$1000&lt;&gt;"",
ROW(FRIM!$Q$3:$Q$1000)-ROW(FRIM!$Q$3)+1),
ROWS(A$2:A17))),"")</f>
        <v>FRIM</v>
      </c>
      <c r="C17" s="116" t="str" cm="1">
        <f t="array" aca="1" ref="C17" ca="1">IFERROR(INDEX(FRIM!$B$3:$B$1000,
SMALL(IF(FRIM!$Q$3:$Q$1000&lt;&gt;"",
ROW(FRIM!$Q$3:$Q$1000)-ROW(FRIM!$Q$3)+1),
ROWS(A$2:A17))),"")</f>
        <v>T/2026/00122</v>
      </c>
      <c r="D17" s="116" t="str" cm="1">
        <f t="array" aca="1" ref="D17" ca="1">IFERROR(INDEX(FRIM!$D$3:$D$1000,
SMALL(IF(FRIM!$Q$3:$Q$1000&lt;&gt;"",
ROW(FRIM!$Q$3:$Q$1000)-ROW(FRIM!$Q$3)+1),
ROWS(A$2:A17))),"")</f>
        <v>MYPROCUREMENT</v>
      </c>
      <c r="E17" s="116" t="str" cm="1">
        <f t="array" aca="1" ref="E17" ca="1">IFERROR(INDEX(FRIM!$G$3:$G$1000,
SMALL(IF(FRIM!$Q$3:$Q$1000&lt;&gt;"",
ROW(FRIM!$Q$3:$Q$1000)-ROW(FRIM!$Q$3)+1),
ROWS(A$2:A17))),"")</f>
        <v>W2525 12/03/2026 NURUL AIN BINTI MOHD HADZIR Sistem kebenaran perolehan bagi permohonan baru. Terdapat masalah sistem di Konfigurasi capaian.</v>
      </c>
      <c r="F17" s="88" t="str" cm="1">
        <f t="array" aca="1" ref="F17" ca="1">IFERROR(INDEX(FRIM!$Q$3:$Q$1000,
SMALL(IF(FRIM!$Q$3:$Q$1000&lt;&gt;"",
ROW(FRIM!$Q$3:$Q$1000)-ROW(FRIM!$Q$3)+1),
ROWS(A$2:A17))),"")</f>
        <v>&gt;60 Days</v>
      </c>
      <c r="H17" s="115">
        <v>16</v>
      </c>
      <c r="I17" s="119" t="str" cm="1">
        <f t="array" aca="1" ref="I17" ca="1">IFERROR(INDEX(MTIB!$E$3:$E$1000,
SMALL(
IF((MTIB!$Q$3:$Q$1000&lt;&gt;"")*(MTIB!$Q$3:$Q$1000&lt;&gt;"Not Due"),
ROW(MTIB!$Q$3:$Q$1000)-ROW(MTIB!$Q$3)+1),
ROWS(A$2:A17))),"")</f>
        <v/>
      </c>
      <c r="J17" s="115" t="str" cm="1">
        <f t="array" aca="1" ref="J17" ca="1">IFERROR(INDEX(MTIB!$B$3:$B$1000,
SMALL(
IF((MTIB!$Q$3:$Q$1000&lt;&gt;"")*(MTIB!$Q$3:$Q$1000&lt;&gt;"Not Due"),
ROW(MTIB!$Q$3:$Q$1000)-ROW(MTIB!$Q$3)+1),
ROWS(A$2:A17))),"")</f>
        <v/>
      </c>
      <c r="K17" s="115" t="str" cm="1">
        <f t="array" aca="1" ref="K17" ca="1">IFERROR(INDEX(MTIB!$D$3:$D$1000,
SMALL(
IF((MTIB!$Q$3:$Q$1000&lt;&gt;"")*(MTIB!$Q$3:$Q$1000&lt;&gt;"Not Due"),
ROW(MTIB!$Q$3:$Q$1000)-ROW(MTIB!$Q$3)+1),
ROWS(A$2:A17))),"")</f>
        <v/>
      </c>
      <c r="L17" s="116" t="str" cm="1">
        <f t="array" aca="1" ref="L17" ca="1">IFERROR(INDEX(MTIB!$G$3:$G$1000,
SMALL(
IF((MTIB!$Q$3:$Q$1000&lt;&gt;"")*(MTIB!$Q$3:$Q$1000&lt;&gt;"Not Due"),
ROW(MTIB!$Q$3:$Q$1000)-ROW(MTIB!$Q$3)+1),
ROWS(A$2:A17))),"")</f>
        <v/>
      </c>
      <c r="M17" s="88" t="str" cm="1">
        <f t="array" aca="1" ref="M17" ca="1">IFERROR(INDEX(MTIB!$Q$3:$Q$1000,
SMALL(
IF((MTIB!$Q$3:$Q$1000&lt;&gt;"")*(MTIB!$Q$3:$Q$1000&lt;&gt;"Not Due"),
ROW(MTIB!$Q$3:$Q$1000)-ROW(MTIB!$Q$3)+1),
ROWS(A$2:A17))
),"")</f>
        <v/>
      </c>
      <c r="O17" s="115">
        <v>16</v>
      </c>
      <c r="P17" s="120" t="str" cm="1">
        <f t="array" aca="1" ref="P17" ca="1">IFERROR(INDEX(MPOB!$E$3:$E$1000,
SMALL(
IF((MPOB!$Q$3:$Q$1000&lt;&gt;"")*(MPOB!$Q$3:$Q$1000&lt;&gt;"Not Due"),
ROW(MPOB!$Q$3:$Q$1000)-ROW(MPOB!$Q$3)+1),
ROWS(A$2:A17))),"")</f>
        <v>MPOB</v>
      </c>
      <c r="Q17" s="115" t="str" cm="1">
        <f t="array" aca="1" ref="Q17" ca="1">IFERROR(INDEX(MPOB!$B$3:$B$1000,
SMALL(
IF((MPOB!$Q$3:$Q$1000&lt;&gt;"")*(MPOB!$Q$3:$Q$1000&lt;&gt;"Not Due"),
ROW(MPOB!$Q$3:$Q$1000)-ROW(MPOB!$Q$3)+1),
ROWS(A$2:A17))),"")</f>
        <v>T/2026/00178</v>
      </c>
      <c r="R17" s="115" t="str" cm="1">
        <f t="array" aca="1" ref="R17" ca="1">IFERROR(INDEX(MPOB!$D$3:$D$1000,
SMALL(
IF((MPOB!$Q$3:$Q$1000&lt;&gt;"")*(MPOB!$Q$3:$Q$1000&lt;&gt;"Not Due"),
ROW(MPOB!$Q$3:$Q$1000)-ROW(MPOB!$Q$3)+1),
ROWS(A$2:A17))),"")</f>
        <v>MyProcurement</v>
      </c>
      <c r="S17" s="116" t="str" cm="1">
        <f t="array" aca="1" ref="S17" ca="1">IFERROR(INDEX(MPOB!$G$3:$G$1000,
SMALL(
IF((MPOB!$Q$3:$Q$1000&lt;&gt;"")*(MPOB!$Q$3:$Q$1000&lt;&gt;"Not Due"),
ROW(MPOB!$Q$3:$Q$1000)-ROW(MPOB!$Q$3)+1),
ROWS(A$2:A17))),"")</f>
        <v>Nama User : AsAlya Date : 4/2/2026 Isu : user ni xboleh add kat borang prestasi pembekal untk Po ni LPO/BSRD0401/0725/00025 untuk invois yg bayaran berperingkat Mohd Hafiz Mohd Zuki</v>
      </c>
      <c r="T17" s="88" t="str" cm="1">
        <f t="array" aca="1" ref="T17" ca="1">IFERROR(INDEX(MPOB!$Q$3:$Q$1000,
SMALL(
IF((MPOB!$Q$3:$Q$1000&lt;&gt;"")*(MPOB!$Q$3:$Q$1000&lt;&gt;"Not Due"),
ROW(MPOB!$Q$3:$Q$1000)-ROW(MPOB!$Q$3)+1),
ROWS(A$2:A17))
),"")</f>
        <v>&gt;60 Days</v>
      </c>
      <c r="V17" s="115">
        <v>16</v>
      </c>
      <c r="W17" s="121" t="str" cm="1">
        <f t="array" aca="1" ref="W17" ca="1">IFERROR(INDEX(LKTN!$E$3:$E$1000,
SMALL(
IF((LKTN!$Q$3:$Q$1000&lt;&gt;"")*(LKTN!$Q$3:$Q$1000&lt;&gt;"Not Due"),
ROW(LKTN!$Q$3:$Q$1000)-ROW(LKTN!$Q$3)+1),
ROWS(A$2:A17))),"")</f>
        <v/>
      </c>
      <c r="X17" s="115" t="str" cm="1">
        <f t="array" aca="1" ref="X17" ca="1">IFERROR(INDEX(LKTN!$B$3:$B$1000,
SMALL(
IF((LKTN!$Q$3:$Q$1000&lt;&gt;"")*(LKTN!$Q$3:$Q$1000&lt;&gt;"Not Due"),
ROW(LKTN!$Q$3:$Q$1000)-ROW(LKTN!$Q$3)+1),
ROWS(A$2:A17))),"")</f>
        <v/>
      </c>
      <c r="Y17" s="115" t="str" cm="1">
        <f t="array" aca="1" ref="Y17" ca="1">IFERROR(INDEX(LKTN!$D$3:$D$1000,
SMALL(
IF((LKTN!$Q$3:$Q$1000&lt;&gt;"")*(LKTN!$Q$3:$Q$1000&lt;&gt;"Not Due"),
ROW(LKTN!$Q$3:$Q$1000)-ROW(LKTN!$Q$3)+1),
ROWS(A$2:A17))),"")</f>
        <v/>
      </c>
      <c r="Z17" s="116"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5">
        <v>16</v>
      </c>
      <c r="AK17" s="123" t="str" cm="1">
        <f t="array" aca="1" ref="AK17" ca="1">IFERROR(INDEX(ISN!$E$3:$E$1000,
SMALL(
IF((ISN!$Q$3:$Q$1000&lt;&gt;"")*(ISN!$Q$3:$Q$1000&lt;&gt;"Not Due"),
ROW(ISN!$Q$3:$Q$1000)-ROW(ISN!$Q$3)+1),
ROWS(A$2:A17))),"")</f>
        <v/>
      </c>
      <c r="AL17" s="115" t="str" cm="1">
        <f t="array" aca="1" ref="AL17" ca="1">IFERROR(INDEX(ISN!$B$3:$B$1000,
SMALL(
IF((ISN!$Q$3:$Q$1000&lt;&gt;"")*(ISN!$Q$3:$Q$1000&lt;&gt;"Not Due"),
ROW(ISN!$Q$3:$Q$1000)-ROW(ISN!$Q$3)+1),
ROWS(A$2:A17))),"")</f>
        <v/>
      </c>
      <c r="AM17" s="116" t="str" cm="1">
        <f t="array" aca="1" ref="AM17" ca="1">IFERROR(INDEX(ISN!$D$3:$D$1000,
SMALL(
IF((ISN!$Q$3:$Q$1000&lt;&gt;"")*(ISN!$Q$3:$Q$1000&lt;&gt;"Not Due"),
ROW(ISN!$Q$3:$Q$1000)-ROW(ISN!$Q$3)+1),
ROWS(A$2:A17))),"")</f>
        <v/>
      </c>
      <c r="AN17" s="116"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5">
        <v>16</v>
      </c>
      <c r="AR17" s="124" t="str" cm="1">
        <f t="array" aca="1" ref="AR17" ca="1">IFERROR(INDEX(MSN!$E$3:$E$1000,
SMALL(
IF((MSN!$Q$3:$Q$1000&lt;&gt;"")*(MSN!$Q$3:$Q$1000&lt;&gt;"Not Due"),
ROW(MSN!$Q$3:$Q$1000)-ROW(MSN!$Q$3)+1),
ROWS(A$2:A17))),"")</f>
        <v/>
      </c>
      <c r="AS17" s="115" t="str" cm="1">
        <f t="array" aca="1" ref="AS17" ca="1">IFERROR(INDEX(MSN!$B$3:$B$1000,
SMALL(
IF((MSN!$Q$3:$Q$1000&lt;&gt;"")*(MSN!$Q$3:$Q$1000&lt;&gt;"Not Due"),
ROW(MSN!$Q$3:$Q$1000)-ROW(MSN!$Q$3)+1),
ROWS(A$2:A17))),"")</f>
        <v/>
      </c>
      <c r="AT17" s="115" t="str" cm="1">
        <f t="array" aca="1" ref="AT17" ca="1">IFERROR(INDEX(MSN!$D$3:$D$1000,
SMALL(
IF((MSN!$Q$3:$Q$1000&lt;&gt;"")*(MSN!$Q$3:$Q$1000&lt;&gt;"Not Due"),
ROW(MSN!$Q$3:$Q$1000)-ROW(MSN!$Q$3)+1),
ROWS(A$2:A17))),"")</f>
        <v/>
      </c>
      <c r="AU17" s="116"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62.4" x14ac:dyDescent="0.3">
      <c r="A18" s="115">
        <v>17</v>
      </c>
      <c r="B18" s="118" t="str" cm="1">
        <f t="array" aca="1" ref="B18" ca="1">IFERROR(INDEX(FRIM!$E$3:$E$1000,
SMALL(IF(FRIM!$Q$3:$Q$1000&lt;&gt;"",
ROW(FRIM!$Q$3:$Q$1000)-ROW(FRIM!$Q$3)+1),
ROWS(A$2:A18))),"")</f>
        <v>FRIM</v>
      </c>
      <c r="C18" s="116" t="str" cm="1">
        <f t="array" aca="1" ref="C18" ca="1">IFERROR(INDEX(FRIM!$B$3:$B$1000,
SMALL(IF(FRIM!$Q$3:$Q$1000&lt;&gt;"",
ROW(FRIM!$Q$3:$Q$1000)-ROW(FRIM!$Q$3)+1),
ROWS(A$2:A18))),"")</f>
        <v>T/2026/00137</v>
      </c>
      <c r="D18" s="116" t="str" cm="1">
        <f t="array" aca="1" ref="D18" ca="1">IFERROR(INDEX(FRIM!$D$3:$D$1000,
SMALL(IF(FRIM!$Q$3:$Q$1000&lt;&gt;"",
ROW(FRIM!$Q$3:$Q$1000)-ROW(FRIM!$Q$3)+1),
ROWS(A$2:A18))),"")</f>
        <v>MYFINANCIAL CLIENT</v>
      </c>
      <c r="E18" s="116" t="str" cm="1">
        <f t="array" aca="1" ref="E18" ca="1">IFERROR(INDEX(FRIM!$G$3:$G$1000,
SMALL(IF(FRIM!$Q$3:$Q$1000&lt;&gt;"",
ROW(FRIM!$Q$3:$Q$1000)-ROW(FRIM!$Q$3)+1),
ROWS(A$2:A18))),"")</f>
        <v>W2529 17 March 2026 AZROL BIN KAMARUDDIN BAKI AKHIR DISEMBER 2025 KOD PELARASAN GAJI 62510 TIDAK SAMA DENGAN BAKI AWAL JANUARI 2026</v>
      </c>
      <c r="F18" s="88" t="str" cm="1">
        <f t="array" aca="1" ref="F18" ca="1">IFERROR(INDEX(FRIM!$Q$3:$Q$1000,
SMALL(IF(FRIM!$Q$3:$Q$1000&lt;&gt;"",
ROW(FRIM!$Q$3:$Q$1000)-ROW(FRIM!$Q$3)+1),
ROWS(A$2:A18))),"")</f>
        <v>&gt;60 Days</v>
      </c>
      <c r="H18" s="115">
        <v>17</v>
      </c>
      <c r="I18" s="119" t="str" cm="1">
        <f t="array" aca="1" ref="I18" ca="1">IFERROR(INDEX(MTIB!$E$3:$E$1000,
SMALL(
IF((MTIB!$Q$3:$Q$1000&lt;&gt;"")*(MTIB!$Q$3:$Q$1000&lt;&gt;"Not Due"),
ROW(MTIB!$Q$3:$Q$1000)-ROW(MTIB!$Q$3)+1),
ROWS(A$2:A18))),"")</f>
        <v/>
      </c>
      <c r="J18" s="115" t="str" cm="1">
        <f t="array" aca="1" ref="J18" ca="1">IFERROR(INDEX(MTIB!$B$3:$B$1000,
SMALL(
IF((MTIB!$Q$3:$Q$1000&lt;&gt;"")*(MTIB!$Q$3:$Q$1000&lt;&gt;"Not Due"),
ROW(MTIB!$Q$3:$Q$1000)-ROW(MTIB!$Q$3)+1),
ROWS(A$2:A18))),"")</f>
        <v/>
      </c>
      <c r="K18" s="115" t="str" cm="1">
        <f t="array" aca="1" ref="K18" ca="1">IFERROR(INDEX(MTIB!$D$3:$D$1000,
SMALL(
IF((MTIB!$Q$3:$Q$1000&lt;&gt;"")*(MTIB!$Q$3:$Q$1000&lt;&gt;"Not Due"),
ROW(MTIB!$Q$3:$Q$1000)-ROW(MTIB!$Q$3)+1),
ROWS(A$2:A18))),"")</f>
        <v/>
      </c>
      <c r="L18" s="116" t="str" cm="1">
        <f t="array" aca="1" ref="L18" ca="1">IFERROR(INDEX(MTIB!$G$3:$G$1000,
SMALL(
IF((MTIB!$Q$3:$Q$1000&lt;&gt;"")*(MTIB!$Q$3:$Q$1000&lt;&gt;"Not Due"),
ROW(MTIB!$Q$3:$Q$1000)-ROW(MTIB!$Q$3)+1),
ROWS(A$2:A18))),"")</f>
        <v/>
      </c>
      <c r="M18" s="88" t="str" cm="1">
        <f t="array" aca="1" ref="M18" ca="1">IFERROR(INDEX(MTIB!$Q$3:$Q$1000,
SMALL(
IF((MTIB!$Q$3:$Q$1000&lt;&gt;"")*(MTIB!$Q$3:$Q$1000&lt;&gt;"Not Due"),
ROW(MTIB!$Q$3:$Q$1000)-ROW(MTIB!$Q$3)+1),
ROWS(A$2:A18))
),"")</f>
        <v/>
      </c>
      <c r="O18" s="115">
        <v>17</v>
      </c>
      <c r="P18" s="120" t="str" cm="1">
        <f t="array" aca="1" ref="P18" ca="1">IFERROR(INDEX(MPOB!$E$3:$E$1000,
SMALL(
IF((MPOB!$Q$3:$Q$1000&lt;&gt;"")*(MPOB!$Q$3:$Q$1000&lt;&gt;"Not Due"),
ROW(MPOB!$Q$3:$Q$1000)-ROW(MPOB!$Q$3)+1),
ROWS(A$2:A18))),"")</f>
        <v>MPOB</v>
      </c>
      <c r="Q18" s="115" t="str" cm="1">
        <f t="array" aca="1" ref="Q18" ca="1">IFERROR(INDEX(MPOB!$B$3:$B$1000,
SMALL(
IF((MPOB!$Q$3:$Q$1000&lt;&gt;"")*(MPOB!$Q$3:$Q$1000&lt;&gt;"Not Due"),
ROW(MPOB!$Q$3:$Q$1000)-ROW(MPOB!$Q$3)+1),
ROWS(A$2:A18))),"")</f>
        <v>T/2026/00186</v>
      </c>
      <c r="R18" s="115" t="str" cm="1">
        <f t="array" aca="1" ref="R18" ca="1">IFERROR(INDEX(MPOB!$D$3:$D$1000,
SMALL(
IF((MPOB!$Q$3:$Q$1000&lt;&gt;"")*(MPOB!$Q$3:$Q$1000&lt;&gt;"Not Due"),
ROW(MPOB!$Q$3:$Q$1000)-ROW(MPOB!$Q$3)+1),
ROWS(A$2:A18))),"")</f>
        <v>MyFinancial</v>
      </c>
      <c r="S18" s="116" t="str" cm="1">
        <f t="array" aca="1" ref="S18" ca="1">IFERROR(INDEX(MPOB!$G$3:$G$1000,
SMALL(
IF((MPOB!$Q$3:$Q$1000&lt;&gt;"")*(MPOB!$Q$3:$Q$1000&lt;&gt;"Not Due"),
ROW(MPOB!$Q$3:$Q$1000)-ROW(MPOB!$Q$3)+1),
ROWS(A$2:A18))),"")</f>
        <v>Nama User : Irda 60182066610 Date : 5/2/2026 Isu : bukan sepatutnya amaun in RM after converted ke?</v>
      </c>
      <c r="T18" s="88" t="str" cm="1">
        <f t="array" aca="1" ref="T18" ca="1">IFERROR(INDEX(MPOB!$Q$3:$Q$1000,
SMALL(
IF((MPOB!$Q$3:$Q$1000&lt;&gt;"")*(MPOB!$Q$3:$Q$1000&lt;&gt;"Not Due"),
ROW(MPOB!$Q$3:$Q$1000)-ROW(MPOB!$Q$3)+1),
ROWS(A$2:A18))
),"")</f>
        <v>&gt;60 Days</v>
      </c>
      <c r="V18" s="115">
        <v>17</v>
      </c>
      <c r="W18" s="121" t="str" cm="1">
        <f t="array" aca="1" ref="W18" ca="1">IFERROR(INDEX(LKTN!$E$3:$E$1000,
SMALL(
IF((LKTN!$Q$3:$Q$1000&lt;&gt;"")*(LKTN!$Q$3:$Q$1000&lt;&gt;"Not Due"),
ROW(LKTN!$Q$3:$Q$1000)-ROW(LKTN!$Q$3)+1),
ROWS(A$2:A18))),"")</f>
        <v/>
      </c>
      <c r="X18" s="115" t="str" cm="1">
        <f t="array" aca="1" ref="X18" ca="1">IFERROR(INDEX(LKTN!$B$3:$B$1000,
SMALL(
IF((LKTN!$Q$3:$Q$1000&lt;&gt;"")*(LKTN!$Q$3:$Q$1000&lt;&gt;"Not Due"),
ROW(LKTN!$Q$3:$Q$1000)-ROW(LKTN!$Q$3)+1),
ROWS(A$2:A18))),"")</f>
        <v/>
      </c>
      <c r="Y18" s="115" t="str" cm="1">
        <f t="array" aca="1" ref="Y18" ca="1">IFERROR(INDEX(LKTN!$D$3:$D$1000,
SMALL(
IF((LKTN!$Q$3:$Q$1000&lt;&gt;"")*(LKTN!$Q$3:$Q$1000&lt;&gt;"Not Due"),
ROW(LKTN!$Q$3:$Q$1000)-ROW(LKTN!$Q$3)+1),
ROWS(A$2:A18))),"")</f>
        <v/>
      </c>
      <c r="Z18" s="116"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5">
        <v>17</v>
      </c>
      <c r="AK18" s="123" t="str" cm="1">
        <f t="array" aca="1" ref="AK18" ca="1">IFERROR(INDEX(ISN!$E$3:$E$1000,
SMALL(
IF((ISN!$Q$3:$Q$1000&lt;&gt;"")*(ISN!$Q$3:$Q$1000&lt;&gt;"Not Due"),
ROW(ISN!$Q$3:$Q$1000)-ROW(ISN!$Q$3)+1),
ROWS(A$2:A18))),"")</f>
        <v/>
      </c>
      <c r="AL18" s="115" t="str" cm="1">
        <f t="array" aca="1" ref="AL18" ca="1">IFERROR(INDEX(ISN!$B$3:$B$1000,
SMALL(
IF((ISN!$Q$3:$Q$1000&lt;&gt;"")*(ISN!$Q$3:$Q$1000&lt;&gt;"Not Due"),
ROW(ISN!$Q$3:$Q$1000)-ROW(ISN!$Q$3)+1),
ROWS(A$2:A18))),"")</f>
        <v/>
      </c>
      <c r="AM18" s="116" t="str" cm="1">
        <f t="array" aca="1" ref="AM18" ca="1">IFERROR(INDEX(ISN!$D$3:$D$1000,
SMALL(
IF((ISN!$Q$3:$Q$1000&lt;&gt;"")*(ISN!$Q$3:$Q$1000&lt;&gt;"Not Due"),
ROW(ISN!$Q$3:$Q$1000)-ROW(ISN!$Q$3)+1),
ROWS(A$2:A18))),"")</f>
        <v/>
      </c>
      <c r="AN18" s="116"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5">
        <v>17</v>
      </c>
      <c r="AR18" s="124" t="str" cm="1">
        <f t="array" aca="1" ref="AR18" ca="1">IFERROR(INDEX(MSN!$E$3:$E$1000,
SMALL(
IF((MSN!$Q$3:$Q$1000&lt;&gt;"")*(MSN!$Q$3:$Q$1000&lt;&gt;"Not Due"),
ROW(MSN!$Q$3:$Q$1000)-ROW(MSN!$Q$3)+1),
ROWS(A$2:A18))),"")</f>
        <v/>
      </c>
      <c r="AS18" s="115" t="str" cm="1">
        <f t="array" aca="1" ref="AS18" ca="1">IFERROR(INDEX(MSN!$B$3:$B$1000,
SMALL(
IF((MSN!$Q$3:$Q$1000&lt;&gt;"")*(MSN!$Q$3:$Q$1000&lt;&gt;"Not Due"),
ROW(MSN!$Q$3:$Q$1000)-ROW(MSN!$Q$3)+1),
ROWS(A$2:A18))),"")</f>
        <v/>
      </c>
      <c r="AT18" s="115" t="str" cm="1">
        <f t="array" aca="1" ref="AT18" ca="1">IFERROR(INDEX(MSN!$D$3:$D$1000,
SMALL(
IF((MSN!$Q$3:$Q$1000&lt;&gt;"")*(MSN!$Q$3:$Q$1000&lt;&gt;"Not Due"),
ROW(MSN!$Q$3:$Q$1000)-ROW(MSN!$Q$3)+1),
ROWS(A$2:A18))),"")</f>
        <v/>
      </c>
      <c r="AU18" s="116"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40.4" x14ac:dyDescent="0.3">
      <c r="A19" s="115">
        <v>18</v>
      </c>
      <c r="B19" s="118" t="str" cm="1">
        <f t="array" aca="1" ref="B19" ca="1">IFERROR(INDEX(FRIM!$E$3:$E$1000,
SMALL(IF(FRIM!$Q$3:$Q$1000&lt;&gt;"",
ROW(FRIM!$Q$3:$Q$1000)-ROW(FRIM!$Q$3)+1),
ROWS(A$2:A19))),"")</f>
        <v>FRIM</v>
      </c>
      <c r="C19" s="116" t="str" cm="1">
        <f t="array" aca="1" ref="C19" ca="1">IFERROR(INDEX(FRIM!$B$3:$B$1000,
SMALL(IF(FRIM!$Q$3:$Q$1000&lt;&gt;"",
ROW(FRIM!$Q$3:$Q$1000)-ROW(FRIM!$Q$3)+1),
ROWS(A$2:A19))),"")</f>
        <v>T/2026/00313</v>
      </c>
      <c r="D19" s="116" t="str" cm="1">
        <f t="array" aca="1" ref="D19" ca="1">IFERROR(INDEX(FRIM!$D$3:$D$1000,
SMALL(IF(FRIM!$Q$3:$Q$1000&lt;&gt;"",
ROW(FRIM!$Q$3:$Q$1000)-ROW(FRIM!$Q$3)+1),
ROWS(A$2:A19))),"")</f>
        <v>MYFINANCIAL CLIENT</v>
      </c>
      <c r="E19" s="116" t="str" cm="1">
        <f t="array" aca="1" ref="E19" ca="1">IFERROR(INDEX(FRIM!$G$3:$G$1000,
SMALL(IF(FRIM!$Q$3:$Q$1000&lt;&gt;"",
ROW(FRIM!$Q$3:$Q$1000)-ROW(FRIM!$Q$3)+1),
ROWS(A$2:A19))),"")</f>
        <v>W2548 28 April 2026 NOR AFIZAH BT. ARSHAD mohon semakan bagi baucar per2600678. status baucar dah pos. tarikh cek dan no cek tak update dekat baucar dan baucar tersebut tiada dalam senarai lejar kod bank 65101.</v>
      </c>
      <c r="F19" s="88" t="str" cm="1">
        <f t="array" aca="1" ref="F19" ca="1">IFERROR(INDEX(FRIM!$Q$3:$Q$1000,
SMALL(IF(FRIM!$Q$3:$Q$1000&lt;&gt;"",
ROW(FRIM!$Q$3:$Q$1000)-ROW(FRIM!$Q$3)+1),
ROWS(A$2:A19))),"")</f>
        <v>31-60 Days</v>
      </c>
      <c r="H19" s="115">
        <v>18</v>
      </c>
      <c r="I19" s="119" t="str" cm="1">
        <f t="array" aca="1" ref="I19" ca="1">IFERROR(INDEX(MTIB!$E$3:$E$1000,
SMALL(
IF((MTIB!$Q$3:$Q$1000&lt;&gt;"")*(MTIB!$Q$3:$Q$1000&lt;&gt;"Not Due"),
ROW(MTIB!$Q$3:$Q$1000)-ROW(MTIB!$Q$3)+1),
ROWS(A$2:A19))),"")</f>
        <v/>
      </c>
      <c r="J19" s="115" t="str" cm="1">
        <f t="array" aca="1" ref="J19" ca="1">IFERROR(INDEX(MTIB!$B$3:$B$1000,
SMALL(
IF((MTIB!$Q$3:$Q$1000&lt;&gt;"")*(MTIB!$Q$3:$Q$1000&lt;&gt;"Not Due"),
ROW(MTIB!$Q$3:$Q$1000)-ROW(MTIB!$Q$3)+1),
ROWS(A$2:A19))),"")</f>
        <v/>
      </c>
      <c r="K19" s="115" t="str" cm="1">
        <f t="array" aca="1" ref="K19" ca="1">IFERROR(INDEX(MTIB!$D$3:$D$1000,
SMALL(
IF((MTIB!$Q$3:$Q$1000&lt;&gt;"")*(MTIB!$Q$3:$Q$1000&lt;&gt;"Not Due"),
ROW(MTIB!$Q$3:$Q$1000)-ROW(MTIB!$Q$3)+1),
ROWS(A$2:A19))),"")</f>
        <v/>
      </c>
      <c r="L19" s="116" t="str" cm="1">
        <f t="array" aca="1" ref="L19" ca="1">IFERROR(INDEX(MTIB!$G$3:$G$1000,
SMALL(
IF((MTIB!$Q$3:$Q$1000&lt;&gt;"")*(MTIB!$Q$3:$Q$1000&lt;&gt;"Not Due"),
ROW(MTIB!$Q$3:$Q$1000)-ROW(MTIB!$Q$3)+1),
ROWS(A$2:A19))),"")</f>
        <v/>
      </c>
      <c r="M19" s="88" t="str" cm="1">
        <f t="array" aca="1" ref="M19" ca="1">IFERROR(INDEX(MTIB!$Q$3:$Q$1000,
SMALL(
IF((MTIB!$Q$3:$Q$1000&lt;&gt;"")*(MTIB!$Q$3:$Q$1000&lt;&gt;"Not Due"),
ROW(MTIB!$Q$3:$Q$1000)-ROW(MTIB!$Q$3)+1),
ROWS(A$2:A19))
),"")</f>
        <v/>
      </c>
      <c r="O19" s="115">
        <v>18</v>
      </c>
      <c r="P19" s="120" t="str" cm="1">
        <f t="array" aca="1" ref="P19" ca="1">IFERROR(INDEX(MPOB!$E$3:$E$1000,
SMALL(
IF((MPOB!$Q$3:$Q$1000&lt;&gt;"")*(MPOB!$Q$3:$Q$1000&lt;&gt;"Not Due"),
ROW(MPOB!$Q$3:$Q$1000)-ROW(MPOB!$Q$3)+1),
ROWS(A$2:A19))),"")</f>
        <v>MPOB</v>
      </c>
      <c r="Q19" s="115" t="str" cm="1">
        <f t="array" aca="1" ref="Q19" ca="1">IFERROR(INDEX(MPOB!$B$3:$B$1000,
SMALL(
IF((MPOB!$Q$3:$Q$1000&lt;&gt;"")*(MPOB!$Q$3:$Q$1000&lt;&gt;"Not Due"),
ROW(MPOB!$Q$3:$Q$1000)-ROW(MPOB!$Q$3)+1),
ROWS(A$2:A19))),"")</f>
        <v>T/2026/00187</v>
      </c>
      <c r="R19" s="115" t="str" cm="1">
        <f t="array" aca="1" ref="R19" ca="1">IFERROR(INDEX(MPOB!$D$3:$D$1000,
SMALL(
IF((MPOB!$Q$3:$Q$1000&lt;&gt;"")*(MPOB!$Q$3:$Q$1000&lt;&gt;"Not Due"),
ROW(MPOB!$Q$3:$Q$1000)-ROW(MPOB!$Q$3)+1),
ROWS(A$2:A19))),"")</f>
        <v>MyFinancial</v>
      </c>
      <c r="S19" s="116" t="str" cm="1">
        <f t="array" aca="1" ref="S19" ca="1">IFERROR(INDEX(MPOB!$G$3:$G$1000,
SMALL(
IF((MPOB!$Q$3:$Q$1000&lt;&gt;"")*(MPOB!$Q$3:$Q$1000&lt;&gt;"Not Due"),
ROW(MPOB!$Q$3:$Q$1000)-ROW(MPOB!$Q$3)+1),
ROWS(A$2:A19))),"")</f>
        <v>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v>
      </c>
      <c r="T19" s="88" t="str" cm="1">
        <f t="array" aca="1" ref="T19" ca="1">IFERROR(INDEX(MPOB!$Q$3:$Q$1000,
SMALL(
IF((MPOB!$Q$3:$Q$1000&lt;&gt;"")*(MPOB!$Q$3:$Q$1000&lt;&gt;"Not Due"),
ROW(MPOB!$Q$3:$Q$1000)-ROW(MPOB!$Q$3)+1),
ROWS(A$2:A19))
),"")</f>
        <v>&gt;60 Days</v>
      </c>
      <c r="V19" s="115">
        <v>18</v>
      </c>
      <c r="W19" s="121" t="str" cm="1">
        <f t="array" aca="1" ref="W19" ca="1">IFERROR(INDEX(LKTN!$E$3:$E$1000,
SMALL(
IF((LKTN!$Q$3:$Q$1000&lt;&gt;"")*(LKTN!$Q$3:$Q$1000&lt;&gt;"Not Due"),
ROW(LKTN!$Q$3:$Q$1000)-ROW(LKTN!$Q$3)+1),
ROWS(A$2:A19))),"")</f>
        <v/>
      </c>
      <c r="X19" s="115" t="str" cm="1">
        <f t="array" aca="1" ref="X19" ca="1">IFERROR(INDEX(LKTN!$B$3:$B$1000,
SMALL(
IF((LKTN!$Q$3:$Q$1000&lt;&gt;"")*(LKTN!$Q$3:$Q$1000&lt;&gt;"Not Due"),
ROW(LKTN!$Q$3:$Q$1000)-ROW(LKTN!$Q$3)+1),
ROWS(A$2:A19))),"")</f>
        <v/>
      </c>
      <c r="Y19" s="115" t="str" cm="1">
        <f t="array" aca="1" ref="Y19" ca="1">IFERROR(INDEX(LKTN!$D$3:$D$1000,
SMALL(
IF((LKTN!$Q$3:$Q$1000&lt;&gt;"")*(LKTN!$Q$3:$Q$1000&lt;&gt;"Not Due"),
ROW(LKTN!$Q$3:$Q$1000)-ROW(LKTN!$Q$3)+1),
ROWS(A$2:A19))),"")</f>
        <v/>
      </c>
      <c r="Z19" s="116"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5">
        <v>18</v>
      </c>
      <c r="AK19" s="123" t="str" cm="1">
        <f t="array" aca="1" ref="AK19" ca="1">IFERROR(INDEX(ISN!$E$3:$E$1000,
SMALL(
IF((ISN!$Q$3:$Q$1000&lt;&gt;"")*(ISN!$Q$3:$Q$1000&lt;&gt;"Not Due"),
ROW(ISN!$Q$3:$Q$1000)-ROW(ISN!$Q$3)+1),
ROWS(A$2:A19))),"")</f>
        <v/>
      </c>
      <c r="AL19" s="115" t="str" cm="1">
        <f t="array" aca="1" ref="AL19" ca="1">IFERROR(INDEX(ISN!$B$3:$B$1000,
SMALL(
IF((ISN!$Q$3:$Q$1000&lt;&gt;"")*(ISN!$Q$3:$Q$1000&lt;&gt;"Not Due"),
ROW(ISN!$Q$3:$Q$1000)-ROW(ISN!$Q$3)+1),
ROWS(A$2:A19))),"")</f>
        <v/>
      </c>
      <c r="AM19" s="116" t="str" cm="1">
        <f t="array" aca="1" ref="AM19" ca="1">IFERROR(INDEX(ISN!$D$3:$D$1000,
SMALL(
IF((ISN!$Q$3:$Q$1000&lt;&gt;"")*(ISN!$Q$3:$Q$1000&lt;&gt;"Not Due"),
ROW(ISN!$Q$3:$Q$1000)-ROW(ISN!$Q$3)+1),
ROWS(A$2:A19))),"")</f>
        <v/>
      </c>
      <c r="AN19" s="116"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5">
        <v>18</v>
      </c>
      <c r="AR19" s="124" t="str" cm="1">
        <f t="array" aca="1" ref="AR19" ca="1">IFERROR(INDEX(MSN!$E$3:$E$1000,
SMALL(
IF((MSN!$Q$3:$Q$1000&lt;&gt;"")*(MSN!$Q$3:$Q$1000&lt;&gt;"Not Due"),
ROW(MSN!$Q$3:$Q$1000)-ROW(MSN!$Q$3)+1),
ROWS(A$2:A19))),"")</f>
        <v/>
      </c>
      <c r="AS19" s="115" t="str" cm="1">
        <f t="array" aca="1" ref="AS19" ca="1">IFERROR(INDEX(MSN!$B$3:$B$1000,
SMALL(
IF((MSN!$Q$3:$Q$1000&lt;&gt;"")*(MSN!$Q$3:$Q$1000&lt;&gt;"Not Due"),
ROW(MSN!$Q$3:$Q$1000)-ROW(MSN!$Q$3)+1),
ROWS(A$2:A19))),"")</f>
        <v/>
      </c>
      <c r="AT19" s="115" t="str" cm="1">
        <f t="array" aca="1" ref="AT19" ca="1">IFERROR(INDEX(MSN!$D$3:$D$1000,
SMALL(
IF((MSN!$Q$3:$Q$1000&lt;&gt;"")*(MSN!$Q$3:$Q$1000&lt;&gt;"Not Due"),
ROW(MSN!$Q$3:$Q$1000)-ROW(MSN!$Q$3)+1),
ROWS(A$2:A19))),"")</f>
        <v/>
      </c>
      <c r="AU19" s="116"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56" x14ac:dyDescent="0.3">
      <c r="A20" s="115">
        <v>19</v>
      </c>
      <c r="B20" s="118" t="str" cm="1">
        <f t="array" aca="1" ref="B20" ca="1">IFERROR(INDEX(FRIM!$E$3:$E$1000,
SMALL(IF(FRIM!$Q$3:$Q$1000&lt;&gt;"",
ROW(FRIM!$Q$3:$Q$1000)-ROW(FRIM!$Q$3)+1),
ROWS(A$2:A20))),"")</f>
        <v>FRIM</v>
      </c>
      <c r="C20" s="116" t="str" cm="1">
        <f t="array" aca="1" ref="C20" ca="1">IFERROR(INDEX(FRIM!$B$3:$B$1000,
SMALL(IF(FRIM!$Q$3:$Q$1000&lt;&gt;"",
ROW(FRIM!$Q$3:$Q$1000)-ROW(FRIM!$Q$3)+1),
ROWS(A$2:A20))),"")</f>
        <v>T/2026/00314</v>
      </c>
      <c r="D20" s="116" t="str" cm="1">
        <f t="array" aca="1" ref="D20" ca="1">IFERROR(INDEX(FRIM!$D$3:$D$1000,
SMALL(IF(FRIM!$Q$3:$Q$1000&lt;&gt;"",
ROW(FRIM!$Q$3:$Q$1000)-ROW(FRIM!$Q$3)+1),
ROWS(A$2:A20))),"")</f>
        <v>MYASSET</v>
      </c>
      <c r="E20" s="116" t="str" cm="1">
        <f t="array" aca="1" ref="E20" ca="1">IFERROR(INDEX(FRIM!$G$3:$G$1000,
SMALL(IF(FRIM!$Q$3:$Q$1000&lt;&gt;"",
ROW(FRIM!$Q$3:$Q$1000)-ROW(FRIM!$Q$3)+1),
ROWS(A$2:A20))),"")</f>
        <v>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v>
      </c>
      <c r="F20" s="88" t="str" cm="1">
        <f t="array" aca="1" ref="F20" ca="1">IFERROR(INDEX(FRIM!$Q$3:$Q$1000,
SMALL(IF(FRIM!$Q$3:$Q$1000&lt;&gt;"",
ROW(FRIM!$Q$3:$Q$1000)-ROW(FRIM!$Q$3)+1),
ROWS(A$2:A20))),"")</f>
        <v>31-60 Days</v>
      </c>
      <c r="H20" s="115">
        <v>19</v>
      </c>
      <c r="I20" s="119" t="str" cm="1">
        <f t="array" aca="1" ref="I20" ca="1">IFERROR(INDEX(MTIB!$E$3:$E$1000,
SMALL(
IF((MTIB!$Q$3:$Q$1000&lt;&gt;"")*(MTIB!$Q$3:$Q$1000&lt;&gt;"Not Due"),
ROW(MTIB!$Q$3:$Q$1000)-ROW(MTIB!$Q$3)+1),
ROWS(A$2:A20))),"")</f>
        <v/>
      </c>
      <c r="J20" s="115" t="str" cm="1">
        <f t="array" aca="1" ref="J20" ca="1">IFERROR(INDEX(MTIB!$B$3:$B$1000,
SMALL(
IF((MTIB!$Q$3:$Q$1000&lt;&gt;"")*(MTIB!$Q$3:$Q$1000&lt;&gt;"Not Due"),
ROW(MTIB!$Q$3:$Q$1000)-ROW(MTIB!$Q$3)+1),
ROWS(A$2:A20))),"")</f>
        <v/>
      </c>
      <c r="K20" s="115" t="str" cm="1">
        <f t="array" aca="1" ref="K20" ca="1">IFERROR(INDEX(MTIB!$D$3:$D$1000,
SMALL(
IF((MTIB!$Q$3:$Q$1000&lt;&gt;"")*(MTIB!$Q$3:$Q$1000&lt;&gt;"Not Due"),
ROW(MTIB!$Q$3:$Q$1000)-ROW(MTIB!$Q$3)+1),
ROWS(A$2:A20))),"")</f>
        <v/>
      </c>
      <c r="L20" s="116" t="str" cm="1">
        <f t="array" aca="1" ref="L20" ca="1">IFERROR(INDEX(MTIB!$G$3:$G$1000,
SMALL(
IF((MTIB!$Q$3:$Q$1000&lt;&gt;"")*(MTIB!$Q$3:$Q$1000&lt;&gt;"Not Due"),
ROW(MTIB!$Q$3:$Q$1000)-ROW(MTIB!$Q$3)+1),
ROWS(A$2:A20))),"")</f>
        <v/>
      </c>
      <c r="M20" s="88" t="str" cm="1">
        <f t="array" aca="1" ref="M20" ca="1">IFERROR(INDEX(MTIB!$Q$3:$Q$1000,
SMALL(
IF((MTIB!$Q$3:$Q$1000&lt;&gt;"")*(MTIB!$Q$3:$Q$1000&lt;&gt;"Not Due"),
ROW(MTIB!$Q$3:$Q$1000)-ROW(MTIB!$Q$3)+1),
ROWS(A$2:A20))
),"")</f>
        <v/>
      </c>
      <c r="O20" s="115">
        <v>19</v>
      </c>
      <c r="P20" s="120" t="str" cm="1">
        <f t="array" aca="1" ref="P20" ca="1">IFERROR(INDEX(MPOB!$E$3:$E$1000,
SMALL(
IF((MPOB!$Q$3:$Q$1000&lt;&gt;"")*(MPOB!$Q$3:$Q$1000&lt;&gt;"Not Due"),
ROW(MPOB!$Q$3:$Q$1000)-ROW(MPOB!$Q$3)+1),
ROWS(A$2:A20))),"")</f>
        <v>MPOB</v>
      </c>
      <c r="Q20" s="115" t="str" cm="1">
        <f t="array" aca="1" ref="Q20" ca="1">IFERROR(INDEX(MPOB!$B$3:$B$1000,
SMALL(
IF((MPOB!$Q$3:$Q$1000&lt;&gt;"")*(MPOB!$Q$3:$Q$1000&lt;&gt;"Not Due"),
ROW(MPOB!$Q$3:$Q$1000)-ROW(MPOB!$Q$3)+1),
ROWS(A$2:A20))),"")</f>
        <v>T/2026/00198</v>
      </c>
      <c r="R20" s="115" t="str" cm="1">
        <f t="array" aca="1" ref="R20" ca="1">IFERROR(INDEX(MPOB!$D$3:$D$1000,
SMALL(
IF((MPOB!$Q$3:$Q$1000&lt;&gt;"")*(MPOB!$Q$3:$Q$1000&lt;&gt;"Not Due"),
ROW(MPOB!$Q$3:$Q$1000)-ROW(MPOB!$Q$3)+1),
ROWS(A$2:A20))),"")</f>
        <v>MyAsset</v>
      </c>
      <c r="S20" s="116" t="str" cm="1">
        <f t="array" aca="1" ref="S20" ca="1">IFERROR(INDEX(MPOB!$G$3:$G$1000,
SMALL(
IF((MPOB!$Q$3:$Q$1000&lt;&gt;"")*(MPOB!$Q$3:$Q$1000&lt;&gt;"Not Due"),
ROW(MPOB!$Q$3:$Q$1000)-ROW(MPOB!$Q$3)+1),
ROWS(A$2:A20))),"")</f>
        <v>Nama User : 60182583185 Date : 11/2/2026 Isu : boleh semakkan kenapa syor kaedah pelupusan dari ketua pengarah tak keluar bila nak cetak borang? bila view dari sistem status pemeriksaan ni dah diluluskan oleh ketua pengarah</v>
      </c>
      <c r="T20" s="88" t="str" cm="1">
        <f t="array" aca="1" ref="T20" ca="1">IFERROR(INDEX(MPOB!$Q$3:$Q$1000,
SMALL(
IF((MPOB!$Q$3:$Q$1000&lt;&gt;"")*(MPOB!$Q$3:$Q$1000&lt;&gt;"Not Due"),
ROW(MPOB!$Q$3:$Q$1000)-ROW(MPOB!$Q$3)+1),
ROWS(A$2:A20))
),"")</f>
        <v>&gt;60 Days</v>
      </c>
      <c r="V20" s="115">
        <v>19</v>
      </c>
      <c r="W20" s="121" t="str" cm="1">
        <f t="array" aca="1" ref="W20" ca="1">IFERROR(INDEX(LKTN!$E$3:$E$1000,
SMALL(
IF((LKTN!$Q$3:$Q$1000&lt;&gt;"")*(LKTN!$Q$3:$Q$1000&lt;&gt;"Not Due"),
ROW(LKTN!$Q$3:$Q$1000)-ROW(LKTN!$Q$3)+1),
ROWS(A$2:A20))),"")</f>
        <v/>
      </c>
      <c r="X20" s="115" t="str" cm="1">
        <f t="array" aca="1" ref="X20" ca="1">IFERROR(INDEX(LKTN!$B$3:$B$1000,
SMALL(
IF((LKTN!$Q$3:$Q$1000&lt;&gt;"")*(LKTN!$Q$3:$Q$1000&lt;&gt;"Not Due"),
ROW(LKTN!$Q$3:$Q$1000)-ROW(LKTN!$Q$3)+1),
ROWS(A$2:A20))),"")</f>
        <v/>
      </c>
      <c r="Y20" s="115" t="str" cm="1">
        <f t="array" aca="1" ref="Y20" ca="1">IFERROR(INDEX(LKTN!$D$3:$D$1000,
SMALL(
IF((LKTN!$Q$3:$Q$1000&lt;&gt;"")*(LKTN!$Q$3:$Q$1000&lt;&gt;"Not Due"),
ROW(LKTN!$Q$3:$Q$1000)-ROW(LKTN!$Q$3)+1),
ROWS(A$2:A20))),"")</f>
        <v/>
      </c>
      <c r="Z20" s="116"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5">
        <v>19</v>
      </c>
      <c r="AK20" s="123" t="str" cm="1">
        <f t="array" aca="1" ref="AK20" ca="1">IFERROR(INDEX(ISN!$E$3:$E$1000,
SMALL(
IF((ISN!$Q$3:$Q$1000&lt;&gt;"")*(ISN!$Q$3:$Q$1000&lt;&gt;"Not Due"),
ROW(ISN!$Q$3:$Q$1000)-ROW(ISN!$Q$3)+1),
ROWS(A$2:A20))),"")</f>
        <v/>
      </c>
      <c r="AL20" s="115" t="str" cm="1">
        <f t="array" aca="1" ref="AL20" ca="1">IFERROR(INDEX(ISN!$B$3:$B$1000,
SMALL(
IF((ISN!$Q$3:$Q$1000&lt;&gt;"")*(ISN!$Q$3:$Q$1000&lt;&gt;"Not Due"),
ROW(ISN!$Q$3:$Q$1000)-ROW(ISN!$Q$3)+1),
ROWS(A$2:A20))),"")</f>
        <v/>
      </c>
      <c r="AM20" s="116" t="str" cm="1">
        <f t="array" aca="1" ref="AM20" ca="1">IFERROR(INDEX(ISN!$D$3:$D$1000,
SMALL(
IF((ISN!$Q$3:$Q$1000&lt;&gt;"")*(ISN!$Q$3:$Q$1000&lt;&gt;"Not Due"),
ROW(ISN!$Q$3:$Q$1000)-ROW(ISN!$Q$3)+1),
ROWS(A$2:A20))),"")</f>
        <v/>
      </c>
      <c r="AN20" s="116"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5">
        <v>19</v>
      </c>
      <c r="AR20" s="124" t="str" cm="1">
        <f t="array" aca="1" ref="AR20" ca="1">IFERROR(INDEX(MSN!$E$3:$E$1000,
SMALL(
IF((MSN!$Q$3:$Q$1000&lt;&gt;"")*(MSN!$Q$3:$Q$1000&lt;&gt;"Not Due"),
ROW(MSN!$Q$3:$Q$1000)-ROW(MSN!$Q$3)+1),
ROWS(A$2:A20))),"")</f>
        <v/>
      </c>
      <c r="AS20" s="115" t="str" cm="1">
        <f t="array" aca="1" ref="AS20" ca="1">IFERROR(INDEX(MSN!$B$3:$B$1000,
SMALL(
IF((MSN!$Q$3:$Q$1000&lt;&gt;"")*(MSN!$Q$3:$Q$1000&lt;&gt;"Not Due"),
ROW(MSN!$Q$3:$Q$1000)-ROW(MSN!$Q$3)+1),
ROWS(A$2:A20))),"")</f>
        <v/>
      </c>
      <c r="AT20" s="115" t="str" cm="1">
        <f t="array" aca="1" ref="AT20" ca="1">IFERROR(INDEX(MSN!$D$3:$D$1000,
SMALL(
IF((MSN!$Q$3:$Q$1000&lt;&gt;"")*(MSN!$Q$3:$Q$1000&lt;&gt;"Not Due"),
ROW(MSN!$Q$3:$Q$1000)-ROW(MSN!$Q$3)+1),
ROWS(A$2:A20))),"")</f>
        <v/>
      </c>
      <c r="AU20" s="116"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93.6" x14ac:dyDescent="0.3">
      <c r="A21" s="115">
        <v>20</v>
      </c>
      <c r="B21" s="118" t="str" cm="1">
        <f t="array" aca="1" ref="B21" ca="1">IFERROR(INDEX(FRIM!$E$3:$E$1000,
SMALL(IF(FRIM!$Q$3:$Q$1000&lt;&gt;"",
ROW(FRIM!$Q$3:$Q$1000)-ROW(FRIM!$Q$3)+1),
ROWS(A$2:A21))),"")</f>
        <v>FRIM</v>
      </c>
      <c r="C21" s="116" t="str" cm="1">
        <f t="array" aca="1" ref="C21" ca="1">IFERROR(INDEX(FRIM!$B$3:$B$1000,
SMALL(IF(FRIM!$Q$3:$Q$1000&lt;&gt;"",
ROW(FRIM!$Q$3:$Q$1000)-ROW(FRIM!$Q$3)+1),
ROWS(A$2:A21))),"")</f>
        <v>T/2026/00316</v>
      </c>
      <c r="D21" s="116" t="str" cm="1">
        <f t="array" aca="1" ref="D21" ca="1">IFERROR(INDEX(FRIM!$D$3:$D$1000,
SMALL(IF(FRIM!$Q$3:$Q$1000&lt;&gt;"",
ROW(FRIM!$Q$3:$Q$1000)-ROW(FRIM!$Q$3)+1),
ROWS(A$2:A21))),"")</f>
        <v>MYINVENTORY</v>
      </c>
      <c r="E21" s="116" t="str" cm="1">
        <f t="array" aca="1" ref="E21" ca="1">IFERROR(INDEX(FRIM!$G$3:$G$1000,
SMALL(IF(FRIM!$Q$3:$Q$1000&lt;&gt;"",
ROW(FRIM!$Q$3:$Q$1000)-ROW(FRIM!$Q$3)+1),
ROWS(A$2:A21))),"")</f>
        <v>W2533 08 April 2026 NURFAIEZAH BT. MAZERI mohon bantuan untuk email seperti ini myinventory: status permohonan pengeluaran item (26-04031) masuk ke email saya. untuk makluman, saya juga menjawab email enquiry dan feedback yang mencapai lebih dari 100 email.</v>
      </c>
      <c r="F21" s="88" t="str" cm="1">
        <f t="array" aca="1" ref="F21" ca="1">IFERROR(INDEX(FRIM!$Q$3:$Q$1000,
SMALL(IF(FRIM!$Q$3:$Q$1000&lt;&gt;"",
ROW(FRIM!$Q$3:$Q$1000)-ROW(FRIM!$Q$3)+1),
ROWS(A$2:A21))),"")</f>
        <v>31-60 Days</v>
      </c>
      <c r="H21" s="115">
        <v>20</v>
      </c>
      <c r="I21" s="119" t="str" cm="1">
        <f t="array" aca="1" ref="I21" ca="1">IFERROR(INDEX(MTIB!$E$3:$E$1000,
SMALL(
IF((MTIB!$Q$3:$Q$1000&lt;&gt;"")*(MTIB!$Q$3:$Q$1000&lt;&gt;"Not Due"),
ROW(MTIB!$Q$3:$Q$1000)-ROW(MTIB!$Q$3)+1),
ROWS(A$2:A21))),"")</f>
        <v/>
      </c>
      <c r="J21" s="115" t="str" cm="1">
        <f t="array" aca="1" ref="J21" ca="1">IFERROR(INDEX(MTIB!$B$3:$B$1000,
SMALL(
IF((MTIB!$Q$3:$Q$1000&lt;&gt;"")*(MTIB!$Q$3:$Q$1000&lt;&gt;"Not Due"),
ROW(MTIB!$Q$3:$Q$1000)-ROW(MTIB!$Q$3)+1),
ROWS(A$2:A21))),"")</f>
        <v/>
      </c>
      <c r="K21" s="115" t="str" cm="1">
        <f t="array" aca="1" ref="K21" ca="1">IFERROR(INDEX(MTIB!$D$3:$D$1000,
SMALL(
IF((MTIB!$Q$3:$Q$1000&lt;&gt;"")*(MTIB!$Q$3:$Q$1000&lt;&gt;"Not Due"),
ROW(MTIB!$Q$3:$Q$1000)-ROW(MTIB!$Q$3)+1),
ROWS(A$2:A21))),"")</f>
        <v/>
      </c>
      <c r="L21" s="116" t="str" cm="1">
        <f t="array" aca="1" ref="L21" ca="1">IFERROR(INDEX(MTIB!$G$3:$G$1000,
SMALL(
IF((MTIB!$Q$3:$Q$1000&lt;&gt;"")*(MTIB!$Q$3:$Q$1000&lt;&gt;"Not Due"),
ROW(MTIB!$Q$3:$Q$1000)-ROW(MTIB!$Q$3)+1),
ROWS(A$2:A21))),"")</f>
        <v/>
      </c>
      <c r="M21" s="88" t="str" cm="1">
        <f t="array" aca="1" ref="M21" ca="1">IFERROR(INDEX(MTIB!$Q$3:$Q$1000,
SMALL(
IF((MTIB!$Q$3:$Q$1000&lt;&gt;"")*(MTIB!$Q$3:$Q$1000&lt;&gt;"Not Due"),
ROW(MTIB!$Q$3:$Q$1000)-ROW(MTIB!$Q$3)+1),
ROWS(A$2:A21))
),"")</f>
        <v/>
      </c>
      <c r="O21" s="115">
        <v>20</v>
      </c>
      <c r="P21" s="120" t="str" cm="1">
        <f t="array" aca="1" ref="P21" ca="1">IFERROR(INDEX(MPOB!$E$3:$E$1000,
SMALL(
IF((MPOB!$Q$3:$Q$1000&lt;&gt;"")*(MPOB!$Q$3:$Q$1000&lt;&gt;"Not Due"),
ROW(MPOB!$Q$3:$Q$1000)-ROW(MPOB!$Q$3)+1),
ROWS(A$2:A21))),"")</f>
        <v>MPOB</v>
      </c>
      <c r="Q21" s="115" t="str" cm="1">
        <f t="array" aca="1" ref="Q21" ca="1">IFERROR(INDEX(MPOB!$B$3:$B$1000,
SMALL(
IF((MPOB!$Q$3:$Q$1000&lt;&gt;"")*(MPOB!$Q$3:$Q$1000&lt;&gt;"Not Due"),
ROW(MPOB!$Q$3:$Q$1000)-ROW(MPOB!$Q$3)+1),
ROWS(A$2:A21))),"")</f>
        <v>T/2026/00223</v>
      </c>
      <c r="R21" s="115" t="str" cm="1">
        <f t="array" aca="1" ref="R21" ca="1">IFERROR(INDEX(MPOB!$D$3:$D$1000,
SMALL(
IF((MPOB!$Q$3:$Q$1000&lt;&gt;"")*(MPOB!$Q$3:$Q$1000&lt;&gt;"Not Due"),
ROW(MPOB!$Q$3:$Q$1000)-ROW(MPOB!$Q$3)+1),
ROWS(A$2:A21))),"")</f>
        <v>MyFinancial</v>
      </c>
      <c r="S21" s="116" t="str" cm="1">
        <f t="array" aca="1" ref="S21" ca="1">IFERROR(INDEX(MPOB!$G$3:$G$1000,
SMALL(
IF((MPOB!$Q$3:$Q$1000&lt;&gt;"")*(MPOB!$Q$3:$Q$1000&lt;&gt;"Not Due"),
ROW(MPOB!$Q$3:$Q$1000)-ROW(MPOB!$Q$3)+1),
ROWS(A$2:A21))),"")</f>
        <v>vocher : 09319 tak boleh post dalam modul kelulusan VOUCHER.</v>
      </c>
      <c r="T21" s="88" t="str" cm="1">
        <f t="array" aca="1" ref="T21" ca="1">IFERROR(INDEX(MPOB!$Q$3:$Q$1000,
SMALL(
IF((MPOB!$Q$3:$Q$1000&lt;&gt;"")*(MPOB!$Q$3:$Q$1000&lt;&gt;"Not Due"),
ROW(MPOB!$Q$3:$Q$1000)-ROW(MPOB!$Q$3)+1),
ROWS(A$2:A21))
),"")</f>
        <v>&gt;60 Days</v>
      </c>
      <c r="V21" s="115">
        <v>20</v>
      </c>
      <c r="W21" s="121" t="str" cm="1">
        <f t="array" aca="1" ref="W21" ca="1">IFERROR(INDEX(LKTN!$E$3:$E$1000,
SMALL(
IF((LKTN!$Q$3:$Q$1000&lt;&gt;"")*(LKTN!$Q$3:$Q$1000&lt;&gt;"Not Due"),
ROW(LKTN!$Q$3:$Q$1000)-ROW(LKTN!$Q$3)+1),
ROWS(A$2:A21))),"")</f>
        <v/>
      </c>
      <c r="X21" s="115" t="str" cm="1">
        <f t="array" aca="1" ref="X21" ca="1">IFERROR(INDEX(LKTN!$B$3:$B$1000,
SMALL(
IF((LKTN!$Q$3:$Q$1000&lt;&gt;"")*(LKTN!$Q$3:$Q$1000&lt;&gt;"Not Due"),
ROW(LKTN!$Q$3:$Q$1000)-ROW(LKTN!$Q$3)+1),
ROWS(A$2:A21))),"")</f>
        <v/>
      </c>
      <c r="Y21" s="115" t="str" cm="1">
        <f t="array" aca="1" ref="Y21" ca="1">IFERROR(INDEX(LKTN!$D$3:$D$1000,
SMALL(
IF((LKTN!$Q$3:$Q$1000&lt;&gt;"")*(LKTN!$Q$3:$Q$1000&lt;&gt;"Not Due"),
ROW(LKTN!$Q$3:$Q$1000)-ROW(LKTN!$Q$3)+1),
ROWS(A$2:A21))),"")</f>
        <v/>
      </c>
      <c r="Z21" s="116"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5">
        <v>20</v>
      </c>
      <c r="AK21" s="123" t="str" cm="1">
        <f t="array" aca="1" ref="AK21" ca="1">IFERROR(INDEX(ISN!$E$3:$E$1000,
SMALL(
IF((ISN!$Q$3:$Q$1000&lt;&gt;"")*(ISN!$Q$3:$Q$1000&lt;&gt;"Not Due"),
ROW(ISN!$Q$3:$Q$1000)-ROW(ISN!$Q$3)+1),
ROWS(A$2:A21))),"")</f>
        <v/>
      </c>
      <c r="AL21" s="115" t="str" cm="1">
        <f t="array" aca="1" ref="AL21" ca="1">IFERROR(INDEX(ISN!$B$3:$B$1000,
SMALL(
IF((ISN!$Q$3:$Q$1000&lt;&gt;"")*(ISN!$Q$3:$Q$1000&lt;&gt;"Not Due"),
ROW(ISN!$Q$3:$Q$1000)-ROW(ISN!$Q$3)+1),
ROWS(A$2:A21))),"")</f>
        <v/>
      </c>
      <c r="AM21" s="116" t="str" cm="1">
        <f t="array" aca="1" ref="AM21" ca="1">IFERROR(INDEX(ISN!$D$3:$D$1000,
SMALL(
IF((ISN!$Q$3:$Q$1000&lt;&gt;"")*(ISN!$Q$3:$Q$1000&lt;&gt;"Not Due"),
ROW(ISN!$Q$3:$Q$1000)-ROW(ISN!$Q$3)+1),
ROWS(A$2:A21))),"")</f>
        <v/>
      </c>
      <c r="AN21" s="116"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5">
        <v>20</v>
      </c>
      <c r="AR21" s="124" t="str" cm="1">
        <f t="array" aca="1" ref="AR21" ca="1">IFERROR(INDEX(MSN!$E$3:$E$1000,
SMALL(
IF((MSN!$Q$3:$Q$1000&lt;&gt;"")*(MSN!$Q$3:$Q$1000&lt;&gt;"Not Due"),
ROW(MSN!$Q$3:$Q$1000)-ROW(MSN!$Q$3)+1),
ROWS(A$2:A21))),"")</f>
        <v/>
      </c>
      <c r="AS21" s="115" t="str" cm="1">
        <f t="array" aca="1" ref="AS21" ca="1">IFERROR(INDEX(MSN!$B$3:$B$1000,
SMALL(
IF((MSN!$Q$3:$Q$1000&lt;&gt;"")*(MSN!$Q$3:$Q$1000&lt;&gt;"Not Due"),
ROW(MSN!$Q$3:$Q$1000)-ROW(MSN!$Q$3)+1),
ROWS(A$2:A21))),"")</f>
        <v/>
      </c>
      <c r="AT21" s="115" t="str" cm="1">
        <f t="array" aca="1" ref="AT21" ca="1">IFERROR(INDEX(MSN!$D$3:$D$1000,
SMALL(
IF((MSN!$Q$3:$Q$1000&lt;&gt;"")*(MSN!$Q$3:$Q$1000&lt;&gt;"Not Due"),
ROW(MSN!$Q$3:$Q$1000)-ROW(MSN!$Q$3)+1),
ROWS(A$2:A21))),"")</f>
        <v/>
      </c>
      <c r="AU21" s="116"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124.8" x14ac:dyDescent="0.3">
      <c r="A22" s="115">
        <v>21</v>
      </c>
      <c r="B22" s="118" t="str" cm="1">
        <f t="array" aca="1" ref="B22" ca="1">IFERROR(INDEX(FRIM!$E$3:$E$1000,
SMALL(IF(FRIM!$Q$3:$Q$1000&lt;&gt;"",
ROW(FRIM!$Q$3:$Q$1000)-ROW(FRIM!$Q$3)+1),
ROWS(A$2:A22))),"")</f>
        <v>FRIM</v>
      </c>
      <c r="C22" s="116" t="str" cm="1">
        <f t="array" aca="1" ref="C22" ca="1">IFERROR(INDEX(FRIM!$B$3:$B$1000,
SMALL(IF(FRIM!$Q$3:$Q$1000&lt;&gt;"",
ROW(FRIM!$Q$3:$Q$1000)-ROW(FRIM!$Q$3)+1),
ROWS(A$2:A22))),"")</f>
        <v>T/2026/00328</v>
      </c>
      <c r="D22" s="116" t="str" cm="1">
        <f t="array" aca="1" ref="D22" ca="1">IFERROR(INDEX(FRIM!$D$3:$D$1000,
SMALL(IF(FRIM!$Q$3:$Q$1000&lt;&gt;"",
ROW(FRIM!$Q$3:$Q$1000)-ROW(FRIM!$Q$3)+1),
ROWS(A$2:A22))),"")</f>
        <v>MYASSET</v>
      </c>
      <c r="E22" s="116" t="str" cm="1">
        <f t="array" aca="1" ref="E22" ca="1">IFERROR(INDEX(FRIM!$G$3:$G$1000,
SMALL(IF(FRIM!$Q$3:$Q$1000&lt;&gt;"",
ROW(FRIM!$Q$3:$Q$1000)-ROW(FRIM!$Q$3)+1),
ROWS(A$2:A22))),"")</f>
        <v>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v>
      </c>
      <c r="F22" s="88" t="str" cm="1">
        <f t="array" aca="1" ref="F22" ca="1">IFERROR(INDEX(FRIM!$Q$3:$Q$1000,
SMALL(IF(FRIM!$Q$3:$Q$1000&lt;&gt;"",
ROW(FRIM!$Q$3:$Q$1000)-ROW(FRIM!$Q$3)+1),
ROWS(A$2:A22))),"")</f>
        <v>31-60 Days</v>
      </c>
      <c r="H22" s="115">
        <v>21</v>
      </c>
      <c r="I22" s="119" t="str" cm="1">
        <f t="array" aca="1" ref="I22" ca="1">IFERROR(INDEX(MTIB!$E$3:$E$1000,
SMALL(
IF((MTIB!$Q$3:$Q$1000&lt;&gt;"")*(MTIB!$Q$3:$Q$1000&lt;&gt;"Not Due"),
ROW(MTIB!$Q$3:$Q$1000)-ROW(MTIB!$Q$3)+1),
ROWS(A$2:A22))),"")</f>
        <v/>
      </c>
      <c r="J22" s="115" t="str" cm="1">
        <f t="array" aca="1" ref="J22" ca="1">IFERROR(INDEX(MTIB!$B$3:$B$1000,
SMALL(
IF((MTIB!$Q$3:$Q$1000&lt;&gt;"")*(MTIB!$Q$3:$Q$1000&lt;&gt;"Not Due"),
ROW(MTIB!$Q$3:$Q$1000)-ROW(MTIB!$Q$3)+1),
ROWS(A$2:A22))),"")</f>
        <v/>
      </c>
      <c r="K22" s="115" t="str" cm="1">
        <f t="array" aca="1" ref="K22" ca="1">IFERROR(INDEX(MTIB!$D$3:$D$1000,
SMALL(
IF((MTIB!$Q$3:$Q$1000&lt;&gt;"")*(MTIB!$Q$3:$Q$1000&lt;&gt;"Not Due"),
ROW(MTIB!$Q$3:$Q$1000)-ROW(MTIB!$Q$3)+1),
ROWS(A$2:A22))),"")</f>
        <v/>
      </c>
      <c r="L22" s="116" t="str" cm="1">
        <f t="array" aca="1" ref="L22" ca="1">IFERROR(INDEX(MTIB!$G$3:$G$1000,
SMALL(
IF((MTIB!$Q$3:$Q$1000&lt;&gt;"")*(MTIB!$Q$3:$Q$1000&lt;&gt;"Not Due"),
ROW(MTIB!$Q$3:$Q$1000)-ROW(MTIB!$Q$3)+1),
ROWS(A$2:A22))),"")</f>
        <v/>
      </c>
      <c r="M22" s="88" t="str" cm="1">
        <f t="array" aca="1" ref="M22" ca="1">IFERROR(INDEX(MTIB!$Q$3:$Q$1000,
SMALL(
IF((MTIB!$Q$3:$Q$1000&lt;&gt;"")*(MTIB!$Q$3:$Q$1000&lt;&gt;"Not Due"),
ROW(MTIB!$Q$3:$Q$1000)-ROW(MTIB!$Q$3)+1),
ROWS(A$2:A22))
),"")</f>
        <v/>
      </c>
      <c r="O22" s="115">
        <v>21</v>
      </c>
      <c r="P22" s="120" t="str" cm="1">
        <f t="array" aca="1" ref="P22" ca="1">IFERROR(INDEX(MPOB!$E$3:$E$1000,
SMALL(
IF((MPOB!$Q$3:$Q$1000&lt;&gt;"")*(MPOB!$Q$3:$Q$1000&lt;&gt;"Not Due"),
ROW(MPOB!$Q$3:$Q$1000)-ROW(MPOB!$Q$3)+1),
ROWS(A$2:A22))),"")</f>
        <v>MPOB</v>
      </c>
      <c r="Q22" s="115" t="str" cm="1">
        <f t="array" aca="1" ref="Q22" ca="1">IFERROR(INDEX(MPOB!$B$3:$B$1000,
SMALL(
IF((MPOB!$Q$3:$Q$1000&lt;&gt;"")*(MPOB!$Q$3:$Q$1000&lt;&gt;"Not Due"),
ROW(MPOB!$Q$3:$Q$1000)-ROW(MPOB!$Q$3)+1),
ROWS(A$2:A22))),"")</f>
        <v>T/2026/00235</v>
      </c>
      <c r="R22" s="115" t="str" cm="1">
        <f t="array" aca="1" ref="R22" ca="1">IFERROR(INDEX(MPOB!$D$3:$D$1000,
SMALL(
IF((MPOB!$Q$3:$Q$1000&lt;&gt;"")*(MPOB!$Q$3:$Q$1000&lt;&gt;"Not Due"),
ROW(MPOB!$Q$3:$Q$1000)-ROW(MPOB!$Q$3)+1),
ROWS(A$2:A22))),"")</f>
        <v>MyFinancial</v>
      </c>
      <c r="S22" s="116" t="str" cm="1">
        <f t="array" aca="1" ref="S22" ca="1">IFERROR(INDEX(MPOB!$G$3:$G$1000,
SMALL(
IF((MPOB!$Q$3:$Q$1000&lt;&gt;"")*(MPOB!$Q$3:$Q$1000&lt;&gt;"Not Due"),
ROW(MPOB!$Q$3:$Q$1000)-ROW(MPOB!$Q$3)+1),
ROWS(A$2:A22))),"")</f>
        <v>SEMASA PENGESAHAN RESIT - MAKLUMAT BIL DAN AMAUN BAYARAN TIDAK APPEAR - RUJUK RESIT NO RCPFMDD/0225/10615</v>
      </c>
      <c r="T22" s="88" t="str" cm="1">
        <f t="array" aca="1" ref="T22" ca="1">IFERROR(INDEX(MPOB!$Q$3:$Q$1000,
SMALL(
IF((MPOB!$Q$3:$Q$1000&lt;&gt;"")*(MPOB!$Q$3:$Q$1000&lt;&gt;"Not Due"),
ROW(MPOB!$Q$3:$Q$1000)-ROW(MPOB!$Q$3)+1),
ROWS(A$2:A22))
),"")</f>
        <v>&gt;60 Days</v>
      </c>
      <c r="V22" s="115">
        <v>21</v>
      </c>
      <c r="W22" s="121" t="str" cm="1">
        <f t="array" aca="1" ref="W22" ca="1">IFERROR(INDEX(LKTN!$E$3:$E$1000,
SMALL(
IF((LKTN!$Q$3:$Q$1000&lt;&gt;"")*(LKTN!$Q$3:$Q$1000&lt;&gt;"Not Due"),
ROW(LKTN!$Q$3:$Q$1000)-ROW(LKTN!$Q$3)+1),
ROWS(A$2:A22))),"")</f>
        <v/>
      </c>
      <c r="X22" s="115" t="str" cm="1">
        <f t="array" aca="1" ref="X22" ca="1">IFERROR(INDEX(LKTN!$B$3:$B$1000,
SMALL(
IF((LKTN!$Q$3:$Q$1000&lt;&gt;"")*(LKTN!$Q$3:$Q$1000&lt;&gt;"Not Due"),
ROW(LKTN!$Q$3:$Q$1000)-ROW(LKTN!$Q$3)+1),
ROWS(A$2:A22))),"")</f>
        <v/>
      </c>
      <c r="Y22" s="115" t="str" cm="1">
        <f t="array" aca="1" ref="Y22" ca="1">IFERROR(INDEX(LKTN!$D$3:$D$1000,
SMALL(
IF((LKTN!$Q$3:$Q$1000&lt;&gt;"")*(LKTN!$Q$3:$Q$1000&lt;&gt;"Not Due"),
ROW(LKTN!$Q$3:$Q$1000)-ROW(LKTN!$Q$3)+1),
ROWS(A$2:A22))),"")</f>
        <v/>
      </c>
      <c r="Z22" s="116"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5">
        <v>21</v>
      </c>
      <c r="AK22" s="123" t="str" cm="1">
        <f t="array" aca="1" ref="AK22" ca="1">IFERROR(INDEX(ISN!$E$3:$E$1000,
SMALL(
IF((ISN!$Q$3:$Q$1000&lt;&gt;"")*(ISN!$Q$3:$Q$1000&lt;&gt;"Not Due"),
ROW(ISN!$Q$3:$Q$1000)-ROW(ISN!$Q$3)+1),
ROWS(A$2:A22))),"")</f>
        <v/>
      </c>
      <c r="AL22" s="115" t="str" cm="1">
        <f t="array" aca="1" ref="AL22" ca="1">IFERROR(INDEX(ISN!$B$3:$B$1000,
SMALL(
IF((ISN!$Q$3:$Q$1000&lt;&gt;"")*(ISN!$Q$3:$Q$1000&lt;&gt;"Not Due"),
ROW(ISN!$Q$3:$Q$1000)-ROW(ISN!$Q$3)+1),
ROWS(A$2:A22))),"")</f>
        <v/>
      </c>
      <c r="AM22" s="116" t="str" cm="1">
        <f t="array" aca="1" ref="AM22" ca="1">IFERROR(INDEX(ISN!$D$3:$D$1000,
SMALL(
IF((ISN!$Q$3:$Q$1000&lt;&gt;"")*(ISN!$Q$3:$Q$1000&lt;&gt;"Not Due"),
ROW(ISN!$Q$3:$Q$1000)-ROW(ISN!$Q$3)+1),
ROWS(A$2:A22))),"")</f>
        <v/>
      </c>
      <c r="AN22" s="116"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5">
        <v>21</v>
      </c>
      <c r="AR22" s="124" t="str" cm="1">
        <f t="array" aca="1" ref="AR22" ca="1">IFERROR(INDEX(MSN!$E$3:$E$1000,
SMALL(
IF((MSN!$Q$3:$Q$1000&lt;&gt;"")*(MSN!$Q$3:$Q$1000&lt;&gt;"Not Due"),
ROW(MSN!$Q$3:$Q$1000)-ROW(MSN!$Q$3)+1),
ROWS(A$2:A22))),"")</f>
        <v/>
      </c>
      <c r="AS22" s="115" t="str" cm="1">
        <f t="array" aca="1" ref="AS22" ca="1">IFERROR(INDEX(MSN!$B$3:$B$1000,
SMALL(
IF((MSN!$Q$3:$Q$1000&lt;&gt;"")*(MSN!$Q$3:$Q$1000&lt;&gt;"Not Due"),
ROW(MSN!$Q$3:$Q$1000)-ROW(MSN!$Q$3)+1),
ROWS(A$2:A22))),"")</f>
        <v/>
      </c>
      <c r="AT22" s="115" t="str" cm="1">
        <f t="array" aca="1" ref="AT22" ca="1">IFERROR(INDEX(MSN!$D$3:$D$1000,
SMALL(
IF((MSN!$Q$3:$Q$1000&lt;&gt;"")*(MSN!$Q$3:$Q$1000&lt;&gt;"Not Due"),
ROW(MSN!$Q$3:$Q$1000)-ROW(MSN!$Q$3)+1),
ROWS(A$2:A22))),"")</f>
        <v/>
      </c>
      <c r="AU22" s="116"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124.8" x14ac:dyDescent="0.3">
      <c r="A23" s="115">
        <v>22</v>
      </c>
      <c r="B23" s="118" t="str" cm="1">
        <f t="array" aca="1" ref="B23" ca="1">IFERROR(INDEX(FRIM!$E$3:$E$1000,
SMALL(IF(FRIM!$Q$3:$Q$1000&lt;&gt;"",
ROW(FRIM!$Q$3:$Q$1000)-ROW(FRIM!$Q$3)+1),
ROWS(A$2:A23))),"")</f>
        <v>FRIM</v>
      </c>
      <c r="C23" s="116" t="str" cm="1">
        <f t="array" aca="1" ref="C23" ca="1">IFERROR(INDEX(FRIM!$B$3:$B$1000,
SMALL(IF(FRIM!$Q$3:$Q$1000&lt;&gt;"",
ROW(FRIM!$Q$3:$Q$1000)-ROW(FRIM!$Q$3)+1),
ROWS(A$2:A23))),"")</f>
        <v>T/2026/00353</v>
      </c>
      <c r="D23" s="116" t="str" cm="1">
        <f t="array" aca="1" ref="D23" ca="1">IFERROR(INDEX(FRIM!$D$3:$D$1000,
SMALL(IF(FRIM!$Q$3:$Q$1000&lt;&gt;"",
ROW(FRIM!$Q$3:$Q$1000)-ROW(FRIM!$Q$3)+1),
ROWS(A$2:A23))),"")</f>
        <v>MYPROCUREMENT</v>
      </c>
      <c r="E23" s="116" t="str" cm="1">
        <f t="array" aca="1" ref="E23" ca="1">IFERROR(INDEX(FRIM!$G$3:$G$1000,
SMALL(IF(FRIM!$Q$3:$Q$1000&lt;&gt;"",
ROW(FRIM!$Q$3:$Q$1000)-ROW(FRIM!$Q$3)+1),
ROWS(A$2:A23))),"")</f>
        <v>W2554 15 May 2026 NUR SYAQIRAH BINTI MOHAMED FOZI emel 15/5/2026 adalah dirujuk dan aduan w2534 (no tiket: t/2026/00255) syarikat sri comm travel services sdn bhd tidak dapat kemaskini maklumat. syarikat juga tidak dapat upload dokumen. mohon bantuan segera.</v>
      </c>
      <c r="F23" s="88" t="str" cm="1">
        <f t="array" aca="1" ref="F23" ca="1">IFERROR(INDEX(FRIM!$Q$3:$Q$1000,
SMALL(IF(FRIM!$Q$3:$Q$1000&lt;&gt;"",
ROW(FRIM!$Q$3:$Q$1000)-ROW(FRIM!$Q$3)+1),
ROWS(A$2:A23))),"")</f>
        <v>31-60 Days</v>
      </c>
      <c r="H23" s="115">
        <v>22</v>
      </c>
      <c r="I23" s="119" t="str" cm="1">
        <f t="array" aca="1" ref="I23" ca="1">IFERROR(INDEX(MTIB!$E$3:$E$1000,
SMALL(
IF((MTIB!$Q$3:$Q$1000&lt;&gt;"")*(MTIB!$Q$3:$Q$1000&lt;&gt;"Not Due"),
ROW(MTIB!$Q$3:$Q$1000)-ROW(MTIB!$Q$3)+1),
ROWS(A$2:A23))),"")</f>
        <v/>
      </c>
      <c r="J23" s="115" t="str" cm="1">
        <f t="array" aca="1" ref="J23" ca="1">IFERROR(INDEX(MTIB!$B$3:$B$1000,
SMALL(
IF((MTIB!$Q$3:$Q$1000&lt;&gt;"")*(MTIB!$Q$3:$Q$1000&lt;&gt;"Not Due"),
ROW(MTIB!$Q$3:$Q$1000)-ROW(MTIB!$Q$3)+1),
ROWS(A$2:A23))),"")</f>
        <v/>
      </c>
      <c r="K23" s="115" t="str" cm="1">
        <f t="array" aca="1" ref="K23" ca="1">IFERROR(INDEX(MTIB!$D$3:$D$1000,
SMALL(
IF((MTIB!$Q$3:$Q$1000&lt;&gt;"")*(MTIB!$Q$3:$Q$1000&lt;&gt;"Not Due"),
ROW(MTIB!$Q$3:$Q$1000)-ROW(MTIB!$Q$3)+1),
ROWS(A$2:A23))),"")</f>
        <v/>
      </c>
      <c r="L23" s="116" t="str" cm="1">
        <f t="array" aca="1" ref="L23" ca="1">IFERROR(INDEX(MTIB!$G$3:$G$1000,
SMALL(
IF((MTIB!$Q$3:$Q$1000&lt;&gt;"")*(MTIB!$Q$3:$Q$1000&lt;&gt;"Not Due"),
ROW(MTIB!$Q$3:$Q$1000)-ROW(MTIB!$Q$3)+1),
ROWS(A$2:A23))),"")</f>
        <v/>
      </c>
      <c r="M23" s="88" t="str" cm="1">
        <f t="array" aca="1" ref="M23" ca="1">IFERROR(INDEX(MTIB!$Q$3:$Q$1000,
SMALL(
IF((MTIB!$Q$3:$Q$1000&lt;&gt;"")*(MTIB!$Q$3:$Q$1000&lt;&gt;"Not Due"),
ROW(MTIB!$Q$3:$Q$1000)-ROW(MTIB!$Q$3)+1),
ROWS(A$2:A23))
),"")</f>
        <v/>
      </c>
      <c r="O23" s="115">
        <v>22</v>
      </c>
      <c r="P23" s="120" t="str" cm="1">
        <f t="array" aca="1" ref="P23" ca="1">IFERROR(INDEX(MPOB!$E$3:$E$1000,
SMALL(
IF((MPOB!$Q$3:$Q$1000&lt;&gt;"")*(MPOB!$Q$3:$Q$1000&lt;&gt;"Not Due"),
ROW(MPOB!$Q$3:$Q$1000)-ROW(MPOB!$Q$3)+1),
ROWS(A$2:A23))),"")</f>
        <v>MPOB</v>
      </c>
      <c r="Q23" s="115" t="str" cm="1">
        <f t="array" aca="1" ref="Q23" ca="1">IFERROR(INDEX(MPOB!$B$3:$B$1000,
SMALL(
IF((MPOB!$Q$3:$Q$1000&lt;&gt;"")*(MPOB!$Q$3:$Q$1000&lt;&gt;"Not Due"),
ROW(MPOB!$Q$3:$Q$1000)-ROW(MPOB!$Q$3)+1),
ROWS(A$2:A23))),"")</f>
        <v>T/2026/00239</v>
      </c>
      <c r="R23" s="115" t="str" cm="1">
        <f t="array" aca="1" ref="R23" ca="1">IFERROR(INDEX(MPOB!$D$3:$D$1000,
SMALL(
IF((MPOB!$Q$3:$Q$1000&lt;&gt;"")*(MPOB!$Q$3:$Q$1000&lt;&gt;"Not Due"),
ROW(MPOB!$Q$3:$Q$1000)-ROW(MPOB!$Q$3)+1),
ROWS(A$2:A23))),"")</f>
        <v>MyLoan</v>
      </c>
      <c r="S23" s="116" t="str" cm="1">
        <f t="array" aca="1" ref="S23" ca="1">IFERROR(INDEX(MPOB!$G$3:$G$1000,
SMALL(
IF((MPOB!$Q$3:$Q$1000&lt;&gt;"")*(MPOB!$Q$3:$Q$1000&lt;&gt;"Not Due"),
ROW(MPOB!$Q$3:$Q$1000)-ROW(MPOB!$Q$3)+1),
ROWS(A$2:A23))),"")</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23" s="88" t="str" cm="1">
        <f t="array" aca="1" ref="T23" ca="1">IFERROR(INDEX(MPOB!$Q$3:$Q$1000,
SMALL(
IF((MPOB!$Q$3:$Q$1000&lt;&gt;"")*(MPOB!$Q$3:$Q$1000&lt;&gt;"Not Due"),
ROW(MPOB!$Q$3:$Q$1000)-ROW(MPOB!$Q$3)+1),
ROWS(A$2:A23))
),"")</f>
        <v>&gt;60 Days</v>
      </c>
      <c r="V23" s="115">
        <v>22</v>
      </c>
      <c r="W23" s="121" t="str" cm="1">
        <f t="array" aca="1" ref="W23" ca="1">IFERROR(INDEX(LKTN!$E$3:$E$1000,
SMALL(
IF((LKTN!$Q$3:$Q$1000&lt;&gt;"")*(LKTN!$Q$3:$Q$1000&lt;&gt;"Not Due"),
ROW(LKTN!$Q$3:$Q$1000)-ROW(LKTN!$Q$3)+1),
ROWS(A$2:A23))),"")</f>
        <v/>
      </c>
      <c r="X23" s="115" t="str" cm="1">
        <f t="array" aca="1" ref="X23" ca="1">IFERROR(INDEX(LKTN!$B$3:$B$1000,
SMALL(
IF((LKTN!$Q$3:$Q$1000&lt;&gt;"")*(LKTN!$Q$3:$Q$1000&lt;&gt;"Not Due"),
ROW(LKTN!$Q$3:$Q$1000)-ROW(LKTN!$Q$3)+1),
ROWS(A$2:A23))),"")</f>
        <v/>
      </c>
      <c r="Y23" s="115" t="str" cm="1">
        <f t="array" aca="1" ref="Y23" ca="1">IFERROR(INDEX(LKTN!$D$3:$D$1000,
SMALL(
IF((LKTN!$Q$3:$Q$1000&lt;&gt;"")*(LKTN!$Q$3:$Q$1000&lt;&gt;"Not Due"),
ROW(LKTN!$Q$3:$Q$1000)-ROW(LKTN!$Q$3)+1),
ROWS(A$2:A23))),"")</f>
        <v/>
      </c>
      <c r="Z23" s="116"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5">
        <v>22</v>
      </c>
      <c r="AK23" s="123" t="str" cm="1">
        <f t="array" aca="1" ref="AK23" ca="1">IFERROR(INDEX(ISN!$E$3:$E$1000,
SMALL(
IF((ISN!$Q$3:$Q$1000&lt;&gt;"")*(ISN!$Q$3:$Q$1000&lt;&gt;"Not Due"),
ROW(ISN!$Q$3:$Q$1000)-ROW(ISN!$Q$3)+1),
ROWS(A$2:A23))),"")</f>
        <v/>
      </c>
      <c r="AL23" s="115" t="str" cm="1">
        <f t="array" aca="1" ref="AL23" ca="1">IFERROR(INDEX(ISN!$B$3:$B$1000,
SMALL(
IF((ISN!$Q$3:$Q$1000&lt;&gt;"")*(ISN!$Q$3:$Q$1000&lt;&gt;"Not Due"),
ROW(ISN!$Q$3:$Q$1000)-ROW(ISN!$Q$3)+1),
ROWS(A$2:A23))),"")</f>
        <v/>
      </c>
      <c r="AM23" s="116" t="str" cm="1">
        <f t="array" aca="1" ref="AM23" ca="1">IFERROR(INDEX(ISN!$D$3:$D$1000,
SMALL(
IF((ISN!$Q$3:$Q$1000&lt;&gt;"")*(ISN!$Q$3:$Q$1000&lt;&gt;"Not Due"),
ROW(ISN!$Q$3:$Q$1000)-ROW(ISN!$Q$3)+1),
ROWS(A$2:A23))),"")</f>
        <v/>
      </c>
      <c r="AN23" s="116"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5">
        <v>22</v>
      </c>
      <c r="AR23" s="124" t="str" cm="1">
        <f t="array" aca="1" ref="AR23" ca="1">IFERROR(INDEX(MSN!$E$3:$E$1000,
SMALL(
IF((MSN!$Q$3:$Q$1000&lt;&gt;"")*(MSN!$Q$3:$Q$1000&lt;&gt;"Not Due"),
ROW(MSN!$Q$3:$Q$1000)-ROW(MSN!$Q$3)+1),
ROWS(A$2:A23))),"")</f>
        <v/>
      </c>
      <c r="AS23" s="115" t="str" cm="1">
        <f t="array" aca="1" ref="AS23" ca="1">IFERROR(INDEX(MSN!$B$3:$B$1000,
SMALL(
IF((MSN!$Q$3:$Q$1000&lt;&gt;"")*(MSN!$Q$3:$Q$1000&lt;&gt;"Not Due"),
ROW(MSN!$Q$3:$Q$1000)-ROW(MSN!$Q$3)+1),
ROWS(A$2:A23))),"")</f>
        <v/>
      </c>
      <c r="AT23" s="115" t="str" cm="1">
        <f t="array" aca="1" ref="AT23" ca="1">IFERROR(INDEX(MSN!$D$3:$D$1000,
SMALL(
IF((MSN!$Q$3:$Q$1000&lt;&gt;"")*(MSN!$Q$3:$Q$1000&lt;&gt;"Not Due"),
ROW(MSN!$Q$3:$Q$1000)-ROW(MSN!$Q$3)+1),
ROWS(A$2:A23))),"")</f>
        <v/>
      </c>
      <c r="AU23" s="116"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62.4" x14ac:dyDescent="0.3">
      <c r="A24" s="115">
        <v>23</v>
      </c>
      <c r="B24" s="118" t="str" cm="1">
        <f t="array" aca="1" ref="B24" ca="1">IFERROR(INDEX(FRIM!$E$3:$E$1000,
SMALL(IF(FRIM!$Q$3:$Q$1000&lt;&gt;"",
ROW(FRIM!$Q$3:$Q$1000)-ROW(FRIM!$Q$3)+1),
ROWS(A$2:A24))),"")</f>
        <v>FRIM</v>
      </c>
      <c r="C24" s="116" t="str" cm="1">
        <f t="array" aca="1" ref="C24" ca="1">IFERROR(INDEX(FRIM!$B$3:$B$1000,
SMALL(IF(FRIM!$Q$3:$Q$1000&lt;&gt;"",
ROW(FRIM!$Q$3:$Q$1000)-ROW(FRIM!$Q$3)+1),
ROWS(A$2:A24))),"")</f>
        <v>T/2026/00363</v>
      </c>
      <c r="D24" s="116" t="str" cm="1">
        <f t="array" aca="1" ref="D24" ca="1">IFERROR(INDEX(FRIM!$D$3:$D$1000,
SMALL(IF(FRIM!$Q$3:$Q$1000&lt;&gt;"",
ROW(FRIM!$Q$3:$Q$1000)-ROW(FRIM!$Q$3)+1),
ROWS(A$2:A24))),"")</f>
        <v>MYFINANCIAL CLIENT</v>
      </c>
      <c r="E24" s="116" t="str" cm="1">
        <f t="array" aca="1" ref="E24" ca="1">IFERROR(INDEX(FRIM!$G$3:$G$1000,
SMALL(IF(FRIM!$Q$3:$Q$1000&lt;&gt;"",
ROW(FRIM!$Q$3:$Q$1000)-ROW(FRIM!$Q$3)+1),
ROWS(A$2:A24))),"")</f>
        <v>W2556 20 May 2026 FATIN NUR AFIQA BINTI MAHAYUDIN format laporan document details format 2 tidak selari. sila rujuk lampiran</v>
      </c>
      <c r="F24" s="88" t="str" cm="1">
        <f t="array" aca="1" ref="F24" ca="1">IFERROR(INDEX(FRIM!$Q$3:$Q$1000,
SMALL(IF(FRIM!$Q$3:$Q$1000&lt;&gt;"",
ROW(FRIM!$Q$3:$Q$1000)-ROW(FRIM!$Q$3)+1),
ROWS(A$2:A24))),"")</f>
        <v>31-60 Days</v>
      </c>
      <c r="H24" s="115">
        <v>23</v>
      </c>
      <c r="I24" s="119" t="str" cm="1">
        <f t="array" aca="1" ref="I24" ca="1">IFERROR(INDEX(MTIB!$E$3:$E$1000,
SMALL(
IF((MTIB!$Q$3:$Q$1000&lt;&gt;"")*(MTIB!$Q$3:$Q$1000&lt;&gt;"Not Due"),
ROW(MTIB!$Q$3:$Q$1000)-ROW(MTIB!$Q$3)+1),
ROWS(A$2:A24))),"")</f>
        <v/>
      </c>
      <c r="J24" s="115" t="str" cm="1">
        <f t="array" aca="1" ref="J24" ca="1">IFERROR(INDEX(MTIB!$B$3:$B$1000,
SMALL(
IF((MTIB!$Q$3:$Q$1000&lt;&gt;"")*(MTIB!$Q$3:$Q$1000&lt;&gt;"Not Due"),
ROW(MTIB!$Q$3:$Q$1000)-ROW(MTIB!$Q$3)+1),
ROWS(A$2:A24))),"")</f>
        <v/>
      </c>
      <c r="K24" s="115" t="str" cm="1">
        <f t="array" aca="1" ref="K24" ca="1">IFERROR(INDEX(MTIB!$D$3:$D$1000,
SMALL(
IF((MTIB!$Q$3:$Q$1000&lt;&gt;"")*(MTIB!$Q$3:$Q$1000&lt;&gt;"Not Due"),
ROW(MTIB!$Q$3:$Q$1000)-ROW(MTIB!$Q$3)+1),
ROWS(A$2:A24))),"")</f>
        <v/>
      </c>
      <c r="L24" s="116" t="str" cm="1">
        <f t="array" aca="1" ref="L24" ca="1">IFERROR(INDEX(MTIB!$G$3:$G$1000,
SMALL(
IF((MTIB!$Q$3:$Q$1000&lt;&gt;"")*(MTIB!$Q$3:$Q$1000&lt;&gt;"Not Due"),
ROW(MTIB!$Q$3:$Q$1000)-ROW(MTIB!$Q$3)+1),
ROWS(A$2:A24))),"")</f>
        <v/>
      </c>
      <c r="M24" s="88" t="str" cm="1">
        <f t="array" aca="1" ref="M24" ca="1">IFERROR(INDEX(MTIB!$Q$3:$Q$1000,
SMALL(
IF((MTIB!$Q$3:$Q$1000&lt;&gt;"")*(MTIB!$Q$3:$Q$1000&lt;&gt;"Not Due"),
ROW(MTIB!$Q$3:$Q$1000)-ROW(MTIB!$Q$3)+1),
ROWS(A$2:A24))
),"")</f>
        <v/>
      </c>
      <c r="O24" s="115">
        <v>23</v>
      </c>
      <c r="P24" s="120" t="str" cm="1">
        <f t="array" aca="1" ref="P24" ca="1">IFERROR(INDEX(MPOB!$E$3:$E$1000,
SMALL(
IF((MPOB!$Q$3:$Q$1000&lt;&gt;"")*(MPOB!$Q$3:$Q$1000&lt;&gt;"Not Due"),
ROW(MPOB!$Q$3:$Q$1000)-ROW(MPOB!$Q$3)+1),
ROWS(A$2:A24))),"")</f>
        <v>MPOB</v>
      </c>
      <c r="Q24" s="115" t="str" cm="1">
        <f t="array" aca="1" ref="Q24" ca="1">IFERROR(INDEX(MPOB!$B$3:$B$1000,
SMALL(
IF((MPOB!$Q$3:$Q$1000&lt;&gt;"")*(MPOB!$Q$3:$Q$1000&lt;&gt;"Not Due"),
ROW(MPOB!$Q$3:$Q$1000)-ROW(MPOB!$Q$3)+1),
ROWS(A$2:A24))),"")</f>
        <v>T/2026/00243</v>
      </c>
      <c r="R24" s="115" t="str" cm="1">
        <f t="array" aca="1" ref="R24" ca="1">IFERROR(INDEX(MPOB!$D$3:$D$1000,
SMALL(
IF((MPOB!$Q$3:$Q$1000&lt;&gt;"")*(MPOB!$Q$3:$Q$1000&lt;&gt;"Not Due"),
ROW(MPOB!$Q$3:$Q$1000)-ROW(MPOB!$Q$3)+1),
ROWS(A$2:A24))),"")</f>
        <v>MyFinancial</v>
      </c>
      <c r="S24" s="116" t="str" cm="1">
        <f t="array" aca="1" ref="S24" ca="1">IFERROR(INDEX(MPOB!$G$3:$G$1000,
SMALL(
IF((MPOB!$Q$3:$Q$1000&lt;&gt;"")*(MPOB!$Q$3:$Q$1000&lt;&gt;"Not Due"),
ROW(MPOB!$Q$3:$Q$1000)-ROW(MPOB!$Q$3)+1),
ROWS(A$2:A24))),"")</f>
        <v>no bil BILFMDD/0524/00015 mempunyai ID dan nama berbeza.. pada paparan penyata penghutang dan pertanyaan bil, pohon semakan lanjut pihak myfas NAMA: LIYANA No.TEL: 01110405664</v>
      </c>
      <c r="T24" s="88" t="str" cm="1">
        <f t="array" aca="1" ref="T24" ca="1">IFERROR(INDEX(MPOB!$Q$3:$Q$1000,
SMALL(
IF((MPOB!$Q$3:$Q$1000&lt;&gt;"")*(MPOB!$Q$3:$Q$1000&lt;&gt;"Not Due"),
ROW(MPOB!$Q$3:$Q$1000)-ROW(MPOB!$Q$3)+1),
ROWS(A$2:A24))
),"")</f>
        <v>&gt;60 Days</v>
      </c>
      <c r="V24" s="115">
        <v>23</v>
      </c>
      <c r="W24" s="121" t="str" cm="1">
        <f t="array" aca="1" ref="W24" ca="1">IFERROR(INDEX(LKTN!$E$3:$E$1000,
SMALL(
IF((LKTN!$Q$3:$Q$1000&lt;&gt;"")*(LKTN!$Q$3:$Q$1000&lt;&gt;"Not Due"),
ROW(LKTN!$Q$3:$Q$1000)-ROW(LKTN!$Q$3)+1),
ROWS(A$2:A24))),"")</f>
        <v/>
      </c>
      <c r="X24" s="115" t="str" cm="1">
        <f t="array" aca="1" ref="X24" ca="1">IFERROR(INDEX(LKTN!$B$3:$B$1000,
SMALL(
IF((LKTN!$Q$3:$Q$1000&lt;&gt;"")*(LKTN!$Q$3:$Q$1000&lt;&gt;"Not Due"),
ROW(LKTN!$Q$3:$Q$1000)-ROW(LKTN!$Q$3)+1),
ROWS(A$2:A24))),"")</f>
        <v/>
      </c>
      <c r="Y24" s="115" t="str" cm="1">
        <f t="array" aca="1" ref="Y24" ca="1">IFERROR(INDEX(LKTN!$D$3:$D$1000,
SMALL(
IF((LKTN!$Q$3:$Q$1000&lt;&gt;"")*(LKTN!$Q$3:$Q$1000&lt;&gt;"Not Due"),
ROW(LKTN!$Q$3:$Q$1000)-ROW(LKTN!$Q$3)+1),
ROWS(A$2:A24))),"")</f>
        <v/>
      </c>
      <c r="Z24" s="116"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5">
        <v>23</v>
      </c>
      <c r="AK24" s="123" t="str" cm="1">
        <f t="array" aca="1" ref="AK24" ca="1">IFERROR(INDEX(ISN!$E$3:$E$1000,
SMALL(
IF((ISN!$Q$3:$Q$1000&lt;&gt;"")*(ISN!$Q$3:$Q$1000&lt;&gt;"Not Due"),
ROW(ISN!$Q$3:$Q$1000)-ROW(ISN!$Q$3)+1),
ROWS(A$2:A24))),"")</f>
        <v/>
      </c>
      <c r="AL24" s="115" t="str" cm="1">
        <f t="array" aca="1" ref="AL24" ca="1">IFERROR(INDEX(ISN!$B$3:$B$1000,
SMALL(
IF((ISN!$Q$3:$Q$1000&lt;&gt;"")*(ISN!$Q$3:$Q$1000&lt;&gt;"Not Due"),
ROW(ISN!$Q$3:$Q$1000)-ROW(ISN!$Q$3)+1),
ROWS(A$2:A24))),"")</f>
        <v/>
      </c>
      <c r="AM24" s="116" t="str" cm="1">
        <f t="array" aca="1" ref="AM24" ca="1">IFERROR(INDEX(ISN!$D$3:$D$1000,
SMALL(
IF((ISN!$Q$3:$Q$1000&lt;&gt;"")*(ISN!$Q$3:$Q$1000&lt;&gt;"Not Due"),
ROW(ISN!$Q$3:$Q$1000)-ROW(ISN!$Q$3)+1),
ROWS(A$2:A24))),"")</f>
        <v/>
      </c>
      <c r="AN24" s="116"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5">
        <v>23</v>
      </c>
      <c r="AR24" s="124" t="str" cm="1">
        <f t="array" aca="1" ref="AR24" ca="1">IFERROR(INDEX(MSN!$E$3:$E$1000,
SMALL(
IF((MSN!$Q$3:$Q$1000&lt;&gt;"")*(MSN!$Q$3:$Q$1000&lt;&gt;"Not Due"),
ROW(MSN!$Q$3:$Q$1000)-ROW(MSN!$Q$3)+1),
ROWS(A$2:A24))),"")</f>
        <v/>
      </c>
      <c r="AS24" s="115" t="str" cm="1">
        <f t="array" aca="1" ref="AS24" ca="1">IFERROR(INDEX(MSN!$B$3:$B$1000,
SMALL(
IF((MSN!$Q$3:$Q$1000&lt;&gt;"")*(MSN!$Q$3:$Q$1000&lt;&gt;"Not Due"),
ROW(MSN!$Q$3:$Q$1000)-ROW(MSN!$Q$3)+1),
ROWS(A$2:A24))),"")</f>
        <v/>
      </c>
      <c r="AT24" s="115" t="str" cm="1">
        <f t="array" aca="1" ref="AT24" ca="1">IFERROR(INDEX(MSN!$D$3:$D$1000,
SMALL(
IF((MSN!$Q$3:$Q$1000&lt;&gt;"")*(MSN!$Q$3:$Q$1000&lt;&gt;"Not Due"),
ROW(MSN!$Q$3:$Q$1000)-ROW(MSN!$Q$3)+1),
ROWS(A$2:A24))),"")</f>
        <v/>
      </c>
      <c r="AU24" s="116"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24.8" x14ac:dyDescent="0.3">
      <c r="A25" s="115">
        <v>24</v>
      </c>
      <c r="B25" s="118" t="str" cm="1">
        <f t="array" aca="1" ref="B25" ca="1">IFERROR(INDEX(FRIM!$E$3:$E$1000,
SMALL(IF(FRIM!$Q$3:$Q$1000&lt;&gt;"",
ROW(FRIM!$Q$3:$Q$1000)-ROW(FRIM!$Q$3)+1),
ROWS(A$2:A25))),"")</f>
        <v>FRIM</v>
      </c>
      <c r="C25" s="116" t="str" cm="1">
        <f t="array" aca="1" ref="C25" ca="1">IFERROR(INDEX(FRIM!$B$3:$B$1000,
SMALL(IF(FRIM!$Q$3:$Q$1000&lt;&gt;"",
ROW(FRIM!$Q$3:$Q$1000)-ROW(FRIM!$Q$3)+1),
ROWS(A$2:A25))),"")</f>
        <v>T/2026/00378</v>
      </c>
      <c r="D25" s="116" t="str" cm="1">
        <f t="array" aca="1" ref="D25" ca="1">IFERROR(INDEX(FRIM!$D$3:$D$1000,
SMALL(IF(FRIM!$Q$3:$Q$1000&lt;&gt;"",
ROW(FRIM!$Q$3:$Q$1000)-ROW(FRIM!$Q$3)+1),
ROWS(A$2:A25))),"")</f>
        <v>MYPROCUREMENT</v>
      </c>
      <c r="E25" s="116" t="str" cm="1">
        <f t="array" aca="1" ref="E25" ca="1">IFERROR(INDEX(FRIM!$G$3:$G$1000,
SMALL(IF(FRIM!$Q$3:$Q$1000&lt;&gt;"",
ROW(FRIM!$Q$3:$Q$1000)-ROW(FRIM!$Q$3)+1),
ROWS(A$2:A25))),"")</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25" s="88" t="str" cm="1">
        <f t="array" aca="1" ref="F25" ca="1">IFERROR(INDEX(FRIM!$Q$3:$Q$1000,
SMALL(IF(FRIM!$Q$3:$Q$1000&lt;&gt;"",
ROW(FRIM!$Q$3:$Q$1000)-ROW(FRIM!$Q$3)+1),
ROWS(A$2:A25))),"")</f>
        <v>1-30 Days</v>
      </c>
      <c r="H25" s="115">
        <v>24</v>
      </c>
      <c r="I25" s="119" t="str" cm="1">
        <f t="array" aca="1" ref="I25" ca="1">IFERROR(INDEX(MTIB!$E$3:$E$1000,
SMALL(
IF((MTIB!$Q$3:$Q$1000&lt;&gt;"")*(MTIB!$Q$3:$Q$1000&lt;&gt;"Not Due"),
ROW(MTIB!$Q$3:$Q$1000)-ROW(MTIB!$Q$3)+1),
ROWS(A$2:A25))),"")</f>
        <v/>
      </c>
      <c r="J25" s="115" t="str" cm="1">
        <f t="array" aca="1" ref="J25" ca="1">IFERROR(INDEX(MTIB!$B$3:$B$1000,
SMALL(
IF((MTIB!$Q$3:$Q$1000&lt;&gt;"")*(MTIB!$Q$3:$Q$1000&lt;&gt;"Not Due"),
ROW(MTIB!$Q$3:$Q$1000)-ROW(MTIB!$Q$3)+1),
ROWS(A$2:A25))),"")</f>
        <v/>
      </c>
      <c r="K25" s="115" t="str" cm="1">
        <f t="array" aca="1" ref="K25" ca="1">IFERROR(INDEX(MTIB!$D$3:$D$1000,
SMALL(
IF((MTIB!$Q$3:$Q$1000&lt;&gt;"")*(MTIB!$Q$3:$Q$1000&lt;&gt;"Not Due"),
ROW(MTIB!$Q$3:$Q$1000)-ROW(MTIB!$Q$3)+1),
ROWS(A$2:A25))),"")</f>
        <v/>
      </c>
      <c r="L25" s="116" t="str" cm="1">
        <f t="array" aca="1" ref="L25" ca="1">IFERROR(INDEX(MTIB!$G$3:$G$1000,
SMALL(
IF((MTIB!$Q$3:$Q$1000&lt;&gt;"")*(MTIB!$Q$3:$Q$1000&lt;&gt;"Not Due"),
ROW(MTIB!$Q$3:$Q$1000)-ROW(MTIB!$Q$3)+1),
ROWS(A$2:A25))),"")</f>
        <v/>
      </c>
      <c r="M25" s="88" t="str" cm="1">
        <f t="array" aca="1" ref="M25" ca="1">IFERROR(INDEX(MTIB!$Q$3:$Q$1000,
SMALL(
IF((MTIB!$Q$3:$Q$1000&lt;&gt;"")*(MTIB!$Q$3:$Q$1000&lt;&gt;"Not Due"),
ROW(MTIB!$Q$3:$Q$1000)-ROW(MTIB!$Q$3)+1),
ROWS(A$2:A25))
),"")</f>
        <v/>
      </c>
      <c r="O25" s="115">
        <v>24</v>
      </c>
      <c r="P25" s="120" t="str" cm="1">
        <f t="array" aca="1" ref="P25" ca="1">IFERROR(INDEX(MPOB!$E$3:$E$1000,
SMALL(
IF((MPOB!$Q$3:$Q$1000&lt;&gt;"")*(MPOB!$Q$3:$Q$1000&lt;&gt;"Not Due"),
ROW(MPOB!$Q$3:$Q$1000)-ROW(MPOB!$Q$3)+1),
ROWS(A$2:A25))),"")</f>
        <v>MPOB</v>
      </c>
      <c r="Q25" s="115" t="str" cm="1">
        <f t="array" aca="1" ref="Q25" ca="1">IFERROR(INDEX(MPOB!$B$3:$B$1000,
SMALL(
IF((MPOB!$Q$3:$Q$1000&lt;&gt;"")*(MPOB!$Q$3:$Q$1000&lt;&gt;"Not Due"),
ROW(MPOB!$Q$3:$Q$1000)-ROW(MPOB!$Q$3)+1),
ROWS(A$2:A25))),"")</f>
        <v>T/2026/00249</v>
      </c>
      <c r="R25" s="115" t="str" cm="1">
        <f t="array" aca="1" ref="R25" ca="1">IFERROR(INDEX(MPOB!$D$3:$D$1000,
SMALL(
IF((MPOB!$Q$3:$Q$1000&lt;&gt;"")*(MPOB!$Q$3:$Q$1000&lt;&gt;"Not Due"),
ROW(MPOB!$Q$3:$Q$1000)-ROW(MPOB!$Q$3)+1),
ROWS(A$2:A25))),"")</f>
        <v>MyDeposit</v>
      </c>
      <c r="S25" s="116" t="str" cm="1">
        <f t="array" aca="1" ref="S25" ca="1">IFERROR(INDEX(MPOB!$G$3:$G$1000,
SMALL(
IF((MPOB!$Q$3:$Q$1000&lt;&gt;"")*(MPOB!$Q$3:$Q$1000&lt;&gt;"Not Due"),
ROW(MPOB!$Q$3:$Q$1000)-ROW(MPOB!$Q$3)+1),
ROWS(A$2:A25))),"")</f>
        <v>No. Resit tidak boleh tarik untuk proses di mydeposit</v>
      </c>
      <c r="T25" s="88" t="str" cm="1">
        <f t="array" aca="1" ref="T25" ca="1">IFERROR(INDEX(MPOB!$Q$3:$Q$1000,
SMALL(
IF((MPOB!$Q$3:$Q$1000&lt;&gt;"")*(MPOB!$Q$3:$Q$1000&lt;&gt;"Not Due"),
ROW(MPOB!$Q$3:$Q$1000)-ROW(MPOB!$Q$3)+1),
ROWS(A$2:A25))
),"")</f>
        <v>&gt;60 Days</v>
      </c>
      <c r="V25" s="115">
        <v>24</v>
      </c>
      <c r="W25" s="121" t="str" cm="1">
        <f t="array" aca="1" ref="W25" ca="1">IFERROR(INDEX(LKTN!$E$3:$E$1000,
SMALL(
IF((LKTN!$Q$3:$Q$1000&lt;&gt;"")*(LKTN!$Q$3:$Q$1000&lt;&gt;"Not Due"),
ROW(LKTN!$Q$3:$Q$1000)-ROW(LKTN!$Q$3)+1),
ROWS(A$2:A25))),"")</f>
        <v/>
      </c>
      <c r="X25" s="115" t="str" cm="1">
        <f t="array" aca="1" ref="X25" ca="1">IFERROR(INDEX(LKTN!$B$3:$B$1000,
SMALL(
IF((LKTN!$Q$3:$Q$1000&lt;&gt;"")*(LKTN!$Q$3:$Q$1000&lt;&gt;"Not Due"),
ROW(LKTN!$Q$3:$Q$1000)-ROW(LKTN!$Q$3)+1),
ROWS(A$2:A25))),"")</f>
        <v/>
      </c>
      <c r="Y25" s="115" t="str" cm="1">
        <f t="array" aca="1" ref="Y25" ca="1">IFERROR(INDEX(LKTN!$D$3:$D$1000,
SMALL(
IF((LKTN!$Q$3:$Q$1000&lt;&gt;"")*(LKTN!$Q$3:$Q$1000&lt;&gt;"Not Due"),
ROW(LKTN!$Q$3:$Q$1000)-ROW(LKTN!$Q$3)+1),
ROWS(A$2:A25))),"")</f>
        <v/>
      </c>
      <c r="Z25" s="116"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5">
        <v>24</v>
      </c>
      <c r="AK25" s="123" t="str" cm="1">
        <f t="array" aca="1" ref="AK25" ca="1">IFERROR(INDEX(ISN!$E$3:$E$1000,
SMALL(
IF((ISN!$Q$3:$Q$1000&lt;&gt;"")*(ISN!$Q$3:$Q$1000&lt;&gt;"Not Due"),
ROW(ISN!$Q$3:$Q$1000)-ROW(ISN!$Q$3)+1),
ROWS(A$2:A25))),"")</f>
        <v/>
      </c>
      <c r="AL25" s="115" t="str" cm="1">
        <f t="array" aca="1" ref="AL25" ca="1">IFERROR(INDEX(ISN!$B$3:$B$1000,
SMALL(
IF((ISN!$Q$3:$Q$1000&lt;&gt;"")*(ISN!$Q$3:$Q$1000&lt;&gt;"Not Due"),
ROW(ISN!$Q$3:$Q$1000)-ROW(ISN!$Q$3)+1),
ROWS(A$2:A25))),"")</f>
        <v/>
      </c>
      <c r="AM25" s="116" t="str" cm="1">
        <f t="array" aca="1" ref="AM25" ca="1">IFERROR(INDEX(ISN!$D$3:$D$1000,
SMALL(
IF((ISN!$Q$3:$Q$1000&lt;&gt;"")*(ISN!$Q$3:$Q$1000&lt;&gt;"Not Due"),
ROW(ISN!$Q$3:$Q$1000)-ROW(ISN!$Q$3)+1),
ROWS(A$2:A25))),"")</f>
        <v/>
      </c>
      <c r="AN25" s="116"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5">
        <v>24</v>
      </c>
      <c r="AR25" s="124" t="str" cm="1">
        <f t="array" aca="1" ref="AR25" ca="1">IFERROR(INDEX(MSN!$E$3:$E$1000,
SMALL(
IF((MSN!$Q$3:$Q$1000&lt;&gt;"")*(MSN!$Q$3:$Q$1000&lt;&gt;"Not Due"),
ROW(MSN!$Q$3:$Q$1000)-ROW(MSN!$Q$3)+1),
ROWS(A$2:A25))),"")</f>
        <v/>
      </c>
      <c r="AS25" s="115" t="str" cm="1">
        <f t="array" aca="1" ref="AS25" ca="1">IFERROR(INDEX(MSN!$B$3:$B$1000,
SMALL(
IF((MSN!$Q$3:$Q$1000&lt;&gt;"")*(MSN!$Q$3:$Q$1000&lt;&gt;"Not Due"),
ROW(MSN!$Q$3:$Q$1000)-ROW(MSN!$Q$3)+1),
ROWS(A$2:A25))),"")</f>
        <v/>
      </c>
      <c r="AT25" s="115" t="str" cm="1">
        <f t="array" aca="1" ref="AT25" ca="1">IFERROR(INDEX(MSN!$D$3:$D$1000,
SMALL(
IF((MSN!$Q$3:$Q$1000&lt;&gt;"")*(MSN!$Q$3:$Q$1000&lt;&gt;"Not Due"),
ROW(MSN!$Q$3:$Q$1000)-ROW(MSN!$Q$3)+1),
ROWS(A$2:A25))),"")</f>
        <v/>
      </c>
      <c r="AU25" s="116"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156" x14ac:dyDescent="0.3">
      <c r="A26" s="115">
        <v>25</v>
      </c>
      <c r="B26" s="118" t="str" cm="1">
        <f t="array" aca="1" ref="B26" ca="1">IFERROR(INDEX(FRIM!$E$3:$E$1000,
SMALL(IF(FRIM!$Q$3:$Q$1000&lt;&gt;"",
ROW(FRIM!$Q$3:$Q$1000)-ROW(FRIM!$Q$3)+1),
ROWS(A$2:A26))),"")</f>
        <v>FRIM</v>
      </c>
      <c r="C26" s="116" t="str" cm="1">
        <f t="array" aca="1" ref="C26" ca="1">IFERROR(INDEX(FRIM!$B$3:$B$1000,
SMALL(IF(FRIM!$Q$3:$Q$1000&lt;&gt;"",
ROW(FRIM!$Q$3:$Q$1000)-ROW(FRIM!$Q$3)+1),
ROWS(A$2:A26))),"")</f>
        <v>T/2026/00379</v>
      </c>
      <c r="D26" s="116" t="str" cm="1">
        <f t="array" aca="1" ref="D26" ca="1">IFERROR(INDEX(FRIM!$D$3:$D$1000,
SMALL(IF(FRIM!$Q$3:$Q$1000&lt;&gt;"",
ROW(FRIM!$Q$3:$Q$1000)-ROW(FRIM!$Q$3)+1),
ROWS(A$2:A26))),"")</f>
        <v>MYFINANCIAL CLIENT</v>
      </c>
      <c r="E26" s="116" t="str" cm="1">
        <f t="array" aca="1" ref="E26" ca="1">IFERROR(INDEX(FRIM!$G$3:$G$1000,
SMALL(IF(FRIM!$Q$3:$Q$1000&lt;&gt;"",
ROW(FRIM!$Q$3:$Q$1000)-ROW(FRIM!$Q$3)+1),
ROWS(A$2:A26))),"")</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6" s="88" t="str" cm="1">
        <f t="array" aca="1" ref="F26" ca="1">IFERROR(INDEX(FRIM!$Q$3:$Q$1000,
SMALL(IF(FRIM!$Q$3:$Q$1000&lt;&gt;"",
ROW(FRIM!$Q$3:$Q$1000)-ROW(FRIM!$Q$3)+1),
ROWS(A$2:A26))),"")</f>
        <v>1-30 Days</v>
      </c>
      <c r="H26" s="115">
        <v>25</v>
      </c>
      <c r="I26" s="119" t="str" cm="1">
        <f t="array" aca="1" ref="I26" ca="1">IFERROR(INDEX(MTIB!$E$3:$E$1000,
SMALL(
IF((MTIB!$Q$3:$Q$1000&lt;&gt;"")*(MTIB!$Q$3:$Q$1000&lt;&gt;"Not Due"),
ROW(MTIB!$Q$3:$Q$1000)-ROW(MTIB!$Q$3)+1),
ROWS(A$2:A26))),"")</f>
        <v/>
      </c>
      <c r="J26" s="115" t="str" cm="1">
        <f t="array" aca="1" ref="J26" ca="1">IFERROR(INDEX(MTIB!$B$3:$B$1000,
SMALL(
IF((MTIB!$Q$3:$Q$1000&lt;&gt;"")*(MTIB!$Q$3:$Q$1000&lt;&gt;"Not Due"),
ROW(MTIB!$Q$3:$Q$1000)-ROW(MTIB!$Q$3)+1),
ROWS(A$2:A26))),"")</f>
        <v/>
      </c>
      <c r="K26" s="115" t="str" cm="1">
        <f t="array" aca="1" ref="K26" ca="1">IFERROR(INDEX(MTIB!$D$3:$D$1000,
SMALL(
IF((MTIB!$Q$3:$Q$1000&lt;&gt;"")*(MTIB!$Q$3:$Q$1000&lt;&gt;"Not Due"),
ROW(MTIB!$Q$3:$Q$1000)-ROW(MTIB!$Q$3)+1),
ROWS(A$2:A26))),"")</f>
        <v/>
      </c>
      <c r="L26" s="116" t="str" cm="1">
        <f t="array" aca="1" ref="L26" ca="1">IFERROR(INDEX(MTIB!$G$3:$G$1000,
SMALL(
IF((MTIB!$Q$3:$Q$1000&lt;&gt;"")*(MTIB!$Q$3:$Q$1000&lt;&gt;"Not Due"),
ROW(MTIB!$Q$3:$Q$1000)-ROW(MTIB!$Q$3)+1),
ROWS(A$2:A26))),"")</f>
        <v/>
      </c>
      <c r="M26" s="88" t="str" cm="1">
        <f t="array" aca="1" ref="M26" ca="1">IFERROR(INDEX(MTIB!$Q$3:$Q$1000,
SMALL(
IF((MTIB!$Q$3:$Q$1000&lt;&gt;"")*(MTIB!$Q$3:$Q$1000&lt;&gt;"Not Due"),
ROW(MTIB!$Q$3:$Q$1000)-ROW(MTIB!$Q$3)+1),
ROWS(A$2:A26))
),"")</f>
        <v/>
      </c>
      <c r="O26" s="115">
        <v>25</v>
      </c>
      <c r="P26" s="120" t="str" cm="1">
        <f t="array" aca="1" ref="P26" ca="1">IFERROR(INDEX(MPOB!$E$3:$E$1000,
SMALL(
IF((MPOB!$Q$3:$Q$1000&lt;&gt;"")*(MPOB!$Q$3:$Q$1000&lt;&gt;"Not Due"),
ROW(MPOB!$Q$3:$Q$1000)-ROW(MPOB!$Q$3)+1),
ROWS(A$2:A26))),"")</f>
        <v>MPOB</v>
      </c>
      <c r="Q26" s="115" t="str" cm="1">
        <f t="array" aca="1" ref="Q26" ca="1">IFERROR(INDEX(MPOB!$B$3:$B$1000,
SMALL(
IF((MPOB!$Q$3:$Q$1000&lt;&gt;"")*(MPOB!$Q$3:$Q$1000&lt;&gt;"Not Due"),
ROW(MPOB!$Q$3:$Q$1000)-ROW(MPOB!$Q$3)+1),
ROWS(A$2:A26))),"")</f>
        <v>T/2026/00250</v>
      </c>
      <c r="R26" s="115" t="str" cm="1">
        <f t="array" aca="1" ref="R26" ca="1">IFERROR(INDEX(MPOB!$D$3:$D$1000,
SMALL(
IF((MPOB!$Q$3:$Q$1000&lt;&gt;"")*(MPOB!$Q$3:$Q$1000&lt;&gt;"Not Due"),
ROW(MPOB!$Q$3:$Q$1000)-ROW(MPOB!$Q$3)+1),
ROWS(A$2:A26))),"")</f>
        <v>MyDeposit</v>
      </c>
      <c r="S26" s="116" t="str" cm="1">
        <f t="array" aca="1" ref="S26" ca="1">IFERROR(INDEX(MPOB!$G$3:$G$1000,
SMALL(
IF((MPOB!$Q$3:$Q$1000&lt;&gt;"")*(MPOB!$Q$3:$Q$1000&lt;&gt;"Not Due"),
ROW(MPOB!$Q$3:$Q$1000)-ROW(MPOB!$Q$3)+1),
ROWS(A$2:A26))),"")</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6" s="88" t="str" cm="1">
        <f t="array" aca="1" ref="T26" ca="1">IFERROR(INDEX(MPOB!$Q$3:$Q$1000,
SMALL(
IF((MPOB!$Q$3:$Q$1000&lt;&gt;"")*(MPOB!$Q$3:$Q$1000&lt;&gt;"Not Due"),
ROW(MPOB!$Q$3:$Q$1000)-ROW(MPOB!$Q$3)+1),
ROWS(A$2:A26))
),"")</f>
        <v>&gt;60 Days</v>
      </c>
      <c r="V26" s="115">
        <v>25</v>
      </c>
      <c r="W26" s="121" t="str" cm="1">
        <f t="array" aca="1" ref="W26" ca="1">IFERROR(INDEX(LKTN!$E$3:$E$1000,
SMALL(
IF((LKTN!$Q$3:$Q$1000&lt;&gt;"")*(LKTN!$Q$3:$Q$1000&lt;&gt;"Not Due"),
ROW(LKTN!$Q$3:$Q$1000)-ROW(LKTN!$Q$3)+1),
ROWS(A$2:A26))),"")</f>
        <v/>
      </c>
      <c r="X26" s="115" t="str" cm="1">
        <f t="array" aca="1" ref="X26" ca="1">IFERROR(INDEX(LKTN!$B$3:$B$1000,
SMALL(
IF((LKTN!$Q$3:$Q$1000&lt;&gt;"")*(LKTN!$Q$3:$Q$1000&lt;&gt;"Not Due"),
ROW(LKTN!$Q$3:$Q$1000)-ROW(LKTN!$Q$3)+1),
ROWS(A$2:A26))),"")</f>
        <v/>
      </c>
      <c r="Y26" s="115" t="str" cm="1">
        <f t="array" aca="1" ref="Y26" ca="1">IFERROR(INDEX(LKTN!$D$3:$D$1000,
SMALL(
IF((LKTN!$Q$3:$Q$1000&lt;&gt;"")*(LKTN!$Q$3:$Q$1000&lt;&gt;"Not Due"),
ROW(LKTN!$Q$3:$Q$1000)-ROW(LKTN!$Q$3)+1),
ROWS(A$2:A26))),"")</f>
        <v/>
      </c>
      <c r="Z26" s="116"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5">
        <v>25</v>
      </c>
      <c r="AK26" s="123" t="str" cm="1">
        <f t="array" aca="1" ref="AK26" ca="1">IFERROR(INDEX(ISN!$E$3:$E$1000,
SMALL(
IF((ISN!$Q$3:$Q$1000&lt;&gt;"")*(ISN!$Q$3:$Q$1000&lt;&gt;"Not Due"),
ROW(ISN!$Q$3:$Q$1000)-ROW(ISN!$Q$3)+1),
ROWS(A$2:A26))),"")</f>
        <v/>
      </c>
      <c r="AL26" s="115" t="str" cm="1">
        <f t="array" aca="1" ref="AL26" ca="1">IFERROR(INDEX(ISN!$B$3:$B$1000,
SMALL(
IF((ISN!$Q$3:$Q$1000&lt;&gt;"")*(ISN!$Q$3:$Q$1000&lt;&gt;"Not Due"),
ROW(ISN!$Q$3:$Q$1000)-ROW(ISN!$Q$3)+1),
ROWS(A$2:A26))),"")</f>
        <v/>
      </c>
      <c r="AM26" s="116" t="str" cm="1">
        <f t="array" aca="1" ref="AM26" ca="1">IFERROR(INDEX(ISN!$D$3:$D$1000,
SMALL(
IF((ISN!$Q$3:$Q$1000&lt;&gt;"")*(ISN!$Q$3:$Q$1000&lt;&gt;"Not Due"),
ROW(ISN!$Q$3:$Q$1000)-ROW(ISN!$Q$3)+1),
ROWS(A$2:A26))),"")</f>
        <v/>
      </c>
      <c r="AN26" s="116"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5">
        <v>25</v>
      </c>
      <c r="AR26" s="124" t="str" cm="1">
        <f t="array" aca="1" ref="AR26" ca="1">IFERROR(INDEX(MSN!$E$3:$E$1000,
SMALL(
IF((MSN!$Q$3:$Q$1000&lt;&gt;"")*(MSN!$Q$3:$Q$1000&lt;&gt;"Not Due"),
ROW(MSN!$Q$3:$Q$1000)-ROW(MSN!$Q$3)+1),
ROWS(A$2:A26))),"")</f>
        <v/>
      </c>
      <c r="AS26" s="115" t="str" cm="1">
        <f t="array" aca="1" ref="AS26" ca="1">IFERROR(INDEX(MSN!$B$3:$B$1000,
SMALL(
IF((MSN!$Q$3:$Q$1000&lt;&gt;"")*(MSN!$Q$3:$Q$1000&lt;&gt;"Not Due"),
ROW(MSN!$Q$3:$Q$1000)-ROW(MSN!$Q$3)+1),
ROWS(A$2:A26))),"")</f>
        <v/>
      </c>
      <c r="AT26" s="115" t="str" cm="1">
        <f t="array" aca="1" ref="AT26" ca="1">IFERROR(INDEX(MSN!$D$3:$D$1000,
SMALL(
IF((MSN!$Q$3:$Q$1000&lt;&gt;"")*(MSN!$Q$3:$Q$1000&lt;&gt;"Not Due"),
ROW(MSN!$Q$3:$Q$1000)-ROW(MSN!$Q$3)+1),
ROWS(A$2:A26))),"")</f>
        <v/>
      </c>
      <c r="AU26" s="116"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78" x14ac:dyDescent="0.3">
      <c r="A27" s="115">
        <v>26</v>
      </c>
      <c r="B27" s="118" t="str" cm="1">
        <f t="array" aca="1" ref="B27" ca="1">IFERROR(INDEX(FRIM!$E$3:$E$1000,
SMALL(IF(FRIM!$Q$3:$Q$1000&lt;&gt;"",
ROW(FRIM!$Q$3:$Q$1000)-ROW(FRIM!$Q$3)+1),
ROWS(A$2:A27))),"")</f>
        <v>FRIM</v>
      </c>
      <c r="C27" s="116" t="str" cm="1">
        <f t="array" aca="1" ref="C27" ca="1">IFERROR(INDEX(FRIM!$B$3:$B$1000,
SMALL(IF(FRIM!$Q$3:$Q$1000&lt;&gt;"",
ROW(FRIM!$Q$3:$Q$1000)-ROW(FRIM!$Q$3)+1),
ROWS(A$2:A27))),"")</f>
        <v>T/2026/00383</v>
      </c>
      <c r="D27" s="116" t="str" cm="1">
        <f t="array" aca="1" ref="D27" ca="1">IFERROR(INDEX(FRIM!$D$3:$D$1000,
SMALL(IF(FRIM!$Q$3:$Q$1000&lt;&gt;"",
ROW(FRIM!$Q$3:$Q$1000)-ROW(FRIM!$Q$3)+1),
ROWS(A$2:A27))),"")</f>
        <v>MYFINANCIAL CLIENT</v>
      </c>
      <c r="E27" s="116" t="str" cm="1">
        <f t="array" aca="1" ref="E27" ca="1">IFERROR(INDEX(FRIM!$G$3:$G$1000,
SMALL(IF(FRIM!$Q$3:$Q$1000&lt;&gt;"",
ROW(FRIM!$Q$3:$Q$1000)-ROW(FRIM!$Q$3)+1),
ROWS(A$2:A27))),"")</f>
        <v>W2562 08 June 2026 NOR AFIZAH BT. ARSHAD MOHON BANTUAN UNTUK MELIHAT DAFTAR BIL 2601591. INI KERANA APABILA PANGGIL UNTUK DIBUAT SEMAKAN TIADA DAN DALAM SENARAI BELUM POS JUGA TIADA.</v>
      </c>
      <c r="F27" s="88" t="str" cm="1">
        <f t="array" aca="1" ref="F27" ca="1">IFERROR(INDEX(FRIM!$Q$3:$Q$1000,
SMALL(IF(FRIM!$Q$3:$Q$1000&lt;&gt;"",
ROW(FRIM!$Q$3:$Q$1000)-ROW(FRIM!$Q$3)+1),
ROWS(A$2:A27))),"")</f>
        <v>1-30 Days</v>
      </c>
      <c r="H27" s="115">
        <v>26</v>
      </c>
      <c r="I27" s="119" t="str" cm="1">
        <f t="array" aca="1" ref="I27" ca="1">IFERROR(INDEX(MTIB!$E$3:$E$1000,
SMALL(
IF((MTIB!$Q$3:$Q$1000&lt;&gt;"")*(MTIB!$Q$3:$Q$1000&lt;&gt;"Not Due"),
ROW(MTIB!$Q$3:$Q$1000)-ROW(MTIB!$Q$3)+1),
ROWS(A$2:A27))),"")</f>
        <v/>
      </c>
      <c r="J27" s="115" t="str" cm="1">
        <f t="array" aca="1" ref="J27" ca="1">IFERROR(INDEX(MTIB!$B$3:$B$1000,
SMALL(
IF((MTIB!$Q$3:$Q$1000&lt;&gt;"")*(MTIB!$Q$3:$Q$1000&lt;&gt;"Not Due"),
ROW(MTIB!$Q$3:$Q$1000)-ROW(MTIB!$Q$3)+1),
ROWS(A$2:A27))),"")</f>
        <v/>
      </c>
      <c r="K27" s="115" t="str" cm="1">
        <f t="array" aca="1" ref="K27" ca="1">IFERROR(INDEX(MTIB!$D$3:$D$1000,
SMALL(
IF((MTIB!$Q$3:$Q$1000&lt;&gt;"")*(MTIB!$Q$3:$Q$1000&lt;&gt;"Not Due"),
ROW(MTIB!$Q$3:$Q$1000)-ROW(MTIB!$Q$3)+1),
ROWS(A$2:A27))),"")</f>
        <v/>
      </c>
      <c r="L27" s="116" t="str" cm="1">
        <f t="array" aca="1" ref="L27" ca="1">IFERROR(INDEX(MTIB!$G$3:$G$1000,
SMALL(
IF((MTIB!$Q$3:$Q$1000&lt;&gt;"")*(MTIB!$Q$3:$Q$1000&lt;&gt;"Not Due"),
ROW(MTIB!$Q$3:$Q$1000)-ROW(MTIB!$Q$3)+1),
ROWS(A$2:A27))),"")</f>
        <v/>
      </c>
      <c r="M27" s="88" t="str" cm="1">
        <f t="array" aca="1" ref="M27" ca="1">IFERROR(INDEX(MTIB!$Q$3:$Q$1000,
SMALL(
IF((MTIB!$Q$3:$Q$1000&lt;&gt;"")*(MTIB!$Q$3:$Q$1000&lt;&gt;"Not Due"),
ROW(MTIB!$Q$3:$Q$1000)-ROW(MTIB!$Q$3)+1),
ROWS(A$2:A27))
),"")</f>
        <v/>
      </c>
      <c r="O27" s="115">
        <v>26</v>
      </c>
      <c r="P27" s="120" t="str" cm="1">
        <f t="array" aca="1" ref="P27" ca="1">IFERROR(INDEX(MPOB!$E$3:$E$1000,
SMALL(
IF((MPOB!$Q$3:$Q$1000&lt;&gt;"")*(MPOB!$Q$3:$Q$1000&lt;&gt;"Not Due"),
ROW(MPOB!$Q$3:$Q$1000)-ROW(MPOB!$Q$3)+1),
ROWS(A$2:A27))),"")</f>
        <v>MPOB</v>
      </c>
      <c r="Q27" s="115" t="str" cm="1">
        <f t="array" aca="1" ref="Q27" ca="1">IFERROR(INDEX(MPOB!$B$3:$B$1000,
SMALL(
IF((MPOB!$Q$3:$Q$1000&lt;&gt;"")*(MPOB!$Q$3:$Q$1000&lt;&gt;"Not Due"),
ROW(MPOB!$Q$3:$Q$1000)-ROW(MPOB!$Q$3)+1),
ROWS(A$2:A27))),"")</f>
        <v>T/2026/00251</v>
      </c>
      <c r="R27" s="115" t="str" cm="1">
        <f t="array" aca="1" ref="R27" ca="1">IFERROR(INDEX(MPOB!$D$3:$D$1000,
SMALL(
IF((MPOB!$Q$3:$Q$1000&lt;&gt;"")*(MPOB!$Q$3:$Q$1000&lt;&gt;"Not Due"),
ROW(MPOB!$Q$3:$Q$1000)-ROW(MPOB!$Q$3)+1),
ROWS(A$2:A27))),"")</f>
        <v>MyFinancial</v>
      </c>
      <c r="S27" s="116" t="str" cm="1">
        <f t="array" aca="1" ref="S27" ca="1">IFERROR(INDEX(MPOB!$G$3:$G$1000,
SMALL(
IF((MPOB!$Q$3:$Q$1000&lt;&gt;"")*(MPOB!$Q$3:$Q$1000&lt;&gt;"Not Due"),
ROW(MPOB!$Q$3:$Q$1000)-ROW(MPOB!$Q$3)+1),
ROWS(A$2:A27))),"")</f>
        <v>credit note tidak convert currency daripada usd ke myr dalam lejar dan penyata penghutang CRNFMDD/1025/00140</v>
      </c>
      <c r="T27" s="88" t="str" cm="1">
        <f t="array" aca="1" ref="T27" ca="1">IFERROR(INDEX(MPOB!$Q$3:$Q$1000,
SMALL(
IF((MPOB!$Q$3:$Q$1000&lt;&gt;"")*(MPOB!$Q$3:$Q$1000&lt;&gt;"Not Due"),
ROW(MPOB!$Q$3:$Q$1000)-ROW(MPOB!$Q$3)+1),
ROWS(A$2:A27))
),"")</f>
        <v>&gt;60 Days</v>
      </c>
      <c r="V27" s="115">
        <v>26</v>
      </c>
      <c r="W27" s="121" t="str" cm="1">
        <f t="array" aca="1" ref="W27" ca="1">IFERROR(INDEX(LKTN!$E$3:$E$1000,
SMALL(
IF((LKTN!$Q$3:$Q$1000&lt;&gt;"")*(LKTN!$Q$3:$Q$1000&lt;&gt;"Not Due"),
ROW(LKTN!$Q$3:$Q$1000)-ROW(LKTN!$Q$3)+1),
ROWS(A$2:A27))),"")</f>
        <v/>
      </c>
      <c r="X27" s="115" t="str" cm="1">
        <f t="array" aca="1" ref="X27" ca="1">IFERROR(INDEX(LKTN!$B$3:$B$1000,
SMALL(
IF((LKTN!$Q$3:$Q$1000&lt;&gt;"")*(LKTN!$Q$3:$Q$1000&lt;&gt;"Not Due"),
ROW(LKTN!$Q$3:$Q$1000)-ROW(LKTN!$Q$3)+1),
ROWS(A$2:A27))),"")</f>
        <v/>
      </c>
      <c r="Y27" s="115" t="str" cm="1">
        <f t="array" aca="1" ref="Y27" ca="1">IFERROR(INDEX(LKTN!$D$3:$D$1000,
SMALL(
IF((LKTN!$Q$3:$Q$1000&lt;&gt;"")*(LKTN!$Q$3:$Q$1000&lt;&gt;"Not Due"),
ROW(LKTN!$Q$3:$Q$1000)-ROW(LKTN!$Q$3)+1),
ROWS(A$2:A27))),"")</f>
        <v/>
      </c>
      <c r="Z27" s="116"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5">
        <v>26</v>
      </c>
      <c r="AK27" s="123" t="str" cm="1">
        <f t="array" aca="1" ref="AK27" ca="1">IFERROR(INDEX(ISN!$E$3:$E$1000,
SMALL(
IF((ISN!$Q$3:$Q$1000&lt;&gt;"")*(ISN!$Q$3:$Q$1000&lt;&gt;"Not Due"),
ROW(ISN!$Q$3:$Q$1000)-ROW(ISN!$Q$3)+1),
ROWS(A$2:A27))),"")</f>
        <v/>
      </c>
      <c r="AL27" s="115" t="str" cm="1">
        <f t="array" aca="1" ref="AL27" ca="1">IFERROR(INDEX(ISN!$B$3:$B$1000,
SMALL(
IF((ISN!$Q$3:$Q$1000&lt;&gt;"")*(ISN!$Q$3:$Q$1000&lt;&gt;"Not Due"),
ROW(ISN!$Q$3:$Q$1000)-ROW(ISN!$Q$3)+1),
ROWS(A$2:A27))),"")</f>
        <v/>
      </c>
      <c r="AM27" s="116" t="str" cm="1">
        <f t="array" aca="1" ref="AM27" ca="1">IFERROR(INDEX(ISN!$D$3:$D$1000,
SMALL(
IF((ISN!$Q$3:$Q$1000&lt;&gt;"")*(ISN!$Q$3:$Q$1000&lt;&gt;"Not Due"),
ROW(ISN!$Q$3:$Q$1000)-ROW(ISN!$Q$3)+1),
ROWS(A$2:A27))),"")</f>
        <v/>
      </c>
      <c r="AN27" s="116"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5">
        <v>26</v>
      </c>
      <c r="AR27" s="124" t="str" cm="1">
        <f t="array" aca="1" ref="AR27" ca="1">IFERROR(INDEX(MSN!$E$3:$E$1000,
SMALL(
IF((MSN!$Q$3:$Q$1000&lt;&gt;"")*(MSN!$Q$3:$Q$1000&lt;&gt;"Not Due"),
ROW(MSN!$Q$3:$Q$1000)-ROW(MSN!$Q$3)+1),
ROWS(A$2:A27))),"")</f>
        <v/>
      </c>
      <c r="AS27" s="115" t="str" cm="1">
        <f t="array" aca="1" ref="AS27" ca="1">IFERROR(INDEX(MSN!$B$3:$B$1000,
SMALL(
IF((MSN!$Q$3:$Q$1000&lt;&gt;"")*(MSN!$Q$3:$Q$1000&lt;&gt;"Not Due"),
ROW(MSN!$Q$3:$Q$1000)-ROW(MSN!$Q$3)+1),
ROWS(A$2:A27))),"")</f>
        <v/>
      </c>
      <c r="AT27" s="115" t="str" cm="1">
        <f t="array" aca="1" ref="AT27" ca="1">IFERROR(INDEX(MSN!$D$3:$D$1000,
SMALL(
IF((MSN!$Q$3:$Q$1000&lt;&gt;"")*(MSN!$Q$3:$Q$1000&lt;&gt;"Not Due"),
ROW(MSN!$Q$3:$Q$1000)-ROW(MSN!$Q$3)+1),
ROWS(A$2:A27))),"")</f>
        <v/>
      </c>
      <c r="AU27" s="116"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78" x14ac:dyDescent="0.3">
      <c r="A28" s="115">
        <v>27</v>
      </c>
      <c r="B28" s="118" t="str" cm="1">
        <f t="array" aca="1" ref="B28" ca="1">IFERROR(INDEX(FRIM!$E$3:$E$1000,
SMALL(IF(FRIM!$Q$3:$Q$1000&lt;&gt;"",
ROW(FRIM!$Q$3:$Q$1000)-ROW(FRIM!$Q$3)+1),
ROWS(A$2:A28))),"")</f>
        <v>FRIM</v>
      </c>
      <c r="C28" s="116" t="str" cm="1">
        <f t="array" aca="1" ref="C28" ca="1">IFERROR(INDEX(FRIM!$B$3:$B$1000,
SMALL(IF(FRIM!$Q$3:$Q$1000&lt;&gt;"",
ROW(FRIM!$Q$3:$Q$1000)-ROW(FRIM!$Q$3)+1),
ROWS(A$2:A28))),"")</f>
        <v>T/2026/00435</v>
      </c>
      <c r="D28" s="116" t="str" cm="1">
        <f t="array" aca="1" ref="D28" ca="1">IFERROR(INDEX(FRIM!$D$3:$D$1000,
SMALL(IF(FRIM!$Q$3:$Q$1000&lt;&gt;"",
ROW(FRIM!$Q$3:$Q$1000)-ROW(FRIM!$Q$3)+1),
ROWS(A$2:A28))),"")</f>
        <v>MYFINANCIAL CLIENT</v>
      </c>
      <c r="E28" s="116" t="str" cm="1">
        <f t="array" aca="1" ref="E28" ca="1">IFERROR(INDEX(FRIM!$G$3:$G$1000,
SMALL(IF(FRIM!$Q$3:$Q$1000&lt;&gt;"",
ROW(FRIM!$Q$3:$Q$1000)-ROW(FRIM!$Q$3)+1),
ROWS(A$2:A28))),"")</f>
        <v>W2563 11 June 2026 NOR AFIZAH BT. ARSHAD mohon bantuan untuk semakan bil uf26/000551 &amp; uf26/000555. ini kerana bil tiada tertera di screen untuk dibuat resit</v>
      </c>
      <c r="F28" s="88" t="str" cm="1">
        <f t="array" aca="1" ref="F28" ca="1">IFERROR(INDEX(FRIM!$Q$3:$Q$1000,
SMALL(IF(FRIM!$Q$3:$Q$1000&lt;&gt;"",
ROW(FRIM!$Q$3:$Q$1000)-ROW(FRIM!$Q$3)+1),
ROWS(A$2:A28))),"")</f>
        <v>1-30 Days</v>
      </c>
      <c r="H28" s="115">
        <v>27</v>
      </c>
      <c r="I28" s="119" t="str" cm="1">
        <f t="array" aca="1" ref="I28" ca="1">IFERROR(INDEX(MTIB!$E$3:$E$1000,
SMALL(
IF((MTIB!$Q$3:$Q$1000&lt;&gt;"")*(MTIB!$Q$3:$Q$1000&lt;&gt;"Not Due"),
ROW(MTIB!$Q$3:$Q$1000)-ROW(MTIB!$Q$3)+1),
ROWS(A$2:A28))),"")</f>
        <v/>
      </c>
      <c r="J28" s="115" t="str" cm="1">
        <f t="array" aca="1" ref="J28" ca="1">IFERROR(INDEX(MTIB!$B$3:$B$1000,
SMALL(
IF((MTIB!$Q$3:$Q$1000&lt;&gt;"")*(MTIB!$Q$3:$Q$1000&lt;&gt;"Not Due"),
ROW(MTIB!$Q$3:$Q$1000)-ROW(MTIB!$Q$3)+1),
ROWS(A$2:A28))),"")</f>
        <v/>
      </c>
      <c r="K28" s="115" t="str" cm="1">
        <f t="array" aca="1" ref="K28" ca="1">IFERROR(INDEX(MTIB!$D$3:$D$1000,
SMALL(
IF((MTIB!$Q$3:$Q$1000&lt;&gt;"")*(MTIB!$Q$3:$Q$1000&lt;&gt;"Not Due"),
ROW(MTIB!$Q$3:$Q$1000)-ROW(MTIB!$Q$3)+1),
ROWS(A$2:A28))),"")</f>
        <v/>
      </c>
      <c r="L28" s="116" t="str" cm="1">
        <f t="array" aca="1" ref="L28" ca="1">IFERROR(INDEX(MTIB!$G$3:$G$1000,
SMALL(
IF((MTIB!$Q$3:$Q$1000&lt;&gt;"")*(MTIB!$Q$3:$Q$1000&lt;&gt;"Not Due"),
ROW(MTIB!$Q$3:$Q$1000)-ROW(MTIB!$Q$3)+1),
ROWS(A$2:A28))),"")</f>
        <v/>
      </c>
      <c r="M28" s="88" t="str" cm="1">
        <f t="array" aca="1" ref="M28" ca="1">IFERROR(INDEX(MTIB!$Q$3:$Q$1000,
SMALL(
IF((MTIB!$Q$3:$Q$1000&lt;&gt;"")*(MTIB!$Q$3:$Q$1000&lt;&gt;"Not Due"),
ROW(MTIB!$Q$3:$Q$1000)-ROW(MTIB!$Q$3)+1),
ROWS(A$2:A28))
),"")</f>
        <v/>
      </c>
      <c r="O28" s="115">
        <v>27</v>
      </c>
      <c r="P28" s="120" t="str" cm="1">
        <f t="array" aca="1" ref="P28" ca="1">IFERROR(INDEX(MPOB!$E$3:$E$1000,
SMALL(
IF((MPOB!$Q$3:$Q$1000&lt;&gt;"")*(MPOB!$Q$3:$Q$1000&lt;&gt;"Not Due"),
ROW(MPOB!$Q$3:$Q$1000)-ROW(MPOB!$Q$3)+1),
ROWS(A$2:A28))),"")</f>
        <v>MPOB</v>
      </c>
      <c r="Q28" s="115" t="str" cm="1">
        <f t="array" aca="1" ref="Q28" ca="1">IFERROR(INDEX(MPOB!$B$3:$B$1000,
SMALL(
IF((MPOB!$Q$3:$Q$1000&lt;&gt;"")*(MPOB!$Q$3:$Q$1000&lt;&gt;"Not Due"),
ROW(MPOB!$Q$3:$Q$1000)-ROW(MPOB!$Q$3)+1),
ROWS(A$2:A28))),"")</f>
        <v>T/2026/00266</v>
      </c>
      <c r="R28" s="115" t="str" cm="1">
        <f t="array" aca="1" ref="R28" ca="1">IFERROR(INDEX(MPOB!$D$3:$D$1000,
SMALL(
IF((MPOB!$Q$3:$Q$1000&lt;&gt;"")*(MPOB!$Q$3:$Q$1000&lt;&gt;"Not Due"),
ROW(MPOB!$Q$3:$Q$1000)-ROW(MPOB!$Q$3)+1),
ROWS(A$2:A28))),"")</f>
        <v>MyProcurement</v>
      </c>
      <c r="S28" s="116" t="str" cm="1">
        <f t="array" aca="1" ref="S28" ca="1">IFERROR(INDEX(MPOB!$G$3:$G$1000,
SMALL(
IF((MPOB!$Q$3:$Q$1000&lt;&gt;"")*(MPOB!$Q$3:$Q$1000&lt;&gt;"Not Due"),
ROW(MPOB!$Q$3:$Q$1000)-ROW(MPOB!$Q$3)+1),
ROWS(A$2:A28))),"")</f>
        <v>NAK BUAT PO TETAPI NO KELULUSAN TAK KELUAR - NO. R260594 Nama: khairunnisa hashim No Contact:013744246 Desc:perolehan ni dah di luluskan tp tak masuk dlam diluluskan oleh itu tak boleh buat LO...</v>
      </c>
      <c r="T28" s="88" t="str" cm="1">
        <f t="array" aca="1" ref="T28" ca="1">IFERROR(INDEX(MPOB!$Q$3:$Q$1000,
SMALL(
IF((MPOB!$Q$3:$Q$1000&lt;&gt;"")*(MPOB!$Q$3:$Q$1000&lt;&gt;"Not Due"),
ROW(MPOB!$Q$3:$Q$1000)-ROW(MPOB!$Q$3)+1),
ROWS(A$2:A28))
),"")</f>
        <v>&gt;60 Days</v>
      </c>
      <c r="V28" s="115">
        <v>27</v>
      </c>
      <c r="W28" s="121" t="str" cm="1">
        <f t="array" aca="1" ref="W28" ca="1">IFERROR(INDEX(LKTN!$E$3:$E$1000,
SMALL(
IF((LKTN!$Q$3:$Q$1000&lt;&gt;"")*(LKTN!$Q$3:$Q$1000&lt;&gt;"Not Due"),
ROW(LKTN!$Q$3:$Q$1000)-ROW(LKTN!$Q$3)+1),
ROWS(A$2:A28))),"")</f>
        <v/>
      </c>
      <c r="X28" s="115" t="str" cm="1">
        <f t="array" aca="1" ref="X28" ca="1">IFERROR(INDEX(LKTN!$B$3:$B$1000,
SMALL(
IF((LKTN!$Q$3:$Q$1000&lt;&gt;"")*(LKTN!$Q$3:$Q$1000&lt;&gt;"Not Due"),
ROW(LKTN!$Q$3:$Q$1000)-ROW(LKTN!$Q$3)+1),
ROWS(A$2:A28))),"")</f>
        <v/>
      </c>
      <c r="Y28" s="115" t="str" cm="1">
        <f t="array" aca="1" ref="Y28" ca="1">IFERROR(INDEX(LKTN!$D$3:$D$1000,
SMALL(
IF((LKTN!$Q$3:$Q$1000&lt;&gt;"")*(LKTN!$Q$3:$Q$1000&lt;&gt;"Not Due"),
ROW(LKTN!$Q$3:$Q$1000)-ROW(LKTN!$Q$3)+1),
ROWS(A$2:A28))),"")</f>
        <v/>
      </c>
      <c r="Z28" s="116"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5">
        <v>27</v>
      </c>
      <c r="AK28" s="123" t="str" cm="1">
        <f t="array" aca="1" ref="AK28" ca="1">IFERROR(INDEX(ISN!$E$3:$E$1000,
SMALL(
IF((ISN!$Q$3:$Q$1000&lt;&gt;"")*(ISN!$Q$3:$Q$1000&lt;&gt;"Not Due"),
ROW(ISN!$Q$3:$Q$1000)-ROW(ISN!$Q$3)+1),
ROWS(A$2:A28))),"")</f>
        <v/>
      </c>
      <c r="AL28" s="115" t="str" cm="1">
        <f t="array" aca="1" ref="AL28" ca="1">IFERROR(INDEX(ISN!$B$3:$B$1000,
SMALL(
IF((ISN!$Q$3:$Q$1000&lt;&gt;"")*(ISN!$Q$3:$Q$1000&lt;&gt;"Not Due"),
ROW(ISN!$Q$3:$Q$1000)-ROW(ISN!$Q$3)+1),
ROWS(A$2:A28))),"")</f>
        <v/>
      </c>
      <c r="AM28" s="116" t="str" cm="1">
        <f t="array" aca="1" ref="AM28" ca="1">IFERROR(INDEX(ISN!$D$3:$D$1000,
SMALL(
IF((ISN!$Q$3:$Q$1000&lt;&gt;"")*(ISN!$Q$3:$Q$1000&lt;&gt;"Not Due"),
ROW(ISN!$Q$3:$Q$1000)-ROW(ISN!$Q$3)+1),
ROWS(A$2:A28))),"")</f>
        <v/>
      </c>
      <c r="AN28" s="116"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5">
        <v>27</v>
      </c>
      <c r="AR28" s="124" t="str" cm="1">
        <f t="array" aca="1" ref="AR28" ca="1">IFERROR(INDEX(MSN!$E$3:$E$1000,
SMALL(
IF((MSN!$Q$3:$Q$1000&lt;&gt;"")*(MSN!$Q$3:$Q$1000&lt;&gt;"Not Due"),
ROW(MSN!$Q$3:$Q$1000)-ROW(MSN!$Q$3)+1),
ROWS(A$2:A28))),"")</f>
        <v/>
      </c>
      <c r="AS28" s="115" t="str" cm="1">
        <f t="array" aca="1" ref="AS28" ca="1">IFERROR(INDEX(MSN!$B$3:$B$1000,
SMALL(
IF((MSN!$Q$3:$Q$1000&lt;&gt;"")*(MSN!$Q$3:$Q$1000&lt;&gt;"Not Due"),
ROW(MSN!$Q$3:$Q$1000)-ROW(MSN!$Q$3)+1),
ROWS(A$2:A28))),"")</f>
        <v/>
      </c>
      <c r="AT28" s="115" t="str" cm="1">
        <f t="array" aca="1" ref="AT28" ca="1">IFERROR(INDEX(MSN!$D$3:$D$1000,
SMALL(
IF((MSN!$Q$3:$Q$1000&lt;&gt;"")*(MSN!$Q$3:$Q$1000&lt;&gt;"Not Due"),
ROW(MSN!$Q$3:$Q$1000)-ROW(MSN!$Q$3)+1),
ROWS(A$2:A28))),"")</f>
        <v/>
      </c>
      <c r="AU28" s="116"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93.6" x14ac:dyDescent="0.3">
      <c r="A29" s="115">
        <v>28</v>
      </c>
      <c r="B29" s="118" t="str" cm="1">
        <f t="array" aca="1" ref="B29" ca="1">IFERROR(INDEX(FRIM!$E$3:$E$1000,
SMALL(IF(FRIM!$Q$3:$Q$1000&lt;&gt;"",
ROW(FRIM!$Q$3:$Q$1000)-ROW(FRIM!$Q$3)+1),
ROWS(A$2:A29))),"")</f>
        <v>FRIM</v>
      </c>
      <c r="C29" s="116" t="str" cm="1">
        <f t="array" aca="1" ref="C29" ca="1">IFERROR(INDEX(FRIM!$B$3:$B$1000,
SMALL(IF(FRIM!$Q$3:$Q$1000&lt;&gt;"",
ROW(FRIM!$Q$3:$Q$1000)-ROW(FRIM!$Q$3)+1),
ROWS(A$2:A29))),"")</f>
        <v>T/2026/00436</v>
      </c>
      <c r="D29" s="116" t="str" cm="1">
        <f t="array" aca="1" ref="D29" ca="1">IFERROR(INDEX(FRIM!$D$3:$D$1000,
SMALL(IF(FRIM!$Q$3:$Q$1000&lt;&gt;"",
ROW(FRIM!$Q$3:$Q$1000)-ROW(FRIM!$Q$3)+1),
ROWS(A$2:A29))),"")</f>
        <v>MYFINANCIAL CLIENT</v>
      </c>
      <c r="E29" s="116" t="str" cm="1">
        <f t="array" aca="1" ref="E29" ca="1">IFERROR(INDEX(FRIM!$G$3:$G$1000,
SMALL(IF(FRIM!$Q$3:$Q$1000&lt;&gt;"",
ROW(FRIM!$Q$3:$Q$1000)-ROW(FRIM!$Q$3)+1),
ROWS(A$2:A29))),"")</f>
        <v>W2564 12 June 2026 HASRINA HASNOR BT. KAMARUZAMAN mohon semakan n25/000541 dan cn25/000541. ini kerana semasa untuk keluarkan resit bil dan credit note ini tidak keluar didalam sistem.</v>
      </c>
      <c r="F29" s="88" t="str" cm="1">
        <f t="array" aca="1" ref="F29" ca="1">IFERROR(INDEX(FRIM!$Q$3:$Q$1000,
SMALL(IF(FRIM!$Q$3:$Q$1000&lt;&gt;"",
ROW(FRIM!$Q$3:$Q$1000)-ROW(FRIM!$Q$3)+1),
ROWS(A$2:A29))),"")</f>
        <v>1-30 Days</v>
      </c>
      <c r="H29" s="115">
        <v>28</v>
      </c>
      <c r="I29" s="119" t="str" cm="1">
        <f t="array" aca="1" ref="I29" ca="1">IFERROR(INDEX(MTIB!$E$3:$E$1000,
SMALL(
IF((MTIB!$Q$3:$Q$1000&lt;&gt;"")*(MTIB!$Q$3:$Q$1000&lt;&gt;"Not Due"),
ROW(MTIB!$Q$3:$Q$1000)-ROW(MTIB!$Q$3)+1),
ROWS(A$2:A29))),"")</f>
        <v/>
      </c>
      <c r="J29" s="115" t="str" cm="1">
        <f t="array" aca="1" ref="J29" ca="1">IFERROR(INDEX(MTIB!$B$3:$B$1000,
SMALL(
IF((MTIB!$Q$3:$Q$1000&lt;&gt;"")*(MTIB!$Q$3:$Q$1000&lt;&gt;"Not Due"),
ROW(MTIB!$Q$3:$Q$1000)-ROW(MTIB!$Q$3)+1),
ROWS(A$2:A29))),"")</f>
        <v/>
      </c>
      <c r="K29" s="115" t="str" cm="1">
        <f t="array" aca="1" ref="K29" ca="1">IFERROR(INDEX(MTIB!$D$3:$D$1000,
SMALL(
IF((MTIB!$Q$3:$Q$1000&lt;&gt;"")*(MTIB!$Q$3:$Q$1000&lt;&gt;"Not Due"),
ROW(MTIB!$Q$3:$Q$1000)-ROW(MTIB!$Q$3)+1),
ROWS(A$2:A29))),"")</f>
        <v/>
      </c>
      <c r="L29" s="116" t="str" cm="1">
        <f t="array" aca="1" ref="L29" ca="1">IFERROR(INDEX(MTIB!$G$3:$G$1000,
SMALL(
IF((MTIB!$Q$3:$Q$1000&lt;&gt;"")*(MTIB!$Q$3:$Q$1000&lt;&gt;"Not Due"),
ROW(MTIB!$Q$3:$Q$1000)-ROW(MTIB!$Q$3)+1),
ROWS(A$2:A29))),"")</f>
        <v/>
      </c>
      <c r="M29" s="88" t="str" cm="1">
        <f t="array" aca="1" ref="M29" ca="1">IFERROR(INDEX(MTIB!$Q$3:$Q$1000,
SMALL(
IF((MTIB!$Q$3:$Q$1000&lt;&gt;"")*(MTIB!$Q$3:$Q$1000&lt;&gt;"Not Due"),
ROW(MTIB!$Q$3:$Q$1000)-ROW(MTIB!$Q$3)+1),
ROWS(A$2:A29))
),"")</f>
        <v/>
      </c>
      <c r="O29" s="115">
        <v>28</v>
      </c>
      <c r="P29" s="120" t="str" cm="1">
        <f t="array" aca="1" ref="P29" ca="1">IFERROR(INDEX(MPOB!$E$3:$E$1000,
SMALL(
IF((MPOB!$Q$3:$Q$1000&lt;&gt;"")*(MPOB!$Q$3:$Q$1000&lt;&gt;"Not Due"),
ROW(MPOB!$Q$3:$Q$1000)-ROW(MPOB!$Q$3)+1),
ROWS(A$2:A29))),"")</f>
        <v>MPOB</v>
      </c>
      <c r="Q29" s="115" t="str" cm="1">
        <f t="array" aca="1" ref="Q29" ca="1">IFERROR(INDEX(MPOB!$B$3:$B$1000,
SMALL(
IF((MPOB!$Q$3:$Q$1000&lt;&gt;"")*(MPOB!$Q$3:$Q$1000&lt;&gt;"Not Due"),
ROW(MPOB!$Q$3:$Q$1000)-ROW(MPOB!$Q$3)+1),
ROWS(A$2:A29))),"")</f>
        <v>T/2026/00288</v>
      </c>
      <c r="R29" s="115" t="str" cm="1">
        <f t="array" aca="1" ref="R29" ca="1">IFERROR(INDEX(MPOB!$D$3:$D$1000,
SMALL(
IF((MPOB!$Q$3:$Q$1000&lt;&gt;"")*(MPOB!$Q$3:$Q$1000&lt;&gt;"Not Due"),
ROW(MPOB!$Q$3:$Q$1000)-ROW(MPOB!$Q$3)+1),
ROWS(A$2:A29))),"")</f>
        <v>MyFinancial</v>
      </c>
      <c r="S29" s="116" t="str" cm="1">
        <f t="array" aca="1" ref="S29" ca="1">IFERROR(INDEX(MPOB!$G$3:$G$1000,
SMALL(
IF((MPOB!$Q$3:$Q$1000&lt;&gt;"")*(MPOB!$Q$3:$Q$1000&lt;&gt;"Not Due"),
ROW(MPOB!$Q$3:$Q$1000)-ROW(MPOB!$Q$3)+1),
ROWS(A$2:A29))),"")</f>
        <v>Keluar Error ni : DataTables warning: table id=findLOforInvoiceTable - Requested unknown parameter '3' for row 7. For more information about this error, please see http://datatables.net/tn/4 User: Norasma No. Hp: 012-5985540</v>
      </c>
      <c r="T29" s="88" t="str" cm="1">
        <f t="array" aca="1" ref="T29" ca="1">IFERROR(INDEX(MPOB!$Q$3:$Q$1000,
SMALL(
IF((MPOB!$Q$3:$Q$1000&lt;&gt;"")*(MPOB!$Q$3:$Q$1000&lt;&gt;"Not Due"),
ROW(MPOB!$Q$3:$Q$1000)-ROW(MPOB!$Q$3)+1),
ROWS(A$2:A29))
),"")</f>
        <v>&gt;60 Days</v>
      </c>
      <c r="V29" s="115">
        <v>28</v>
      </c>
      <c r="W29" s="121" t="str" cm="1">
        <f t="array" aca="1" ref="W29" ca="1">IFERROR(INDEX(LKTN!$E$3:$E$1000,
SMALL(
IF((LKTN!$Q$3:$Q$1000&lt;&gt;"")*(LKTN!$Q$3:$Q$1000&lt;&gt;"Not Due"),
ROW(LKTN!$Q$3:$Q$1000)-ROW(LKTN!$Q$3)+1),
ROWS(A$2:A29))),"")</f>
        <v/>
      </c>
      <c r="X29" s="115" t="str" cm="1">
        <f t="array" aca="1" ref="X29" ca="1">IFERROR(INDEX(LKTN!$B$3:$B$1000,
SMALL(
IF((LKTN!$Q$3:$Q$1000&lt;&gt;"")*(LKTN!$Q$3:$Q$1000&lt;&gt;"Not Due"),
ROW(LKTN!$Q$3:$Q$1000)-ROW(LKTN!$Q$3)+1),
ROWS(A$2:A29))),"")</f>
        <v/>
      </c>
      <c r="Y29" s="115" t="str" cm="1">
        <f t="array" aca="1" ref="Y29" ca="1">IFERROR(INDEX(LKTN!$D$3:$D$1000,
SMALL(
IF((LKTN!$Q$3:$Q$1000&lt;&gt;"")*(LKTN!$Q$3:$Q$1000&lt;&gt;"Not Due"),
ROW(LKTN!$Q$3:$Q$1000)-ROW(LKTN!$Q$3)+1),
ROWS(A$2:A29))),"")</f>
        <v/>
      </c>
      <c r="Z29" s="116"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5">
        <v>28</v>
      </c>
      <c r="AK29" s="123" t="str" cm="1">
        <f t="array" aca="1" ref="AK29" ca="1">IFERROR(INDEX(ISN!$E$3:$E$1000,
SMALL(
IF((ISN!$Q$3:$Q$1000&lt;&gt;"")*(ISN!$Q$3:$Q$1000&lt;&gt;"Not Due"),
ROW(ISN!$Q$3:$Q$1000)-ROW(ISN!$Q$3)+1),
ROWS(A$2:A29))),"")</f>
        <v/>
      </c>
      <c r="AL29" s="115" t="str" cm="1">
        <f t="array" aca="1" ref="AL29" ca="1">IFERROR(INDEX(ISN!$B$3:$B$1000,
SMALL(
IF((ISN!$Q$3:$Q$1000&lt;&gt;"")*(ISN!$Q$3:$Q$1000&lt;&gt;"Not Due"),
ROW(ISN!$Q$3:$Q$1000)-ROW(ISN!$Q$3)+1),
ROWS(A$2:A29))),"")</f>
        <v/>
      </c>
      <c r="AM29" s="116" t="str" cm="1">
        <f t="array" aca="1" ref="AM29" ca="1">IFERROR(INDEX(ISN!$D$3:$D$1000,
SMALL(
IF((ISN!$Q$3:$Q$1000&lt;&gt;"")*(ISN!$Q$3:$Q$1000&lt;&gt;"Not Due"),
ROW(ISN!$Q$3:$Q$1000)-ROW(ISN!$Q$3)+1),
ROWS(A$2:A29))),"")</f>
        <v/>
      </c>
      <c r="AN29" s="116"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5">
        <v>28</v>
      </c>
      <c r="AR29" s="124" t="str" cm="1">
        <f t="array" aca="1" ref="AR29" ca="1">IFERROR(INDEX(MSN!$E$3:$E$1000,
SMALL(
IF((MSN!$Q$3:$Q$1000&lt;&gt;"")*(MSN!$Q$3:$Q$1000&lt;&gt;"Not Due"),
ROW(MSN!$Q$3:$Q$1000)-ROW(MSN!$Q$3)+1),
ROWS(A$2:A29))),"")</f>
        <v/>
      </c>
      <c r="AS29" s="115" t="str" cm="1">
        <f t="array" aca="1" ref="AS29" ca="1">IFERROR(INDEX(MSN!$B$3:$B$1000,
SMALL(
IF((MSN!$Q$3:$Q$1000&lt;&gt;"")*(MSN!$Q$3:$Q$1000&lt;&gt;"Not Due"),
ROW(MSN!$Q$3:$Q$1000)-ROW(MSN!$Q$3)+1),
ROWS(A$2:A29))),"")</f>
        <v/>
      </c>
      <c r="AT29" s="115" t="str" cm="1">
        <f t="array" aca="1" ref="AT29" ca="1">IFERROR(INDEX(MSN!$D$3:$D$1000,
SMALL(
IF((MSN!$Q$3:$Q$1000&lt;&gt;"")*(MSN!$Q$3:$Q$1000&lt;&gt;"Not Due"),
ROW(MSN!$Q$3:$Q$1000)-ROW(MSN!$Q$3)+1),
ROWS(A$2:A29))),"")</f>
        <v/>
      </c>
      <c r="AU29" s="116"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5">
        <v>29</v>
      </c>
      <c r="B30" s="118" t="str" cm="1">
        <f t="array" aca="1" ref="B30" ca="1">IFERROR(INDEX(FRIM!$E$3:$E$1000,
SMALL(IF(FRIM!$Q$3:$Q$1000&lt;&gt;"",
ROW(FRIM!$Q$3:$Q$1000)-ROW(FRIM!$Q$3)+1),
ROWS(A$2:A30))),"")</f>
        <v>FRIM</v>
      </c>
      <c r="C30" s="116" t="str" cm="1">
        <f t="array" aca="1" ref="C30" ca="1">IFERROR(INDEX(FRIM!$B$3:$B$1000,
SMALL(IF(FRIM!$Q$3:$Q$1000&lt;&gt;"",
ROW(FRIM!$Q$3:$Q$1000)-ROW(FRIM!$Q$3)+1),
ROWS(A$2:A30))),"")</f>
        <v>T/2026/00446</v>
      </c>
      <c r="D30" s="116" t="str" cm="1">
        <f t="array" aca="1" ref="D30" ca="1">IFERROR(INDEX(FRIM!$D$3:$D$1000,
SMALL(IF(FRIM!$Q$3:$Q$1000&lt;&gt;"",
ROW(FRIM!$Q$3:$Q$1000)-ROW(FRIM!$Q$3)+1),
ROWS(A$2:A30))),"")</f>
        <v>MYASSET</v>
      </c>
      <c r="E30" s="116" t="str" cm="1">
        <f t="array" aca="1" ref="E30" ca="1">IFERROR(INDEX(FRIM!$G$3:$G$1000,
SMALL(IF(FRIM!$Q$3:$Q$1000&lt;&gt;"",
ROW(FRIM!$Q$3:$Q$1000)-ROW(FRIM!$Q$3)+1),
ROWS(A$2:A30))),"")</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30" s="88" t="str" cm="1">
        <f t="array" aca="1" ref="F30" ca="1">IFERROR(INDEX(FRIM!$Q$3:$Q$1000,
SMALL(IF(FRIM!$Q$3:$Q$1000&lt;&gt;"",
ROW(FRIM!$Q$3:$Q$1000)-ROW(FRIM!$Q$3)+1),
ROWS(A$2:A30))),"")</f>
        <v>1-30 Days</v>
      </c>
      <c r="H30" s="115">
        <v>29</v>
      </c>
      <c r="I30" s="119" t="str" cm="1">
        <f t="array" aca="1" ref="I30" ca="1">IFERROR(INDEX(MTIB!$E$3:$E$1000,
SMALL(
IF((MTIB!$Q$3:$Q$1000&lt;&gt;"")*(MTIB!$Q$3:$Q$1000&lt;&gt;"Not Due"),
ROW(MTIB!$Q$3:$Q$1000)-ROW(MTIB!$Q$3)+1),
ROWS(A$2:A30))),"")</f>
        <v/>
      </c>
      <c r="J30" s="115" t="str" cm="1">
        <f t="array" aca="1" ref="J30" ca="1">IFERROR(INDEX(MTIB!$B$3:$B$1000,
SMALL(
IF((MTIB!$Q$3:$Q$1000&lt;&gt;"")*(MTIB!$Q$3:$Q$1000&lt;&gt;"Not Due"),
ROW(MTIB!$Q$3:$Q$1000)-ROW(MTIB!$Q$3)+1),
ROWS(A$2:A30))),"")</f>
        <v/>
      </c>
      <c r="K30" s="115" t="str" cm="1">
        <f t="array" aca="1" ref="K30" ca="1">IFERROR(INDEX(MTIB!$D$3:$D$1000,
SMALL(
IF((MTIB!$Q$3:$Q$1000&lt;&gt;"")*(MTIB!$Q$3:$Q$1000&lt;&gt;"Not Due"),
ROW(MTIB!$Q$3:$Q$1000)-ROW(MTIB!$Q$3)+1),
ROWS(A$2:A30))),"")</f>
        <v/>
      </c>
      <c r="L30" s="116" t="str" cm="1">
        <f t="array" aca="1" ref="L30" ca="1">IFERROR(INDEX(MTIB!$G$3:$G$1000,
SMALL(
IF((MTIB!$Q$3:$Q$1000&lt;&gt;"")*(MTIB!$Q$3:$Q$1000&lt;&gt;"Not Due"),
ROW(MTIB!$Q$3:$Q$1000)-ROW(MTIB!$Q$3)+1),
ROWS(A$2:A30))),"")</f>
        <v/>
      </c>
      <c r="M30" s="88" t="str" cm="1">
        <f t="array" aca="1" ref="M30" ca="1">IFERROR(INDEX(MTIB!$Q$3:$Q$1000,
SMALL(
IF((MTIB!$Q$3:$Q$1000&lt;&gt;"")*(MTIB!$Q$3:$Q$1000&lt;&gt;"Not Due"),
ROW(MTIB!$Q$3:$Q$1000)-ROW(MTIB!$Q$3)+1),
ROWS(A$2:A30))
),"")</f>
        <v/>
      </c>
      <c r="O30" s="115">
        <v>29</v>
      </c>
      <c r="P30" s="120" t="str" cm="1">
        <f t="array" aca="1" ref="P30" ca="1">IFERROR(INDEX(MPOB!$E$3:$E$1000,
SMALL(
IF((MPOB!$Q$3:$Q$1000&lt;&gt;"")*(MPOB!$Q$3:$Q$1000&lt;&gt;"Not Due"),
ROW(MPOB!$Q$3:$Q$1000)-ROW(MPOB!$Q$3)+1),
ROWS(A$2:A30))),"")</f>
        <v>MPOB</v>
      </c>
      <c r="Q30" s="115" t="str" cm="1">
        <f t="array" aca="1" ref="Q30" ca="1">IFERROR(INDEX(MPOB!$B$3:$B$1000,
SMALL(
IF((MPOB!$Q$3:$Q$1000&lt;&gt;"")*(MPOB!$Q$3:$Q$1000&lt;&gt;"Not Due"),
ROW(MPOB!$Q$3:$Q$1000)-ROW(MPOB!$Q$3)+1),
ROWS(A$2:A30))),"")</f>
        <v>T/2026/00289</v>
      </c>
      <c r="R30" s="115" t="str" cm="1">
        <f t="array" aca="1" ref="R30" ca="1">IFERROR(INDEX(MPOB!$D$3:$D$1000,
SMALL(
IF((MPOB!$Q$3:$Q$1000&lt;&gt;"")*(MPOB!$Q$3:$Q$1000&lt;&gt;"Not Due"),
ROW(MPOB!$Q$3:$Q$1000)-ROW(MPOB!$Q$3)+1),
ROWS(A$2:A30))),"")</f>
        <v>MyFinancial</v>
      </c>
      <c r="S30" s="116" t="str" cm="1">
        <f t="array" aca="1" ref="S30" ca="1">IFERROR(INDEX(MPOB!$G$3:$G$1000,
SMALL(
IF((MPOB!$Q$3:$Q$1000&lt;&gt;"")*(MPOB!$Q$3:$Q$1000&lt;&gt;"Not Due"),
ROW(MPOB!$Q$3:$Q$1000)-ROW(MPOB!$Q$3)+1),
ROWS(A$2:A30))),"")</f>
        <v>Bantuan MuatNaik Dokumen Invois bagi Daftar Bil INPOB/0426/06442 User: Norasma No. Hp: 0125985540</v>
      </c>
      <c r="T30" s="88" t="str" cm="1">
        <f t="array" aca="1" ref="T30" ca="1">IFERROR(INDEX(MPOB!$Q$3:$Q$1000,
SMALL(
IF((MPOB!$Q$3:$Q$1000&lt;&gt;"")*(MPOB!$Q$3:$Q$1000&lt;&gt;"Not Due"),
ROW(MPOB!$Q$3:$Q$1000)-ROW(MPOB!$Q$3)+1),
ROWS(A$2:A30))
),"")</f>
        <v>&gt;60 Days</v>
      </c>
      <c r="V30" s="115">
        <v>29</v>
      </c>
      <c r="W30" s="121" t="str" cm="1">
        <f t="array" aca="1" ref="W30" ca="1">IFERROR(INDEX(LKTN!$E$3:$E$1000,
SMALL(
IF((LKTN!$Q$3:$Q$1000&lt;&gt;"")*(LKTN!$Q$3:$Q$1000&lt;&gt;"Not Due"),
ROW(LKTN!$Q$3:$Q$1000)-ROW(LKTN!$Q$3)+1),
ROWS(A$2:A30))),"")</f>
        <v/>
      </c>
      <c r="X30" s="115" t="str" cm="1">
        <f t="array" aca="1" ref="X30" ca="1">IFERROR(INDEX(LKTN!$B$3:$B$1000,
SMALL(
IF((LKTN!$Q$3:$Q$1000&lt;&gt;"")*(LKTN!$Q$3:$Q$1000&lt;&gt;"Not Due"),
ROW(LKTN!$Q$3:$Q$1000)-ROW(LKTN!$Q$3)+1),
ROWS(A$2:A30))),"")</f>
        <v/>
      </c>
      <c r="Y30" s="115" t="str" cm="1">
        <f t="array" aca="1" ref="Y30" ca="1">IFERROR(INDEX(LKTN!$D$3:$D$1000,
SMALL(
IF((LKTN!$Q$3:$Q$1000&lt;&gt;"")*(LKTN!$Q$3:$Q$1000&lt;&gt;"Not Due"),
ROW(LKTN!$Q$3:$Q$1000)-ROW(LKTN!$Q$3)+1),
ROWS(A$2:A30))),"")</f>
        <v/>
      </c>
      <c r="Z30" s="116"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5">
        <v>29</v>
      </c>
      <c r="AK30" s="123" t="str" cm="1">
        <f t="array" aca="1" ref="AK30" ca="1">IFERROR(INDEX(ISN!$E$3:$E$1000,
SMALL(
IF((ISN!$Q$3:$Q$1000&lt;&gt;"")*(ISN!$Q$3:$Q$1000&lt;&gt;"Not Due"),
ROW(ISN!$Q$3:$Q$1000)-ROW(ISN!$Q$3)+1),
ROWS(A$2:A30))),"")</f>
        <v/>
      </c>
      <c r="AL30" s="115" t="str" cm="1">
        <f t="array" aca="1" ref="AL30" ca="1">IFERROR(INDEX(ISN!$B$3:$B$1000,
SMALL(
IF((ISN!$Q$3:$Q$1000&lt;&gt;"")*(ISN!$Q$3:$Q$1000&lt;&gt;"Not Due"),
ROW(ISN!$Q$3:$Q$1000)-ROW(ISN!$Q$3)+1),
ROWS(A$2:A30))),"")</f>
        <v/>
      </c>
      <c r="AM30" s="116" t="str" cm="1">
        <f t="array" aca="1" ref="AM30" ca="1">IFERROR(INDEX(ISN!$D$3:$D$1000,
SMALL(
IF((ISN!$Q$3:$Q$1000&lt;&gt;"")*(ISN!$Q$3:$Q$1000&lt;&gt;"Not Due"),
ROW(ISN!$Q$3:$Q$1000)-ROW(ISN!$Q$3)+1),
ROWS(A$2:A30))),"")</f>
        <v/>
      </c>
      <c r="AN30" s="116"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5">
        <v>29</v>
      </c>
      <c r="AR30" s="124" t="str" cm="1">
        <f t="array" aca="1" ref="AR30" ca="1">IFERROR(INDEX(MSN!$E$3:$E$1000,
SMALL(
IF((MSN!$Q$3:$Q$1000&lt;&gt;"")*(MSN!$Q$3:$Q$1000&lt;&gt;"Not Due"),
ROW(MSN!$Q$3:$Q$1000)-ROW(MSN!$Q$3)+1),
ROWS(A$2:A30))),"")</f>
        <v/>
      </c>
      <c r="AS30" s="115" t="str" cm="1">
        <f t="array" aca="1" ref="AS30" ca="1">IFERROR(INDEX(MSN!$B$3:$B$1000,
SMALL(
IF((MSN!$Q$3:$Q$1000&lt;&gt;"")*(MSN!$Q$3:$Q$1000&lt;&gt;"Not Due"),
ROW(MSN!$Q$3:$Q$1000)-ROW(MSN!$Q$3)+1),
ROWS(A$2:A30))),"")</f>
        <v/>
      </c>
      <c r="AT30" s="115" t="str" cm="1">
        <f t="array" aca="1" ref="AT30" ca="1">IFERROR(INDEX(MSN!$D$3:$D$1000,
SMALL(
IF((MSN!$Q$3:$Q$1000&lt;&gt;"")*(MSN!$Q$3:$Q$1000&lt;&gt;"Not Due"),
ROW(MSN!$Q$3:$Q$1000)-ROW(MSN!$Q$3)+1),
ROWS(A$2:A30))),"")</f>
        <v/>
      </c>
      <c r="AU30" s="116"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156" x14ac:dyDescent="0.3">
      <c r="A31" s="115">
        <v>30</v>
      </c>
      <c r="B31" s="118" t="str" cm="1">
        <f t="array" aca="1" ref="B31" ca="1">IFERROR(INDEX(FRIM!$E$3:$E$1000,
SMALL(
IF((FRIM!$Q$3:$Q$1000&lt;&gt;"")*(FRIM!$Q$3:$Q$1000&lt;&gt;"Not Due"),
ROW(FRIM!$Q$3:$Q$1000)-ROW(FRIM!$Q$3)+1),
ROWS(A$2:A31))),"")</f>
        <v>FRIM</v>
      </c>
      <c r="C31" s="116" t="str" cm="1">
        <f t="array" aca="1" ref="C31" ca="1">IFERROR(INDEX(FRIM!$B$3:$B$1000,
SMALL(
IF((FRIM!$Q$3:$Q$1000&lt;&gt;"")*(FRIM!$Q$3:$Q$1000&lt;&gt;"Not Due"),
ROW(FRIM!$Q$3:$Q$1000)-ROW(FRIM!$Q$3)+1),
ROWS(A$2:A31))),"")</f>
        <v>T/2026/00457</v>
      </c>
      <c r="D31" s="116" t="str" cm="1">
        <f t="array" aca="1" ref="D31" ca="1">IFERROR(INDEX(FRIM!$D$3:$D$1000,
SMALL(
IF((FRIM!$Q$3:$Q$1000&lt;&gt;"")*(FRIM!$Q$3:$Q$1000&lt;&gt;"Not Due"),
ROW(FRIM!$Q$3:$Q$1000)-ROW(FRIM!$Q$3)+1),
ROWS(A$2:A31))),"")</f>
        <v>MYINVENTORY</v>
      </c>
      <c r="E31" s="116" t="str" cm="1">
        <f t="array" aca="1" ref="E31" ca="1">IFERROR(INDEX(FRIM!$G$3:$G$1000,
SMALL(
IF((FRIM!$Q$3:$Q$1000&lt;&gt;"")*(FRIM!$Q$3:$Q$1000&lt;&gt;"Not Due"),
ROW(FRIM!$Q$3:$Q$1000)-ROW(FRIM!$Q$3)+1),
ROWS(A$2:A31))),"")</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31" s="88" t="str" cm="1">
        <f t="array" aca="1" ref="F31" ca="1">IFERROR(INDEX(FRIM!$Q$3:$Q$1000,
SMALL(
IF((FRIM!$Q$3:$Q$1000&lt;&gt;"")*(FRIM!$Q$3:$Q$1000&lt;&gt;"Not Due"),
ROW(FRIM!$Q$3:$Q$1000)-ROW(FRIM!$Q$3)+1),
ROWS(A$2:A31))
),"")</f>
        <v>1-30 Days</v>
      </c>
      <c r="H31" s="115">
        <v>30</v>
      </c>
      <c r="I31" s="119" t="str" cm="1">
        <f t="array" aca="1" ref="I31" ca="1">IFERROR(INDEX(MTIB!$E$3:$E$1000,
SMALL(
IF((MTIB!$Q$3:$Q$1000&lt;&gt;"")*(MTIB!$Q$3:$Q$1000&lt;&gt;"Not Due"),
ROW(MTIB!$Q$3:$Q$1000)-ROW(MTIB!$Q$3)+1),
ROWS(A$2:A31))),"")</f>
        <v/>
      </c>
      <c r="J31" s="115" t="str" cm="1">
        <f t="array" aca="1" ref="J31" ca="1">IFERROR(INDEX(MTIB!$B$3:$B$1000,
SMALL(
IF((MTIB!$Q$3:$Q$1000&lt;&gt;"")*(MTIB!$Q$3:$Q$1000&lt;&gt;"Not Due"),
ROW(MTIB!$Q$3:$Q$1000)-ROW(MTIB!$Q$3)+1),
ROWS(A$2:A31))),"")</f>
        <v/>
      </c>
      <c r="K31" s="115" t="str" cm="1">
        <f t="array" aca="1" ref="K31" ca="1">IFERROR(INDEX(MTIB!$D$3:$D$1000,
SMALL(
IF((MTIB!$Q$3:$Q$1000&lt;&gt;"")*(MTIB!$Q$3:$Q$1000&lt;&gt;"Not Due"),
ROW(MTIB!$Q$3:$Q$1000)-ROW(MTIB!$Q$3)+1),
ROWS(A$2:A31))),"")</f>
        <v/>
      </c>
      <c r="L31" s="116" t="str" cm="1">
        <f t="array" aca="1" ref="L31" ca="1">IFERROR(INDEX(MTIB!$G$3:$G$1000,
SMALL(
IF((MTIB!$Q$3:$Q$1000&lt;&gt;"")*(MTIB!$Q$3:$Q$1000&lt;&gt;"Not Due"),
ROW(MTIB!$Q$3:$Q$1000)-ROW(MTIB!$Q$3)+1),
ROWS(A$2:A31))),"")</f>
        <v/>
      </c>
      <c r="M31" s="88" t="str" cm="1">
        <f t="array" aca="1" ref="M31" ca="1">IFERROR(INDEX(MTIB!$Q$3:$Q$1000,
SMALL(
IF((MTIB!$Q$3:$Q$1000&lt;&gt;"")*(MTIB!$Q$3:$Q$1000&lt;&gt;"Not Due"),
ROW(MTIB!$Q$3:$Q$1000)-ROW(MTIB!$Q$3)+1),
ROWS(A$2:A31))
),"")</f>
        <v/>
      </c>
      <c r="O31" s="115">
        <v>30</v>
      </c>
      <c r="P31" s="120" t="str" cm="1">
        <f t="array" aca="1" ref="P31" ca="1">IFERROR(INDEX(MPOB!$E$3:$E$1000,
SMALL(
IF((MPOB!$Q$3:$Q$1000&lt;&gt;"")*(MPOB!$Q$3:$Q$1000&lt;&gt;"Not Due"),
ROW(MPOB!$Q$3:$Q$1000)-ROW(MPOB!$Q$3)+1),
ROWS(A$2:A31))),"")</f>
        <v>MPOB</v>
      </c>
      <c r="Q31" s="115" t="str" cm="1">
        <f t="array" aca="1" ref="Q31" ca="1">IFERROR(INDEX(MPOB!$B$3:$B$1000,
SMALL(
IF((MPOB!$Q$3:$Q$1000&lt;&gt;"")*(MPOB!$Q$3:$Q$1000&lt;&gt;"Not Due"),
ROW(MPOB!$Q$3:$Q$1000)-ROW(MPOB!$Q$3)+1),
ROWS(A$2:A31))),"")</f>
        <v>T/2026/00308</v>
      </c>
      <c r="R31" s="115" t="str" cm="1">
        <f t="array" aca="1" ref="R31" ca="1">IFERROR(INDEX(MPOB!$D$3:$D$1000,
SMALL(
IF((MPOB!$Q$3:$Q$1000&lt;&gt;"")*(MPOB!$Q$3:$Q$1000&lt;&gt;"Not Due"),
ROW(MPOB!$Q$3:$Q$1000)-ROW(MPOB!$Q$3)+1),
ROWS(A$2:A31))),"")</f>
        <v>MyAsset</v>
      </c>
      <c r="S31" s="116" t="str" cm="1">
        <f t="array" aca="1" ref="S31" ca="1">IFERROR(INDEX(MPOB!$G$3:$G$1000,
SMALL(
IF((MPOB!$Q$3:$Q$1000&lt;&gt;"")*(MPOB!$Q$3:$Q$1000&lt;&gt;"Not Due"),
ROW(MPOB!$Q$3:$Q$1000)-ROW(MPOB!$Q$3)+1),
ROWS(A$2:A31))),"")</f>
        <v>1. Permohonan yang telah dilakukan hilang semasa carian. 2. Pegawai pengesah dan pelulus tidak dapat paparan 3. No.ID pemeriksa tidak keluar untuk memilih pemeriksa bagi pelupusan 4. Tidak dapat upload memo disebabkan carian</v>
      </c>
      <c r="T31" s="88" t="str" cm="1">
        <f t="array" aca="1" ref="T31" ca="1">IFERROR(INDEX(MPOB!$Q$3:$Q$1000,
SMALL(
IF((MPOB!$Q$3:$Q$1000&lt;&gt;"")*(MPOB!$Q$3:$Q$1000&lt;&gt;"Not Due"),
ROW(MPOB!$Q$3:$Q$1000)-ROW(MPOB!$Q$3)+1),
ROWS(A$2:A31))
),"")</f>
        <v>31-60 Days</v>
      </c>
      <c r="V31" s="115">
        <v>30</v>
      </c>
      <c r="W31" s="121" t="str" cm="1">
        <f t="array" aca="1" ref="W31" ca="1">IFERROR(INDEX(LKTN!$E$3:$E$1000,
SMALL(
IF((LKTN!$Q$3:$Q$1000&lt;&gt;"")*(LKTN!$Q$3:$Q$1000&lt;&gt;"Not Due"),
ROW(LKTN!$Q$3:$Q$1000)-ROW(LKTN!$Q$3)+1),
ROWS(A$2:A31))),"")</f>
        <v/>
      </c>
      <c r="X31" s="115" t="str" cm="1">
        <f t="array" aca="1" ref="X31" ca="1">IFERROR(INDEX(LKTN!$B$3:$B$1000,
SMALL(
IF((LKTN!$Q$3:$Q$1000&lt;&gt;"")*(LKTN!$Q$3:$Q$1000&lt;&gt;"Not Due"),
ROW(LKTN!$Q$3:$Q$1000)-ROW(LKTN!$Q$3)+1),
ROWS(A$2:A31))),"")</f>
        <v/>
      </c>
      <c r="Y31" s="115" t="str" cm="1">
        <f t="array" aca="1" ref="Y31" ca="1">IFERROR(INDEX(LKTN!$D$3:$D$1000,
SMALL(
IF((LKTN!$Q$3:$Q$1000&lt;&gt;"")*(LKTN!$Q$3:$Q$1000&lt;&gt;"Not Due"),
ROW(LKTN!$Q$3:$Q$1000)-ROW(LKTN!$Q$3)+1),
ROWS(A$2:A31))),"")</f>
        <v/>
      </c>
      <c r="Z31" s="116"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5">
        <v>30</v>
      </c>
      <c r="AK31" s="123" t="str" cm="1">
        <f t="array" aca="1" ref="AK31" ca="1">IFERROR(INDEX(ISN!$E$3:$E$1000,
SMALL(
IF((ISN!$Q$3:$Q$1000&lt;&gt;"")*(ISN!$Q$3:$Q$1000&lt;&gt;"Not Due"),
ROW(ISN!$Q$3:$Q$1000)-ROW(ISN!$Q$3)+1),
ROWS(A$2:A31))),"")</f>
        <v/>
      </c>
      <c r="AL31" s="115" t="str" cm="1">
        <f t="array" aca="1" ref="AL31" ca="1">IFERROR(INDEX(ISN!$B$3:$B$1000,
SMALL(
IF((ISN!$Q$3:$Q$1000&lt;&gt;"")*(ISN!$Q$3:$Q$1000&lt;&gt;"Not Due"),
ROW(ISN!$Q$3:$Q$1000)-ROW(ISN!$Q$3)+1),
ROWS(A$2:A31))),"")</f>
        <v/>
      </c>
      <c r="AM31" s="116" t="str" cm="1">
        <f t="array" aca="1" ref="AM31" ca="1">IFERROR(INDEX(ISN!$D$3:$D$1000,
SMALL(
IF((ISN!$Q$3:$Q$1000&lt;&gt;"")*(ISN!$Q$3:$Q$1000&lt;&gt;"Not Due"),
ROW(ISN!$Q$3:$Q$1000)-ROW(ISN!$Q$3)+1),
ROWS(A$2:A31))),"")</f>
        <v/>
      </c>
      <c r="AN31" s="116"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5">
        <v>30</v>
      </c>
      <c r="AR31" s="124" t="str" cm="1">
        <f t="array" aca="1" ref="AR31" ca="1">IFERROR(INDEX(MSN!$E$3:$E$1000,
SMALL(
IF((MSN!$Q$3:$Q$1000&lt;&gt;"")*(MSN!$Q$3:$Q$1000&lt;&gt;"Not Due"),
ROW(MSN!$Q$3:$Q$1000)-ROW(MSN!$Q$3)+1),
ROWS(A$2:A31))),"")</f>
        <v/>
      </c>
      <c r="AS31" s="115" t="str" cm="1">
        <f t="array" aca="1" ref="AS31" ca="1">IFERROR(INDEX(MSN!$B$3:$B$1000,
SMALL(
IF((MSN!$Q$3:$Q$1000&lt;&gt;"")*(MSN!$Q$3:$Q$1000&lt;&gt;"Not Due"),
ROW(MSN!$Q$3:$Q$1000)-ROW(MSN!$Q$3)+1),
ROWS(A$2:A31))),"")</f>
        <v/>
      </c>
      <c r="AT31" s="115" t="str" cm="1">
        <f t="array" aca="1" ref="AT31" ca="1">IFERROR(INDEX(MSN!$D$3:$D$1000,
SMALL(
IF((MSN!$Q$3:$Q$1000&lt;&gt;"")*(MSN!$Q$3:$Q$1000&lt;&gt;"Not Due"),
ROW(MSN!$Q$3:$Q$1000)-ROW(MSN!$Q$3)+1),
ROWS(A$2:A31))),"")</f>
        <v/>
      </c>
      <c r="AU31" s="116"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46.8" x14ac:dyDescent="0.3">
      <c r="A32" s="115">
        <v>31</v>
      </c>
      <c r="B32" s="118" t="str" cm="1">
        <f t="array" aca="1" ref="B32" ca="1">IFERROR(INDEX(FRIM!$E$3:$E$1000,
SMALL(IF(FRIM!$Q$3:$Q$1000&lt;&gt;"",
ROW(FRIM!$Q$3:$Q$1000)-ROW(FRIM!$Q$3)+1),
ROWS(A$2:A32))),"")</f>
        <v/>
      </c>
      <c r="C32" s="116" t="str" cm="1">
        <f t="array" aca="1" ref="C32" ca="1">IFERROR(INDEX(FRIM!$B$3:$B$1000,
SMALL(IF(FRIM!$Q$3:$Q$1000&lt;&gt;"",
ROW(FRIM!$Q$3:$Q$1000)-ROW(FRIM!$Q$3)+1),
ROWS(A$2:A32))),"")</f>
        <v/>
      </c>
      <c r="D32" s="116" t="str" cm="1">
        <f t="array" aca="1" ref="D32" ca="1">IFERROR(INDEX(FRIM!$D$3:$D$1000,
SMALL(IF(FRIM!$Q$3:$Q$1000&lt;&gt;"",
ROW(FRIM!$Q$3:$Q$1000)-ROW(FRIM!$Q$3)+1),
ROWS(A$2:A32))),"")</f>
        <v/>
      </c>
      <c r="E32" s="116" t="str" cm="1">
        <f t="array" aca="1" ref="E32" ca="1">IFERROR(INDEX(FRIM!$G$3:$G$1000,
SMALL(IF(FRIM!$Q$3:$Q$1000&lt;&gt;"",
ROW(FRIM!$Q$3:$Q$1000)-ROW(FRIM!$Q$3)+1),
ROWS(A$2:A32))),"")</f>
        <v/>
      </c>
      <c r="F32" s="88" t="str" cm="1">
        <f t="array" aca="1" ref="F32" ca="1">IFERROR(INDEX(FRIM!$Q$3:$Q$1000,
SMALL(IF(FRIM!$Q$3:$Q$1000&lt;&gt;"",
ROW(FRIM!$Q$3:$Q$1000)-ROW(FRIM!$Q$3)+1),
ROWS(A$2:A32))),"")</f>
        <v/>
      </c>
      <c r="H32" s="115">
        <v>31</v>
      </c>
      <c r="I32" s="119" t="str" cm="1">
        <f t="array" aca="1" ref="I32" ca="1">IFERROR(INDEX(MTIB!$E$3:$E$1000,
SMALL(
IF((MTIB!$Q$3:$Q$1000&lt;&gt;"")*(MTIB!$Q$3:$Q$1000&lt;&gt;"Not Due"),
ROW(MTIB!$Q$3:$Q$1000)-ROW(MTIB!$Q$3)+1),
ROWS(A$2:A32))),"")</f>
        <v/>
      </c>
      <c r="J32" s="115" t="str" cm="1">
        <f t="array" aca="1" ref="J32" ca="1">IFERROR(INDEX(MTIB!$B$3:$B$1000,
SMALL(
IF((MTIB!$Q$3:$Q$1000&lt;&gt;"")*(MTIB!$Q$3:$Q$1000&lt;&gt;"Not Due"),
ROW(MTIB!$Q$3:$Q$1000)-ROW(MTIB!$Q$3)+1),
ROWS(A$2:A32))),"")</f>
        <v/>
      </c>
      <c r="K32" s="115" t="str" cm="1">
        <f t="array" aca="1" ref="K32" ca="1">IFERROR(INDEX(MTIB!$D$3:$D$1000,
SMALL(
IF((MTIB!$Q$3:$Q$1000&lt;&gt;"")*(MTIB!$Q$3:$Q$1000&lt;&gt;"Not Due"),
ROW(MTIB!$Q$3:$Q$1000)-ROW(MTIB!$Q$3)+1),
ROWS(A$2:A32))),"")</f>
        <v/>
      </c>
      <c r="L32" s="116" t="str" cm="1">
        <f t="array" aca="1" ref="L32" ca="1">IFERROR(INDEX(MTIB!$G$3:$G$1000,
SMALL(
IF((MTIB!$Q$3:$Q$1000&lt;&gt;"")*(MTIB!$Q$3:$Q$1000&lt;&gt;"Not Due"),
ROW(MTIB!$Q$3:$Q$1000)-ROW(MTIB!$Q$3)+1),
ROWS(A$2:A32))),"")</f>
        <v/>
      </c>
      <c r="M32" s="88" t="str" cm="1">
        <f t="array" aca="1" ref="M32" ca="1">IFERROR(INDEX(MTIB!$Q$3:$Q$1000,
SMALL(
IF((MTIB!$Q$3:$Q$1000&lt;&gt;"")*(MTIB!$Q$3:$Q$1000&lt;&gt;"Not Due"),
ROW(MTIB!$Q$3:$Q$1000)-ROW(MTIB!$Q$3)+1),
ROWS(A$2:A32))
),"")</f>
        <v/>
      </c>
      <c r="O32" s="115">
        <v>31</v>
      </c>
      <c r="P32" s="120" t="str" cm="1">
        <f t="array" aca="1" ref="P32" ca="1">IFERROR(INDEX(MPOB!$E$3:$E$1000,
SMALL(
IF((MPOB!$Q$3:$Q$1000&lt;&gt;"")*(MPOB!$Q$3:$Q$1000&lt;&gt;"Not Due"),
ROW(MPOB!$Q$3:$Q$1000)-ROW(MPOB!$Q$3)+1),
ROWS(A$2:A32))),"")</f>
        <v>MPOB</v>
      </c>
      <c r="Q32" s="115" t="str" cm="1">
        <f t="array" aca="1" ref="Q32" ca="1">IFERROR(INDEX(MPOB!$B$3:$B$1000,
SMALL(
IF((MPOB!$Q$3:$Q$1000&lt;&gt;"")*(MPOB!$Q$3:$Q$1000&lt;&gt;"Not Due"),
ROW(MPOB!$Q$3:$Q$1000)-ROW(MPOB!$Q$3)+1),
ROWS(A$2:A32))),"")</f>
        <v>T/2026/00322</v>
      </c>
      <c r="R32" s="115" t="str" cm="1">
        <f t="array" aca="1" ref="R32" ca="1">IFERROR(INDEX(MPOB!$D$3:$D$1000,
SMALL(
IF((MPOB!$Q$3:$Q$1000&lt;&gt;"")*(MPOB!$Q$3:$Q$1000&lt;&gt;"Not Due"),
ROW(MPOB!$Q$3:$Q$1000)-ROW(MPOB!$Q$3)+1),
ROWS(A$2:A32))),"")</f>
        <v>MyProcurement</v>
      </c>
      <c r="S32" s="116" t="str" cm="1">
        <f t="array" aca="1" ref="S32" ca="1">IFERROR(INDEX(MPOB!$G$3:$G$1000,
SMALL(
IF((MPOB!$Q$3:$Q$1000&lt;&gt;"")*(MPOB!$Q$3:$Q$1000&lt;&gt;"Not Due"),
ROW(MPOB!$Q$3:$Q$1000)-ROW(MPOB!$Q$3)+1),
ROWS(A$2:A32))),"")</f>
        <v>SUPPLIER TAK BOLEH UPLOAD DOKUMEN SEBUT HARGA DI MY VENDOR. TIADA BUTTOM UPLOAD Jana - 012-6045704</v>
      </c>
      <c r="T32" s="88" t="str" cm="1">
        <f t="array" aca="1" ref="T32" ca="1">IFERROR(INDEX(MPOB!$Q$3:$Q$1000,
SMALL(
IF((MPOB!$Q$3:$Q$1000&lt;&gt;"")*(MPOB!$Q$3:$Q$1000&lt;&gt;"Not Due"),
ROW(MPOB!$Q$3:$Q$1000)-ROW(MPOB!$Q$3)+1),
ROWS(A$2:A32))
),"")</f>
        <v>31-60 Days</v>
      </c>
      <c r="V32" s="115">
        <v>31</v>
      </c>
      <c r="W32" s="121" t="str" cm="1">
        <f t="array" aca="1" ref="W32" ca="1">IFERROR(INDEX(LKTN!$E$3:$E$1000,
SMALL(
IF((LKTN!$Q$3:$Q$1000&lt;&gt;"")*(LKTN!$Q$3:$Q$1000&lt;&gt;"Not Due"),
ROW(LKTN!$Q$3:$Q$1000)-ROW(LKTN!$Q$3)+1),
ROWS(A$2:A32))),"")</f>
        <v/>
      </c>
      <c r="X32" s="115" t="str" cm="1">
        <f t="array" aca="1" ref="X32" ca="1">IFERROR(INDEX(LKTN!$B$3:$B$1000,
SMALL(
IF((LKTN!$Q$3:$Q$1000&lt;&gt;"")*(LKTN!$Q$3:$Q$1000&lt;&gt;"Not Due"),
ROW(LKTN!$Q$3:$Q$1000)-ROW(LKTN!$Q$3)+1),
ROWS(A$2:A32))),"")</f>
        <v/>
      </c>
      <c r="Y32" s="115" t="str" cm="1">
        <f t="array" aca="1" ref="Y32" ca="1">IFERROR(INDEX(LKTN!$D$3:$D$1000,
SMALL(
IF((LKTN!$Q$3:$Q$1000&lt;&gt;"")*(LKTN!$Q$3:$Q$1000&lt;&gt;"Not Due"),
ROW(LKTN!$Q$3:$Q$1000)-ROW(LKTN!$Q$3)+1),
ROWS(A$2:A32))),"")</f>
        <v/>
      </c>
      <c r="Z32" s="116"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5">
        <v>31</v>
      </c>
      <c r="AK32" s="123" t="str" cm="1">
        <f t="array" aca="1" ref="AK32" ca="1">IFERROR(INDEX(ISN!$E$3:$E$1000,
SMALL(
IF((ISN!$Q$3:$Q$1000&lt;&gt;"")*(ISN!$Q$3:$Q$1000&lt;&gt;"Not Due"),
ROW(ISN!$Q$3:$Q$1000)-ROW(ISN!$Q$3)+1),
ROWS(A$2:A32))),"")</f>
        <v/>
      </c>
      <c r="AL32" s="115" t="str" cm="1">
        <f t="array" aca="1" ref="AL32" ca="1">IFERROR(INDEX(ISN!$B$3:$B$1000,
SMALL(
IF((ISN!$Q$3:$Q$1000&lt;&gt;"")*(ISN!$Q$3:$Q$1000&lt;&gt;"Not Due"),
ROW(ISN!$Q$3:$Q$1000)-ROW(ISN!$Q$3)+1),
ROWS(A$2:A32))),"")</f>
        <v/>
      </c>
      <c r="AM32" s="116" t="str" cm="1">
        <f t="array" aca="1" ref="AM32" ca="1">IFERROR(INDEX(ISN!$D$3:$D$1000,
SMALL(
IF((ISN!$Q$3:$Q$1000&lt;&gt;"")*(ISN!$Q$3:$Q$1000&lt;&gt;"Not Due"),
ROW(ISN!$Q$3:$Q$1000)-ROW(ISN!$Q$3)+1),
ROWS(A$2:A32))),"")</f>
        <v/>
      </c>
      <c r="AN32" s="116"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5">
        <v>31</v>
      </c>
      <c r="AR32" s="124" t="str" cm="1">
        <f t="array" aca="1" ref="AR32" ca="1">IFERROR(INDEX(MSN!$E$3:$E$1000,
SMALL(
IF((MSN!$Q$3:$Q$1000&lt;&gt;"")*(MSN!$Q$3:$Q$1000&lt;&gt;"Not Due"),
ROW(MSN!$Q$3:$Q$1000)-ROW(MSN!$Q$3)+1),
ROWS(A$2:A32))),"")</f>
        <v/>
      </c>
      <c r="AS32" s="115" t="str" cm="1">
        <f t="array" aca="1" ref="AS32" ca="1">IFERROR(INDEX(MSN!$B$3:$B$1000,
SMALL(
IF((MSN!$Q$3:$Q$1000&lt;&gt;"")*(MSN!$Q$3:$Q$1000&lt;&gt;"Not Due"),
ROW(MSN!$Q$3:$Q$1000)-ROW(MSN!$Q$3)+1),
ROWS(A$2:A32))),"")</f>
        <v/>
      </c>
      <c r="AT32" s="115" t="str" cm="1">
        <f t="array" aca="1" ref="AT32" ca="1">IFERROR(INDEX(MSN!$D$3:$D$1000,
SMALL(
IF((MSN!$Q$3:$Q$1000&lt;&gt;"")*(MSN!$Q$3:$Q$1000&lt;&gt;"Not Due"),
ROW(MSN!$Q$3:$Q$1000)-ROW(MSN!$Q$3)+1),
ROWS(A$2:A32))),"")</f>
        <v/>
      </c>
      <c r="AU32" s="116"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31.2" x14ac:dyDescent="0.3">
      <c r="A33" s="115">
        <v>32</v>
      </c>
      <c r="B33" s="118" t="str" cm="1">
        <f t="array" aca="1" ref="B33" ca="1">IFERROR(INDEX(FRIM!$E$3:$E$1000,
SMALL(IF(FRIM!$Q$3:$Q$1000&lt;&gt;"",
ROW(FRIM!$Q$3:$Q$1000)-ROW(FRIM!$Q$3)+1),
ROWS(A$2:A33))),"")</f>
        <v/>
      </c>
      <c r="C33" s="116" t="str" cm="1">
        <f t="array" aca="1" ref="C33" ca="1">IFERROR(INDEX(FRIM!$B$3:$B$1000,
SMALL(IF(FRIM!$Q$3:$Q$1000&lt;&gt;"",
ROW(FRIM!$Q$3:$Q$1000)-ROW(FRIM!$Q$3)+1),
ROWS(A$2:A33))),"")</f>
        <v/>
      </c>
      <c r="D33" s="116" t="str" cm="1">
        <f t="array" aca="1" ref="D33" ca="1">IFERROR(INDEX(FRIM!$D$3:$D$1000,
SMALL(IF(FRIM!$Q$3:$Q$1000&lt;&gt;"",
ROW(FRIM!$Q$3:$Q$1000)-ROW(FRIM!$Q$3)+1),
ROWS(A$2:A33))),"")</f>
        <v/>
      </c>
      <c r="E33" s="116" t="str" cm="1">
        <f t="array" aca="1" ref="E33" ca="1">IFERROR(INDEX(FRIM!$G$3:$G$1000,
SMALL(IF(FRIM!$Q$3:$Q$1000&lt;&gt;"",
ROW(FRIM!$Q$3:$Q$1000)-ROW(FRIM!$Q$3)+1),
ROWS(A$2:A33))),"")</f>
        <v/>
      </c>
      <c r="F33" s="88" t="str" cm="1">
        <f t="array" aca="1" ref="F33" ca="1">IFERROR(INDEX(FRIM!$Q$3:$Q$1000,
SMALL(IF(FRIM!$Q$3:$Q$1000&lt;&gt;"",
ROW(FRIM!$Q$3:$Q$1000)-ROW(FRIM!$Q$3)+1),
ROWS(A$2:A33))),"")</f>
        <v/>
      </c>
      <c r="H33" s="115">
        <v>32</v>
      </c>
      <c r="I33" s="119" t="str" cm="1">
        <f t="array" aca="1" ref="I33" ca="1">IFERROR(INDEX(MTIB!$E$3:$E$1000,
SMALL(
IF((MTIB!$Q$3:$Q$1000&lt;&gt;"")*(MTIB!$Q$3:$Q$1000&lt;&gt;"Not Due"),
ROW(MTIB!$Q$3:$Q$1000)-ROW(MTIB!$Q$3)+1),
ROWS(A$2:A33))),"")</f>
        <v/>
      </c>
      <c r="J33" s="115" t="str" cm="1">
        <f t="array" aca="1" ref="J33" ca="1">IFERROR(INDEX(MTIB!$B$3:$B$1000,
SMALL(
IF((MTIB!$Q$3:$Q$1000&lt;&gt;"")*(MTIB!$Q$3:$Q$1000&lt;&gt;"Not Due"),
ROW(MTIB!$Q$3:$Q$1000)-ROW(MTIB!$Q$3)+1),
ROWS(A$2:A33))),"")</f>
        <v/>
      </c>
      <c r="K33" s="115" t="str" cm="1">
        <f t="array" aca="1" ref="K33" ca="1">IFERROR(INDEX(MTIB!$D$3:$D$1000,
SMALL(
IF((MTIB!$Q$3:$Q$1000&lt;&gt;"")*(MTIB!$Q$3:$Q$1000&lt;&gt;"Not Due"),
ROW(MTIB!$Q$3:$Q$1000)-ROW(MTIB!$Q$3)+1),
ROWS(A$2:A33))),"")</f>
        <v/>
      </c>
      <c r="L33" s="116" t="str" cm="1">
        <f t="array" aca="1" ref="L33" ca="1">IFERROR(INDEX(MTIB!$G$3:$G$1000,
SMALL(
IF((MTIB!$Q$3:$Q$1000&lt;&gt;"")*(MTIB!$Q$3:$Q$1000&lt;&gt;"Not Due"),
ROW(MTIB!$Q$3:$Q$1000)-ROW(MTIB!$Q$3)+1),
ROWS(A$2:A33))),"")</f>
        <v/>
      </c>
      <c r="M33" s="88" t="str" cm="1">
        <f t="array" aca="1" ref="M33" ca="1">IFERROR(INDEX(MTIB!$Q$3:$Q$1000,
SMALL(
IF((MTIB!$Q$3:$Q$1000&lt;&gt;"")*(MTIB!$Q$3:$Q$1000&lt;&gt;"Not Due"),
ROW(MTIB!$Q$3:$Q$1000)-ROW(MTIB!$Q$3)+1),
ROWS(A$2:A33))
),"")</f>
        <v/>
      </c>
      <c r="O33" s="115">
        <v>32</v>
      </c>
      <c r="P33" s="120" t="str" cm="1">
        <f t="array" aca="1" ref="P33" ca="1">IFERROR(INDEX(MPOB!$E$3:$E$1000,
SMALL(
IF((MPOB!$Q$3:$Q$1000&lt;&gt;"")*(MPOB!$Q$3:$Q$1000&lt;&gt;"Not Due"),
ROW(MPOB!$Q$3:$Q$1000)-ROW(MPOB!$Q$3)+1),
ROWS(A$2:A33))),"")</f>
        <v>MPOB</v>
      </c>
      <c r="Q33" s="115" t="str" cm="1">
        <f t="array" aca="1" ref="Q33" ca="1">IFERROR(INDEX(MPOB!$B$3:$B$1000,
SMALL(
IF((MPOB!$Q$3:$Q$1000&lt;&gt;"")*(MPOB!$Q$3:$Q$1000&lt;&gt;"Not Due"),
ROW(MPOB!$Q$3:$Q$1000)-ROW(MPOB!$Q$3)+1),
ROWS(A$2:A33))),"")</f>
        <v>T/2026/00341</v>
      </c>
      <c r="R33" s="115" t="str" cm="1">
        <f t="array" aca="1" ref="R33" ca="1">IFERROR(INDEX(MPOB!$D$3:$D$1000,
SMALL(
IF((MPOB!$Q$3:$Q$1000&lt;&gt;"")*(MPOB!$Q$3:$Q$1000&lt;&gt;"Not Due"),
ROW(MPOB!$Q$3:$Q$1000)-ROW(MPOB!$Q$3)+1),
ROWS(A$2:A33))),"")</f>
        <v>MyFinancial</v>
      </c>
      <c r="S33" s="116" t="str" cm="1">
        <f t="array" aca="1" ref="S33" ca="1">IFERROR(INDEX(MPOB!$G$3:$G$1000,
SMALL(
IF((MPOB!$Q$3:$Q$1000&lt;&gt;"")*(MPOB!$Q$3:$Q$1000&lt;&gt;"Not Due"),
ROW(MPOB!$Q$3:$Q$1000)-ROW(MPOB!$Q$3)+1),
ROWS(A$2:A33))),"")</f>
        <v>INPOB/326/05312 perlu dibatalkan tetapi tidak wujud dalam sistem</v>
      </c>
      <c r="T33" s="88" t="str" cm="1">
        <f t="array" aca="1" ref="T33" ca="1">IFERROR(INDEX(MPOB!$Q$3:$Q$1000,
SMALL(
IF((MPOB!$Q$3:$Q$1000&lt;&gt;"")*(MPOB!$Q$3:$Q$1000&lt;&gt;"Not Due"),
ROW(MPOB!$Q$3:$Q$1000)-ROW(MPOB!$Q$3)+1),
ROWS(A$2:A33))
),"")</f>
        <v>31-60 Days</v>
      </c>
      <c r="V33" s="115">
        <v>32</v>
      </c>
      <c r="W33" s="121" t="str" cm="1">
        <f t="array" aca="1" ref="W33" ca="1">IFERROR(INDEX(LKTN!$E$3:$E$1000,
SMALL(
IF((LKTN!$Q$3:$Q$1000&lt;&gt;"")*(LKTN!$Q$3:$Q$1000&lt;&gt;"Not Due"),
ROW(LKTN!$Q$3:$Q$1000)-ROW(LKTN!$Q$3)+1),
ROWS(A$2:A33))),"")</f>
        <v/>
      </c>
      <c r="X33" s="115" t="str" cm="1">
        <f t="array" aca="1" ref="X33" ca="1">IFERROR(INDEX(LKTN!$B$3:$B$1000,
SMALL(
IF((LKTN!$Q$3:$Q$1000&lt;&gt;"")*(LKTN!$Q$3:$Q$1000&lt;&gt;"Not Due"),
ROW(LKTN!$Q$3:$Q$1000)-ROW(LKTN!$Q$3)+1),
ROWS(A$2:A33))),"")</f>
        <v/>
      </c>
      <c r="Y33" s="115" t="str" cm="1">
        <f t="array" aca="1" ref="Y33" ca="1">IFERROR(INDEX(LKTN!$D$3:$D$1000,
SMALL(
IF((LKTN!$Q$3:$Q$1000&lt;&gt;"")*(LKTN!$Q$3:$Q$1000&lt;&gt;"Not Due"),
ROW(LKTN!$Q$3:$Q$1000)-ROW(LKTN!$Q$3)+1),
ROWS(A$2:A33))),"")</f>
        <v/>
      </c>
      <c r="Z33" s="116"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5">
        <v>32</v>
      </c>
      <c r="AK33" s="123" t="str" cm="1">
        <f t="array" aca="1" ref="AK33" ca="1">IFERROR(INDEX(ISN!$E$3:$E$1000,
SMALL(
IF((ISN!$Q$3:$Q$1000&lt;&gt;"")*(ISN!$Q$3:$Q$1000&lt;&gt;"Not Due"),
ROW(ISN!$Q$3:$Q$1000)-ROW(ISN!$Q$3)+1),
ROWS(A$2:A33))),"")</f>
        <v/>
      </c>
      <c r="AL33" s="115" t="str" cm="1">
        <f t="array" aca="1" ref="AL33" ca="1">IFERROR(INDEX(ISN!$B$3:$B$1000,
SMALL(
IF((ISN!$Q$3:$Q$1000&lt;&gt;"")*(ISN!$Q$3:$Q$1000&lt;&gt;"Not Due"),
ROW(ISN!$Q$3:$Q$1000)-ROW(ISN!$Q$3)+1),
ROWS(A$2:A33))),"")</f>
        <v/>
      </c>
      <c r="AM33" s="116" t="str" cm="1">
        <f t="array" aca="1" ref="AM33" ca="1">IFERROR(INDEX(ISN!$D$3:$D$1000,
SMALL(
IF((ISN!$Q$3:$Q$1000&lt;&gt;"")*(ISN!$Q$3:$Q$1000&lt;&gt;"Not Due"),
ROW(ISN!$Q$3:$Q$1000)-ROW(ISN!$Q$3)+1),
ROWS(A$2:A33))),"")</f>
        <v/>
      </c>
      <c r="AN33" s="116"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5">
        <v>32</v>
      </c>
      <c r="AR33" s="124" t="str" cm="1">
        <f t="array" aca="1" ref="AR33" ca="1">IFERROR(INDEX(MSN!$E$3:$E$1000,
SMALL(
IF((MSN!$Q$3:$Q$1000&lt;&gt;"")*(MSN!$Q$3:$Q$1000&lt;&gt;"Not Due"),
ROW(MSN!$Q$3:$Q$1000)-ROW(MSN!$Q$3)+1),
ROWS(A$2:A33))),"")</f>
        <v/>
      </c>
      <c r="AS33" s="115" t="str" cm="1">
        <f t="array" aca="1" ref="AS33" ca="1">IFERROR(INDEX(MSN!$B$3:$B$1000,
SMALL(
IF((MSN!$Q$3:$Q$1000&lt;&gt;"")*(MSN!$Q$3:$Q$1000&lt;&gt;"Not Due"),
ROW(MSN!$Q$3:$Q$1000)-ROW(MSN!$Q$3)+1),
ROWS(A$2:A33))),"")</f>
        <v/>
      </c>
      <c r="AT33" s="115" t="str" cm="1">
        <f t="array" aca="1" ref="AT33" ca="1">IFERROR(INDEX(MSN!$D$3:$D$1000,
SMALL(
IF((MSN!$Q$3:$Q$1000&lt;&gt;"")*(MSN!$Q$3:$Q$1000&lt;&gt;"Not Due"),
ROW(MSN!$Q$3:$Q$1000)-ROW(MSN!$Q$3)+1),
ROWS(A$2:A33))),"")</f>
        <v/>
      </c>
      <c r="AU33" s="116"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31.2" x14ac:dyDescent="0.3">
      <c r="A34" s="115">
        <v>33</v>
      </c>
      <c r="B34" s="118" t="str" cm="1">
        <f t="array" aca="1" ref="B34" ca="1">IFERROR(INDEX(FRIM!$E$3:$E$1000,
SMALL(IF(FRIM!$Q$3:$Q$1000&lt;&gt;"",
ROW(FRIM!$Q$3:$Q$1000)-ROW(FRIM!$Q$3)+1),
ROWS(A$2:A34))),"")</f>
        <v/>
      </c>
      <c r="C34" s="116" t="str" cm="1">
        <f t="array" aca="1" ref="C34" ca="1">IFERROR(INDEX(FRIM!$B$3:$B$1000,
SMALL(IF(FRIM!$Q$3:$Q$1000&lt;&gt;"",
ROW(FRIM!$Q$3:$Q$1000)-ROW(FRIM!$Q$3)+1),
ROWS(A$2:A34))),"")</f>
        <v/>
      </c>
      <c r="D34" s="116" t="str" cm="1">
        <f t="array" aca="1" ref="D34" ca="1">IFERROR(INDEX(FRIM!$D$3:$D$1000,
SMALL(IF(FRIM!$Q$3:$Q$1000&lt;&gt;"",
ROW(FRIM!$Q$3:$Q$1000)-ROW(FRIM!$Q$3)+1),
ROWS(A$2:A34))),"")</f>
        <v/>
      </c>
      <c r="E34" s="116" t="str" cm="1">
        <f t="array" aca="1" ref="E34" ca="1">IFERROR(INDEX(FRIM!$G$3:$G$1000,
SMALL(IF(FRIM!$Q$3:$Q$1000&lt;&gt;"",
ROW(FRIM!$Q$3:$Q$1000)-ROW(FRIM!$Q$3)+1),
ROWS(A$2:A34))),"")</f>
        <v/>
      </c>
      <c r="F34" s="88" t="str" cm="1">
        <f t="array" aca="1" ref="F34" ca="1">IFERROR(INDEX(FRIM!$Q$3:$Q$1000,
SMALL(IF(FRIM!$Q$3:$Q$1000&lt;&gt;"",
ROW(FRIM!$Q$3:$Q$1000)-ROW(FRIM!$Q$3)+1),
ROWS(A$2:A34))),"")</f>
        <v/>
      </c>
      <c r="H34" s="115">
        <v>33</v>
      </c>
      <c r="I34" s="119" t="str" cm="1">
        <f t="array" aca="1" ref="I34" ca="1">IFERROR(INDEX(MTIB!$E$3:$E$1000,
SMALL(
IF((MTIB!$Q$3:$Q$1000&lt;&gt;"")*(MTIB!$Q$3:$Q$1000&lt;&gt;"Not Due"),
ROW(MTIB!$Q$3:$Q$1000)-ROW(MTIB!$Q$3)+1),
ROWS(A$2:A34))),"")</f>
        <v/>
      </c>
      <c r="J34" s="115" t="str" cm="1">
        <f t="array" aca="1" ref="J34" ca="1">IFERROR(INDEX(MTIB!$B$3:$B$1000,
SMALL(
IF((MTIB!$Q$3:$Q$1000&lt;&gt;"")*(MTIB!$Q$3:$Q$1000&lt;&gt;"Not Due"),
ROW(MTIB!$Q$3:$Q$1000)-ROW(MTIB!$Q$3)+1),
ROWS(A$2:A34))),"")</f>
        <v/>
      </c>
      <c r="K34" s="115" t="str" cm="1">
        <f t="array" aca="1" ref="K34" ca="1">IFERROR(INDEX(MTIB!$D$3:$D$1000,
SMALL(
IF((MTIB!$Q$3:$Q$1000&lt;&gt;"")*(MTIB!$Q$3:$Q$1000&lt;&gt;"Not Due"),
ROW(MTIB!$Q$3:$Q$1000)-ROW(MTIB!$Q$3)+1),
ROWS(A$2:A34))),"")</f>
        <v/>
      </c>
      <c r="L34" s="116" t="str" cm="1">
        <f t="array" aca="1" ref="L34" ca="1">IFERROR(INDEX(MTIB!$G$3:$G$1000,
SMALL(
IF((MTIB!$Q$3:$Q$1000&lt;&gt;"")*(MTIB!$Q$3:$Q$1000&lt;&gt;"Not Due"),
ROW(MTIB!$Q$3:$Q$1000)-ROW(MTIB!$Q$3)+1),
ROWS(A$2:A34))),"")</f>
        <v/>
      </c>
      <c r="M34" s="88" t="str" cm="1">
        <f t="array" aca="1" ref="M34" ca="1">IFERROR(INDEX(MTIB!$Q$3:$Q$1000,
SMALL(
IF((MTIB!$Q$3:$Q$1000&lt;&gt;"")*(MTIB!$Q$3:$Q$1000&lt;&gt;"Not Due"),
ROW(MTIB!$Q$3:$Q$1000)-ROW(MTIB!$Q$3)+1),
ROWS(A$2:A34))
),"")</f>
        <v/>
      </c>
      <c r="O34" s="115">
        <v>33</v>
      </c>
      <c r="P34" s="120" t="str" cm="1">
        <f t="array" aca="1" ref="P34" ca="1">IFERROR(INDEX(MPOB!$E$3:$E$1000,
SMALL(
IF((MPOB!$Q$3:$Q$1000&lt;&gt;"")*(MPOB!$Q$3:$Q$1000&lt;&gt;"Not Due"),
ROW(MPOB!$Q$3:$Q$1000)-ROW(MPOB!$Q$3)+1),
ROWS(A$2:A34))),"")</f>
        <v>MPOB</v>
      </c>
      <c r="Q34" s="115" t="str" cm="1">
        <f t="array" aca="1" ref="Q34" ca="1">IFERROR(INDEX(MPOB!$B$3:$B$1000,
SMALL(
IF((MPOB!$Q$3:$Q$1000&lt;&gt;"")*(MPOB!$Q$3:$Q$1000&lt;&gt;"Not Due"),
ROW(MPOB!$Q$3:$Q$1000)-ROW(MPOB!$Q$3)+1),
ROWS(A$2:A34))),"")</f>
        <v>T/2026/00352</v>
      </c>
      <c r="R34" s="115" t="str" cm="1">
        <f t="array" aca="1" ref="R34" ca="1">IFERROR(INDEX(MPOB!$D$3:$D$1000,
SMALL(
IF((MPOB!$Q$3:$Q$1000&lt;&gt;"")*(MPOB!$Q$3:$Q$1000&lt;&gt;"Not Due"),
ROW(MPOB!$Q$3:$Q$1000)-ROW(MPOB!$Q$3)+1),
ROWS(A$2:A34))),"")</f>
        <v>MyFinancial</v>
      </c>
      <c r="S34" s="116" t="str" cm="1">
        <f t="array" aca="1" ref="S34" ca="1">IFERROR(INDEX(MPOB!$G$3:$G$1000,
SMALL(
IF((MPOB!$Q$3:$Q$1000&lt;&gt;"")*(MPOB!$Q$3:$Q$1000&lt;&gt;"Not Due"),
ROW(MPOB!$Q$3:$Q$1000)-ROW(MPOB!$Q$3)+1),
ROWS(A$2:A34))),"")</f>
        <v>ADA 2 NAMA, PENOLONG AKAUNTAN DAN PENOLONG PEGAWAI TADBIR</v>
      </c>
      <c r="T34" s="88" t="str" cm="1">
        <f t="array" aca="1" ref="T34" ca="1">IFERROR(INDEX(MPOB!$Q$3:$Q$1000,
SMALL(
IF((MPOB!$Q$3:$Q$1000&lt;&gt;"")*(MPOB!$Q$3:$Q$1000&lt;&gt;"Not Due"),
ROW(MPOB!$Q$3:$Q$1000)-ROW(MPOB!$Q$3)+1),
ROWS(A$2:A34))
),"")</f>
        <v>31-60 Days</v>
      </c>
      <c r="V34" s="115">
        <v>33</v>
      </c>
      <c r="W34" s="121" t="str" cm="1">
        <f t="array" aca="1" ref="W34" ca="1">IFERROR(INDEX(LKTN!$E$3:$E$1000,
SMALL(
IF((LKTN!$Q$3:$Q$1000&lt;&gt;"")*(LKTN!$Q$3:$Q$1000&lt;&gt;"Not Due"),
ROW(LKTN!$Q$3:$Q$1000)-ROW(LKTN!$Q$3)+1),
ROWS(A$2:A34))),"")</f>
        <v/>
      </c>
      <c r="X34" s="115" t="str" cm="1">
        <f t="array" aca="1" ref="X34" ca="1">IFERROR(INDEX(LKTN!$B$3:$B$1000,
SMALL(
IF((LKTN!$Q$3:$Q$1000&lt;&gt;"")*(LKTN!$Q$3:$Q$1000&lt;&gt;"Not Due"),
ROW(LKTN!$Q$3:$Q$1000)-ROW(LKTN!$Q$3)+1),
ROWS(A$2:A34))),"")</f>
        <v/>
      </c>
      <c r="Y34" s="115" t="str" cm="1">
        <f t="array" aca="1" ref="Y34" ca="1">IFERROR(INDEX(LKTN!$D$3:$D$1000,
SMALL(
IF((LKTN!$Q$3:$Q$1000&lt;&gt;"")*(LKTN!$Q$3:$Q$1000&lt;&gt;"Not Due"),
ROW(LKTN!$Q$3:$Q$1000)-ROW(LKTN!$Q$3)+1),
ROWS(A$2:A34))),"")</f>
        <v/>
      </c>
      <c r="Z34" s="116"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5">
        <v>33</v>
      </c>
      <c r="AK34" s="123" t="str" cm="1">
        <f t="array" aca="1" ref="AK34" ca="1">IFERROR(INDEX(ISN!$E$3:$E$1000,
SMALL(
IF((ISN!$Q$3:$Q$1000&lt;&gt;"")*(ISN!$Q$3:$Q$1000&lt;&gt;"Not Due"),
ROW(ISN!$Q$3:$Q$1000)-ROW(ISN!$Q$3)+1),
ROWS(A$2:A34))),"")</f>
        <v/>
      </c>
      <c r="AL34" s="115" t="str" cm="1">
        <f t="array" aca="1" ref="AL34" ca="1">IFERROR(INDEX(ISN!$B$3:$B$1000,
SMALL(
IF((ISN!$Q$3:$Q$1000&lt;&gt;"")*(ISN!$Q$3:$Q$1000&lt;&gt;"Not Due"),
ROW(ISN!$Q$3:$Q$1000)-ROW(ISN!$Q$3)+1),
ROWS(A$2:A34))),"")</f>
        <v/>
      </c>
      <c r="AM34" s="116" t="str" cm="1">
        <f t="array" aca="1" ref="AM34" ca="1">IFERROR(INDEX(ISN!$D$3:$D$1000,
SMALL(
IF((ISN!$Q$3:$Q$1000&lt;&gt;"")*(ISN!$Q$3:$Q$1000&lt;&gt;"Not Due"),
ROW(ISN!$Q$3:$Q$1000)-ROW(ISN!$Q$3)+1),
ROWS(A$2:A34))),"")</f>
        <v/>
      </c>
      <c r="AN34" s="116"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5">
        <v>33</v>
      </c>
      <c r="AR34" s="124" t="str" cm="1">
        <f t="array" aca="1" ref="AR34" ca="1">IFERROR(INDEX(MSN!$E$3:$E$1000,
SMALL(
IF((MSN!$Q$3:$Q$1000&lt;&gt;"")*(MSN!$Q$3:$Q$1000&lt;&gt;"Not Due"),
ROW(MSN!$Q$3:$Q$1000)-ROW(MSN!$Q$3)+1),
ROWS(A$2:A34))),"")</f>
        <v/>
      </c>
      <c r="AS34" s="115" t="str" cm="1">
        <f t="array" aca="1" ref="AS34" ca="1">IFERROR(INDEX(MSN!$B$3:$B$1000,
SMALL(
IF((MSN!$Q$3:$Q$1000&lt;&gt;"")*(MSN!$Q$3:$Q$1000&lt;&gt;"Not Due"),
ROW(MSN!$Q$3:$Q$1000)-ROW(MSN!$Q$3)+1),
ROWS(A$2:A34))),"")</f>
        <v/>
      </c>
      <c r="AT34" s="115" t="str" cm="1">
        <f t="array" aca="1" ref="AT34" ca="1">IFERROR(INDEX(MSN!$D$3:$D$1000,
SMALL(
IF((MSN!$Q$3:$Q$1000&lt;&gt;"")*(MSN!$Q$3:$Q$1000&lt;&gt;"Not Due"),
ROW(MSN!$Q$3:$Q$1000)-ROW(MSN!$Q$3)+1),
ROWS(A$2:A34))),"")</f>
        <v/>
      </c>
      <c r="AU34" s="116"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46.8" x14ac:dyDescent="0.3">
      <c r="A35" s="115">
        <v>34</v>
      </c>
      <c r="B35" s="118" t="str" cm="1">
        <f t="array" aca="1" ref="B35" ca="1">IFERROR(INDEX(FRIM!$E$3:$E$1000,
SMALL(IF(FRIM!$Q$3:$Q$1000&lt;&gt;"",
ROW(FRIM!$Q$3:$Q$1000)-ROW(FRIM!$Q$3)+1),
ROWS(A$2:A35))),"")</f>
        <v/>
      </c>
      <c r="C35" s="116" t="str" cm="1">
        <f t="array" aca="1" ref="C35" ca="1">IFERROR(INDEX(FRIM!$B$3:$B$1000,
SMALL(IF(FRIM!$Q$3:$Q$1000&lt;&gt;"",
ROW(FRIM!$Q$3:$Q$1000)-ROW(FRIM!$Q$3)+1),
ROWS(A$2:A35))),"")</f>
        <v/>
      </c>
      <c r="D35" s="116" t="str" cm="1">
        <f t="array" aca="1" ref="D35" ca="1">IFERROR(INDEX(FRIM!$D$3:$D$1000,
SMALL(IF(FRIM!$Q$3:$Q$1000&lt;&gt;"",
ROW(FRIM!$Q$3:$Q$1000)-ROW(FRIM!$Q$3)+1),
ROWS(A$2:A35))),"")</f>
        <v/>
      </c>
      <c r="E35" s="116" t="str" cm="1">
        <f t="array" aca="1" ref="E35" ca="1">IFERROR(INDEX(FRIM!$G$3:$G$1000,
SMALL(IF(FRIM!$Q$3:$Q$1000&lt;&gt;"",
ROW(FRIM!$Q$3:$Q$1000)-ROW(FRIM!$Q$3)+1),
ROWS(A$2:A35))),"")</f>
        <v/>
      </c>
      <c r="F35" s="88" t="str" cm="1">
        <f t="array" aca="1" ref="F35" ca="1">IFERROR(INDEX(FRIM!$Q$3:$Q$1000,
SMALL(IF(FRIM!$Q$3:$Q$1000&lt;&gt;"",
ROW(FRIM!$Q$3:$Q$1000)-ROW(FRIM!$Q$3)+1),
ROWS(A$2:A35))),"")</f>
        <v/>
      </c>
      <c r="H35" s="115">
        <v>34</v>
      </c>
      <c r="I35" s="119" t="str" cm="1">
        <f t="array" aca="1" ref="I35" ca="1">IFERROR(INDEX(MTIB!$E$3:$E$1000,
SMALL(
IF((MTIB!$Q$3:$Q$1000&lt;&gt;"")*(MTIB!$Q$3:$Q$1000&lt;&gt;"Not Due"),
ROW(MTIB!$Q$3:$Q$1000)-ROW(MTIB!$Q$3)+1),
ROWS(A$2:A35))),"")</f>
        <v/>
      </c>
      <c r="J35" s="115" t="str" cm="1">
        <f t="array" aca="1" ref="J35" ca="1">IFERROR(INDEX(MTIB!$B$3:$B$1000,
SMALL(
IF((MTIB!$Q$3:$Q$1000&lt;&gt;"")*(MTIB!$Q$3:$Q$1000&lt;&gt;"Not Due"),
ROW(MTIB!$Q$3:$Q$1000)-ROW(MTIB!$Q$3)+1),
ROWS(A$2:A35))),"")</f>
        <v/>
      </c>
      <c r="K35" s="115" t="str" cm="1">
        <f t="array" aca="1" ref="K35" ca="1">IFERROR(INDEX(MTIB!$D$3:$D$1000,
SMALL(
IF((MTIB!$Q$3:$Q$1000&lt;&gt;"")*(MTIB!$Q$3:$Q$1000&lt;&gt;"Not Due"),
ROW(MTIB!$Q$3:$Q$1000)-ROW(MTIB!$Q$3)+1),
ROWS(A$2:A35))),"")</f>
        <v/>
      </c>
      <c r="L35" s="116" t="str" cm="1">
        <f t="array" aca="1" ref="L35" ca="1">IFERROR(INDEX(MTIB!$G$3:$G$1000,
SMALL(
IF((MTIB!$Q$3:$Q$1000&lt;&gt;"")*(MTIB!$Q$3:$Q$1000&lt;&gt;"Not Due"),
ROW(MTIB!$Q$3:$Q$1000)-ROW(MTIB!$Q$3)+1),
ROWS(A$2:A35))),"")</f>
        <v/>
      </c>
      <c r="M35" s="88" t="str" cm="1">
        <f t="array" aca="1" ref="M35" ca="1">IFERROR(INDEX(MTIB!$Q$3:$Q$1000,
SMALL(
IF((MTIB!$Q$3:$Q$1000&lt;&gt;"")*(MTIB!$Q$3:$Q$1000&lt;&gt;"Not Due"),
ROW(MTIB!$Q$3:$Q$1000)-ROW(MTIB!$Q$3)+1),
ROWS(A$2:A35))
),"")</f>
        <v/>
      </c>
      <c r="O35" s="115">
        <v>34</v>
      </c>
      <c r="P35" s="120" t="str" cm="1">
        <f t="array" aca="1" ref="P35" ca="1">IFERROR(INDEX(MPOB!$E$3:$E$1000,
SMALL(
IF((MPOB!$Q$3:$Q$1000&lt;&gt;"")*(MPOB!$Q$3:$Q$1000&lt;&gt;"Not Due"),
ROW(MPOB!$Q$3:$Q$1000)-ROW(MPOB!$Q$3)+1),
ROWS(A$2:A35))),"")</f>
        <v>MPOB</v>
      </c>
      <c r="Q35" s="115" t="str" cm="1">
        <f t="array" aca="1" ref="Q35" ca="1">IFERROR(INDEX(MPOB!$B$3:$B$1000,
SMALL(
IF((MPOB!$Q$3:$Q$1000&lt;&gt;"")*(MPOB!$Q$3:$Q$1000&lt;&gt;"Not Due"),
ROW(MPOB!$Q$3:$Q$1000)-ROW(MPOB!$Q$3)+1),
ROWS(A$2:A35))),"")</f>
        <v>T/2026/00357</v>
      </c>
      <c r="R35" s="115" t="str" cm="1">
        <f t="array" aca="1" ref="R35" ca="1">IFERROR(INDEX(MPOB!$D$3:$D$1000,
SMALL(
IF((MPOB!$Q$3:$Q$1000&lt;&gt;"")*(MPOB!$Q$3:$Q$1000&lt;&gt;"Not Due"),
ROW(MPOB!$Q$3:$Q$1000)-ROW(MPOB!$Q$3)+1),
ROWS(A$2:A35))),"")</f>
        <v>MyStor</v>
      </c>
      <c r="S35" s="116" t="str" cm="1">
        <f t="array" aca="1" ref="S35" ca="1">IFERROR(INDEX(MPOB!$G$3:$G$1000,
SMALL(
IF((MPOB!$Q$3:$Q$1000&lt;&gt;"")*(MPOB!$Q$3:$Q$1000&lt;&gt;"Not Due"),
ROW(MPOB!$Q$3:$Q$1000)-ROW(MPOB!$Q$3)+1),
ROWS(A$2:A35))),"")</f>
        <v>1. item butiran hilang bila disimpan 2. pengesan dan pegawai lulus tidak terima 3. mintak semak semuala flow modul pengeluaran stok antara stor</v>
      </c>
      <c r="T35" s="88" t="str" cm="1">
        <f t="array" aca="1" ref="T35" ca="1">IFERROR(INDEX(MPOB!$Q$3:$Q$1000,
SMALL(
IF((MPOB!$Q$3:$Q$1000&lt;&gt;"")*(MPOB!$Q$3:$Q$1000&lt;&gt;"Not Due"),
ROW(MPOB!$Q$3:$Q$1000)-ROW(MPOB!$Q$3)+1),
ROWS(A$2:A35))
),"")</f>
        <v>31-60 Days</v>
      </c>
      <c r="V35" s="115">
        <v>34</v>
      </c>
      <c r="W35" s="121" t="str" cm="1">
        <f t="array" aca="1" ref="W35" ca="1">IFERROR(INDEX(LKTN!$E$3:$E$1000,
SMALL(
IF((LKTN!$Q$3:$Q$1000&lt;&gt;"")*(LKTN!$Q$3:$Q$1000&lt;&gt;"Not Due"),
ROW(LKTN!$Q$3:$Q$1000)-ROW(LKTN!$Q$3)+1),
ROWS(A$2:A35))),"")</f>
        <v/>
      </c>
      <c r="X35" s="115" t="str" cm="1">
        <f t="array" aca="1" ref="X35" ca="1">IFERROR(INDEX(LKTN!$B$3:$B$1000,
SMALL(
IF((LKTN!$Q$3:$Q$1000&lt;&gt;"")*(LKTN!$Q$3:$Q$1000&lt;&gt;"Not Due"),
ROW(LKTN!$Q$3:$Q$1000)-ROW(LKTN!$Q$3)+1),
ROWS(A$2:A35))),"")</f>
        <v/>
      </c>
      <c r="Y35" s="115" t="str" cm="1">
        <f t="array" aca="1" ref="Y35" ca="1">IFERROR(INDEX(LKTN!$D$3:$D$1000,
SMALL(
IF((LKTN!$Q$3:$Q$1000&lt;&gt;"")*(LKTN!$Q$3:$Q$1000&lt;&gt;"Not Due"),
ROW(LKTN!$Q$3:$Q$1000)-ROW(LKTN!$Q$3)+1),
ROWS(A$2:A35))),"")</f>
        <v/>
      </c>
      <c r="Z35" s="116"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5">
        <v>34</v>
      </c>
      <c r="AK35" s="123" t="str" cm="1">
        <f t="array" aca="1" ref="AK35" ca="1">IFERROR(INDEX(ISN!$E$3:$E$1000,
SMALL(
IF((ISN!$Q$3:$Q$1000&lt;&gt;"")*(ISN!$Q$3:$Q$1000&lt;&gt;"Not Due"),
ROW(ISN!$Q$3:$Q$1000)-ROW(ISN!$Q$3)+1),
ROWS(A$2:A35))),"")</f>
        <v/>
      </c>
      <c r="AL35" s="115" t="str" cm="1">
        <f t="array" aca="1" ref="AL35" ca="1">IFERROR(INDEX(ISN!$B$3:$B$1000,
SMALL(
IF((ISN!$Q$3:$Q$1000&lt;&gt;"")*(ISN!$Q$3:$Q$1000&lt;&gt;"Not Due"),
ROW(ISN!$Q$3:$Q$1000)-ROW(ISN!$Q$3)+1),
ROWS(A$2:A35))),"")</f>
        <v/>
      </c>
      <c r="AM35" s="116" t="str" cm="1">
        <f t="array" aca="1" ref="AM35" ca="1">IFERROR(INDEX(ISN!$D$3:$D$1000,
SMALL(
IF((ISN!$Q$3:$Q$1000&lt;&gt;"")*(ISN!$Q$3:$Q$1000&lt;&gt;"Not Due"),
ROW(ISN!$Q$3:$Q$1000)-ROW(ISN!$Q$3)+1),
ROWS(A$2:A35))),"")</f>
        <v/>
      </c>
      <c r="AN35" s="116"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5">
        <v>34</v>
      </c>
      <c r="AR35" s="124" t="str" cm="1">
        <f t="array" aca="1" ref="AR35" ca="1">IFERROR(INDEX(MSN!$E$3:$E$1000,
SMALL(
IF((MSN!$Q$3:$Q$1000&lt;&gt;"")*(MSN!$Q$3:$Q$1000&lt;&gt;"Not Due"),
ROW(MSN!$Q$3:$Q$1000)-ROW(MSN!$Q$3)+1),
ROWS(A$2:A35))),"")</f>
        <v/>
      </c>
      <c r="AS35" s="115" t="str" cm="1">
        <f t="array" aca="1" ref="AS35" ca="1">IFERROR(INDEX(MSN!$B$3:$B$1000,
SMALL(
IF((MSN!$Q$3:$Q$1000&lt;&gt;"")*(MSN!$Q$3:$Q$1000&lt;&gt;"Not Due"),
ROW(MSN!$Q$3:$Q$1000)-ROW(MSN!$Q$3)+1),
ROWS(A$2:A35))),"")</f>
        <v/>
      </c>
      <c r="AT35" s="115" t="str" cm="1">
        <f t="array" aca="1" ref="AT35" ca="1">IFERROR(INDEX(MSN!$D$3:$D$1000,
SMALL(
IF((MSN!$Q$3:$Q$1000&lt;&gt;"")*(MSN!$Q$3:$Q$1000&lt;&gt;"Not Due"),
ROW(MSN!$Q$3:$Q$1000)-ROW(MSN!$Q$3)+1),
ROWS(A$2:A35))),"")</f>
        <v/>
      </c>
      <c r="AU35" s="116"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46.8" x14ac:dyDescent="0.3">
      <c r="A36" s="115">
        <v>35</v>
      </c>
      <c r="B36" s="118" t="str" cm="1">
        <f t="array" aca="1" ref="B36" ca="1">IFERROR(INDEX(FRIM!$E$3:$E$1000,
SMALL(IF(FRIM!$Q$3:$Q$1000&lt;&gt;"",
ROW(FRIM!$Q$3:$Q$1000)-ROW(FRIM!$Q$3)+1),
ROWS(A$2:A36))),"")</f>
        <v/>
      </c>
      <c r="C36" s="116" t="str" cm="1">
        <f t="array" aca="1" ref="C36" ca="1">IFERROR(INDEX(FRIM!$B$3:$B$1000,
SMALL(IF(FRIM!$Q$3:$Q$1000&lt;&gt;"",
ROW(FRIM!$Q$3:$Q$1000)-ROW(FRIM!$Q$3)+1),
ROWS(A$2:A36))),"")</f>
        <v/>
      </c>
      <c r="D36" s="116" t="str" cm="1">
        <f t="array" aca="1" ref="D36" ca="1">IFERROR(INDEX(FRIM!$D$3:$D$1000,
SMALL(IF(FRIM!$Q$3:$Q$1000&lt;&gt;"",
ROW(FRIM!$Q$3:$Q$1000)-ROW(FRIM!$Q$3)+1),
ROWS(A$2:A36))),"")</f>
        <v/>
      </c>
      <c r="E36" s="116" t="str" cm="1">
        <f t="array" aca="1" ref="E36" ca="1">IFERROR(INDEX(FRIM!$G$3:$G$1000,
SMALL(IF(FRIM!$Q$3:$Q$1000&lt;&gt;"",
ROW(FRIM!$Q$3:$Q$1000)-ROW(FRIM!$Q$3)+1),
ROWS(A$2:A36))),"")</f>
        <v/>
      </c>
      <c r="F36" s="88" t="str" cm="1">
        <f t="array" aca="1" ref="F36" ca="1">IFERROR(INDEX(FRIM!$Q$3:$Q$1000,
SMALL(IF(FRIM!$Q$3:$Q$1000&lt;&gt;"",
ROW(FRIM!$Q$3:$Q$1000)-ROW(FRIM!$Q$3)+1),
ROWS(A$2:A36))),"")</f>
        <v/>
      </c>
      <c r="H36" s="115">
        <v>35</v>
      </c>
      <c r="I36" s="119" t="str" cm="1">
        <f t="array" aca="1" ref="I36" ca="1">IFERROR(INDEX(MTIB!$E$3:$E$1000,
SMALL(
IF((MTIB!$Q$3:$Q$1000&lt;&gt;"")*(MTIB!$Q$3:$Q$1000&lt;&gt;"Not Due"),
ROW(MTIB!$Q$3:$Q$1000)-ROW(MTIB!$Q$3)+1),
ROWS(A$2:A36))),"")</f>
        <v/>
      </c>
      <c r="J36" s="115" t="str" cm="1">
        <f t="array" aca="1" ref="J36" ca="1">IFERROR(INDEX(MTIB!$B$3:$B$1000,
SMALL(
IF((MTIB!$Q$3:$Q$1000&lt;&gt;"")*(MTIB!$Q$3:$Q$1000&lt;&gt;"Not Due"),
ROW(MTIB!$Q$3:$Q$1000)-ROW(MTIB!$Q$3)+1),
ROWS(A$2:A36))),"")</f>
        <v/>
      </c>
      <c r="K36" s="115" t="str" cm="1">
        <f t="array" aca="1" ref="K36" ca="1">IFERROR(INDEX(MTIB!$D$3:$D$1000,
SMALL(
IF((MTIB!$Q$3:$Q$1000&lt;&gt;"")*(MTIB!$Q$3:$Q$1000&lt;&gt;"Not Due"),
ROW(MTIB!$Q$3:$Q$1000)-ROW(MTIB!$Q$3)+1),
ROWS(A$2:A36))),"")</f>
        <v/>
      </c>
      <c r="L36" s="116" t="str" cm="1">
        <f t="array" aca="1" ref="L36" ca="1">IFERROR(INDEX(MTIB!$G$3:$G$1000,
SMALL(
IF((MTIB!$Q$3:$Q$1000&lt;&gt;"")*(MTIB!$Q$3:$Q$1000&lt;&gt;"Not Due"),
ROW(MTIB!$Q$3:$Q$1000)-ROW(MTIB!$Q$3)+1),
ROWS(A$2:A36))),"")</f>
        <v/>
      </c>
      <c r="M36" s="88" t="str" cm="1">
        <f t="array" aca="1" ref="M36" ca="1">IFERROR(INDEX(MTIB!$Q$3:$Q$1000,
SMALL(
IF((MTIB!$Q$3:$Q$1000&lt;&gt;"")*(MTIB!$Q$3:$Q$1000&lt;&gt;"Not Due"),
ROW(MTIB!$Q$3:$Q$1000)-ROW(MTIB!$Q$3)+1),
ROWS(A$2:A36))
),"")</f>
        <v/>
      </c>
      <c r="O36" s="115">
        <v>35</v>
      </c>
      <c r="P36" s="120" t="str" cm="1">
        <f t="array" aca="1" ref="P36" ca="1">IFERROR(INDEX(MPOB!$E$3:$E$1000,
SMALL(
IF((MPOB!$Q$3:$Q$1000&lt;&gt;"")*(MPOB!$Q$3:$Q$1000&lt;&gt;"Not Due"),
ROW(MPOB!$Q$3:$Q$1000)-ROW(MPOB!$Q$3)+1),
ROWS(A$2:A36))),"")</f>
        <v>MPOB</v>
      </c>
      <c r="Q36" s="115" t="str" cm="1">
        <f t="array" aca="1" ref="Q36" ca="1">IFERROR(INDEX(MPOB!$B$3:$B$1000,
SMALL(
IF((MPOB!$Q$3:$Q$1000&lt;&gt;"")*(MPOB!$Q$3:$Q$1000&lt;&gt;"Not Due"),
ROW(MPOB!$Q$3:$Q$1000)-ROW(MPOB!$Q$3)+1),
ROWS(A$2:A36))),"")</f>
        <v>T/2026/00360</v>
      </c>
      <c r="R36" s="115" t="str" cm="1">
        <f t="array" aca="1" ref="R36" ca="1">IFERROR(INDEX(MPOB!$D$3:$D$1000,
SMALL(
IF((MPOB!$Q$3:$Q$1000&lt;&gt;"")*(MPOB!$Q$3:$Q$1000&lt;&gt;"Not Due"),
ROW(MPOB!$Q$3:$Q$1000)-ROW(MPOB!$Q$3)+1),
ROWS(A$2:A36))),"")</f>
        <v>MyProcurement</v>
      </c>
      <c r="S36" s="116" t="str" cm="1">
        <f t="array" aca="1" ref="S36" ca="1">IFERROR(INDEX(MPOB!$G$3:$G$1000,
SMALL(
IF((MPOB!$Q$3:$Q$1000&lt;&gt;"")*(MPOB!$Q$3:$Q$1000&lt;&gt;"Not Due"),
ROW(MPOB!$Q$3:$Q$1000)-ROW(MPOB!$Q$3)+1),
ROWS(A$2:A36))),"")</f>
        <v>LPO/FMDD0522/0426/00033 - TOONG STAR SDN BHD. NO. PO INI TAK ADA DALAM PENGESAHAN PENERIMAN .</v>
      </c>
      <c r="T36" s="88" t="str" cm="1">
        <f t="array" aca="1" ref="T36" ca="1">IFERROR(INDEX(MPOB!$Q$3:$Q$1000,
SMALL(
IF((MPOB!$Q$3:$Q$1000&lt;&gt;"")*(MPOB!$Q$3:$Q$1000&lt;&gt;"Not Due"),
ROW(MPOB!$Q$3:$Q$1000)-ROW(MPOB!$Q$3)+1),
ROWS(A$2:A36))
),"")</f>
        <v>31-60 Days</v>
      </c>
      <c r="V36" s="115">
        <v>35</v>
      </c>
      <c r="W36" s="121" t="str" cm="1">
        <f t="array" aca="1" ref="W36" ca="1">IFERROR(INDEX(LKTN!$E$3:$E$1000,
SMALL(
IF((LKTN!$Q$3:$Q$1000&lt;&gt;"")*(LKTN!$Q$3:$Q$1000&lt;&gt;"Not Due"),
ROW(LKTN!$Q$3:$Q$1000)-ROW(LKTN!$Q$3)+1),
ROWS(A$2:A36))),"")</f>
        <v/>
      </c>
      <c r="X36" s="115" t="str" cm="1">
        <f t="array" aca="1" ref="X36" ca="1">IFERROR(INDEX(LKTN!$B$3:$B$1000,
SMALL(
IF((LKTN!$Q$3:$Q$1000&lt;&gt;"")*(LKTN!$Q$3:$Q$1000&lt;&gt;"Not Due"),
ROW(LKTN!$Q$3:$Q$1000)-ROW(LKTN!$Q$3)+1),
ROWS(A$2:A36))),"")</f>
        <v/>
      </c>
      <c r="Y36" s="115" t="str" cm="1">
        <f t="array" aca="1" ref="Y36" ca="1">IFERROR(INDEX(LKTN!$D$3:$D$1000,
SMALL(
IF((LKTN!$Q$3:$Q$1000&lt;&gt;"")*(LKTN!$Q$3:$Q$1000&lt;&gt;"Not Due"),
ROW(LKTN!$Q$3:$Q$1000)-ROW(LKTN!$Q$3)+1),
ROWS(A$2:A36))),"")</f>
        <v/>
      </c>
      <c r="Z36" s="116"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5">
        <v>35</v>
      </c>
      <c r="AK36" s="123" t="str" cm="1">
        <f t="array" aca="1" ref="AK36" ca="1">IFERROR(INDEX(ISN!$E$3:$E$1000,
SMALL(
IF((ISN!$Q$3:$Q$1000&lt;&gt;"")*(ISN!$Q$3:$Q$1000&lt;&gt;"Not Due"),
ROW(ISN!$Q$3:$Q$1000)-ROW(ISN!$Q$3)+1),
ROWS(A$2:A36))),"")</f>
        <v/>
      </c>
      <c r="AL36" s="115" t="str" cm="1">
        <f t="array" aca="1" ref="AL36" ca="1">IFERROR(INDEX(ISN!$B$3:$B$1000,
SMALL(
IF((ISN!$Q$3:$Q$1000&lt;&gt;"")*(ISN!$Q$3:$Q$1000&lt;&gt;"Not Due"),
ROW(ISN!$Q$3:$Q$1000)-ROW(ISN!$Q$3)+1),
ROWS(A$2:A36))),"")</f>
        <v/>
      </c>
      <c r="AM36" s="116" t="str" cm="1">
        <f t="array" aca="1" ref="AM36" ca="1">IFERROR(INDEX(ISN!$D$3:$D$1000,
SMALL(
IF((ISN!$Q$3:$Q$1000&lt;&gt;"")*(ISN!$Q$3:$Q$1000&lt;&gt;"Not Due"),
ROW(ISN!$Q$3:$Q$1000)-ROW(ISN!$Q$3)+1),
ROWS(A$2:A36))),"")</f>
        <v/>
      </c>
      <c r="AN36" s="116"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5">
        <v>35</v>
      </c>
      <c r="AR36" s="124" t="str" cm="1">
        <f t="array" aca="1" ref="AR36" ca="1">IFERROR(INDEX(MSN!$E$3:$E$1000,
SMALL(
IF((MSN!$Q$3:$Q$1000&lt;&gt;"")*(MSN!$Q$3:$Q$1000&lt;&gt;"Not Due"),
ROW(MSN!$Q$3:$Q$1000)-ROW(MSN!$Q$3)+1),
ROWS(A$2:A36))),"")</f>
        <v/>
      </c>
      <c r="AS36" s="115" t="str" cm="1">
        <f t="array" aca="1" ref="AS36" ca="1">IFERROR(INDEX(MSN!$B$3:$B$1000,
SMALL(
IF((MSN!$Q$3:$Q$1000&lt;&gt;"")*(MSN!$Q$3:$Q$1000&lt;&gt;"Not Due"),
ROW(MSN!$Q$3:$Q$1000)-ROW(MSN!$Q$3)+1),
ROWS(A$2:A36))),"")</f>
        <v/>
      </c>
      <c r="AT36" s="115" t="str" cm="1">
        <f t="array" aca="1" ref="AT36" ca="1">IFERROR(INDEX(MSN!$D$3:$D$1000,
SMALL(
IF((MSN!$Q$3:$Q$1000&lt;&gt;"")*(MSN!$Q$3:$Q$1000&lt;&gt;"Not Due"),
ROW(MSN!$Q$3:$Q$1000)-ROW(MSN!$Q$3)+1),
ROWS(A$2:A36))),"")</f>
        <v/>
      </c>
      <c r="AU36" s="116"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124.8" x14ac:dyDescent="0.3">
      <c r="A37" s="115">
        <v>36</v>
      </c>
      <c r="B37" s="118" t="str" cm="1">
        <f t="array" aca="1" ref="B37" ca="1">IFERROR(INDEX(FRIM!$E$3:$E$1000,
SMALL(IF(FRIM!$Q$3:$Q$1000&lt;&gt;"",
ROW(FRIM!$Q$3:$Q$1000)-ROW(FRIM!$Q$3)+1),
ROWS(A$2:A37))),"")</f>
        <v/>
      </c>
      <c r="C37" s="116" t="str" cm="1">
        <f t="array" aca="1" ref="C37" ca="1">IFERROR(INDEX(FRIM!$B$3:$B$1000,
SMALL(IF(FRIM!$Q$3:$Q$1000&lt;&gt;"",
ROW(FRIM!$Q$3:$Q$1000)-ROW(FRIM!$Q$3)+1),
ROWS(A$2:A37))),"")</f>
        <v/>
      </c>
      <c r="D37" s="116" t="str" cm="1">
        <f t="array" aca="1" ref="D37" ca="1">IFERROR(INDEX(FRIM!$D$3:$D$1000,
SMALL(IF(FRIM!$Q$3:$Q$1000&lt;&gt;"",
ROW(FRIM!$Q$3:$Q$1000)-ROW(FRIM!$Q$3)+1),
ROWS(A$2:A37))),"")</f>
        <v/>
      </c>
      <c r="E37" s="116" t="str" cm="1">
        <f t="array" aca="1" ref="E37" ca="1">IFERROR(INDEX(FRIM!$G$3:$G$1000,
SMALL(IF(FRIM!$Q$3:$Q$1000&lt;&gt;"",
ROW(FRIM!$Q$3:$Q$1000)-ROW(FRIM!$Q$3)+1),
ROWS(A$2:A37))),"")</f>
        <v/>
      </c>
      <c r="F37" s="88" t="str" cm="1">
        <f t="array" aca="1" ref="F37" ca="1">IFERROR(INDEX(FRIM!$Q$3:$Q$1000,
SMALL(IF(FRIM!$Q$3:$Q$1000&lt;&gt;"",
ROW(FRIM!$Q$3:$Q$1000)-ROW(FRIM!$Q$3)+1),
ROWS(A$2:A37))),"")</f>
        <v/>
      </c>
      <c r="H37" s="115">
        <v>36</v>
      </c>
      <c r="I37" s="119" t="str" cm="1">
        <f t="array" aca="1" ref="I37" ca="1">IFERROR(INDEX(MTIB!$E$3:$E$1000,
SMALL(
IF((MTIB!$Q$3:$Q$1000&lt;&gt;"")*(MTIB!$Q$3:$Q$1000&lt;&gt;"Not Due"),
ROW(MTIB!$Q$3:$Q$1000)-ROW(MTIB!$Q$3)+1),
ROWS(A$2:A37))),"")</f>
        <v/>
      </c>
      <c r="J37" s="115" t="str" cm="1">
        <f t="array" aca="1" ref="J37" ca="1">IFERROR(INDEX(MTIB!$B$3:$B$1000,
SMALL(
IF((MTIB!$Q$3:$Q$1000&lt;&gt;"")*(MTIB!$Q$3:$Q$1000&lt;&gt;"Not Due"),
ROW(MTIB!$Q$3:$Q$1000)-ROW(MTIB!$Q$3)+1),
ROWS(A$2:A37))),"")</f>
        <v/>
      </c>
      <c r="K37" s="115" t="str" cm="1">
        <f t="array" aca="1" ref="K37" ca="1">IFERROR(INDEX(MTIB!$D$3:$D$1000,
SMALL(
IF((MTIB!$Q$3:$Q$1000&lt;&gt;"")*(MTIB!$Q$3:$Q$1000&lt;&gt;"Not Due"),
ROW(MTIB!$Q$3:$Q$1000)-ROW(MTIB!$Q$3)+1),
ROWS(A$2:A37))),"")</f>
        <v/>
      </c>
      <c r="L37" s="116" t="str" cm="1">
        <f t="array" aca="1" ref="L37" ca="1">IFERROR(INDEX(MTIB!$G$3:$G$1000,
SMALL(
IF((MTIB!$Q$3:$Q$1000&lt;&gt;"")*(MTIB!$Q$3:$Q$1000&lt;&gt;"Not Due"),
ROW(MTIB!$Q$3:$Q$1000)-ROW(MTIB!$Q$3)+1),
ROWS(A$2:A37))),"")</f>
        <v/>
      </c>
      <c r="M37" s="88" t="str" cm="1">
        <f t="array" aca="1" ref="M37" ca="1">IFERROR(INDEX(MTIB!$Q$3:$Q$1000,
SMALL(
IF((MTIB!$Q$3:$Q$1000&lt;&gt;"")*(MTIB!$Q$3:$Q$1000&lt;&gt;"Not Due"),
ROW(MTIB!$Q$3:$Q$1000)-ROW(MTIB!$Q$3)+1),
ROWS(A$2:A37))
),"")</f>
        <v/>
      </c>
      <c r="O37" s="115">
        <v>36</v>
      </c>
      <c r="P37" s="120" t="str" cm="1">
        <f t="array" aca="1" ref="P37" ca="1">IFERROR(INDEX(MPOB!$E$3:$E$1000,
SMALL(
IF((MPOB!$Q$3:$Q$1000&lt;&gt;"")*(MPOB!$Q$3:$Q$1000&lt;&gt;"Not Due"),
ROW(MPOB!$Q$3:$Q$1000)-ROW(MPOB!$Q$3)+1),
ROWS(A$2:A37))),"")</f>
        <v>MPOB</v>
      </c>
      <c r="Q37" s="115" t="str" cm="1">
        <f t="array" aca="1" ref="Q37" ca="1">IFERROR(INDEX(MPOB!$B$3:$B$1000,
SMALL(
IF((MPOB!$Q$3:$Q$1000&lt;&gt;"")*(MPOB!$Q$3:$Q$1000&lt;&gt;"Not Due"),
ROW(MPOB!$Q$3:$Q$1000)-ROW(MPOB!$Q$3)+1),
ROWS(A$2:A37))),"")</f>
        <v>T/2026/00364</v>
      </c>
      <c r="R37" s="115" t="str" cm="1">
        <f t="array" aca="1" ref="R37" ca="1">IFERROR(INDEX(MPOB!$D$3:$D$1000,
SMALL(
IF((MPOB!$Q$3:$Q$1000&lt;&gt;"")*(MPOB!$Q$3:$Q$1000&lt;&gt;"Not Due"),
ROW(MPOB!$Q$3:$Q$1000)-ROW(MPOB!$Q$3)+1),
ROWS(A$2:A37))),"")</f>
        <v>MyFinancial</v>
      </c>
      <c r="S37" s="116" t="str" cm="1">
        <f t="array" aca="1" ref="S37" ca="1">IFERROR(INDEX(MPOB!$G$3:$G$1000,
SMALL(
IF((MPOB!$Q$3:$Q$1000&lt;&gt;"")*(MPOB!$Q$3:$Q$1000&lt;&gt;"Not Due"),
ROW(MPOB!$Q$3:$Q$1000)-ROW(MPOB!$Q$3)+1),
ROWS(A$2:A37))),"")</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37" s="88" t="str" cm="1">
        <f t="array" aca="1" ref="T37" ca="1">IFERROR(INDEX(MPOB!$Q$3:$Q$1000,
SMALL(
IF((MPOB!$Q$3:$Q$1000&lt;&gt;"")*(MPOB!$Q$3:$Q$1000&lt;&gt;"Not Due"),
ROW(MPOB!$Q$3:$Q$1000)-ROW(MPOB!$Q$3)+1),
ROWS(A$2:A37))
),"")</f>
        <v>31-60 Days</v>
      </c>
      <c r="V37" s="115">
        <v>36</v>
      </c>
      <c r="W37" s="121" t="str" cm="1">
        <f t="array" aca="1" ref="W37" ca="1">IFERROR(INDEX(LKTN!$E$3:$E$1000,
SMALL(
IF((LKTN!$Q$3:$Q$1000&lt;&gt;"")*(LKTN!$Q$3:$Q$1000&lt;&gt;"Not Due"),
ROW(LKTN!$Q$3:$Q$1000)-ROW(LKTN!$Q$3)+1),
ROWS(A$2:A37))),"")</f>
        <v/>
      </c>
      <c r="X37" s="115" t="str" cm="1">
        <f t="array" aca="1" ref="X37" ca="1">IFERROR(INDEX(LKTN!$B$3:$B$1000,
SMALL(
IF((LKTN!$Q$3:$Q$1000&lt;&gt;"")*(LKTN!$Q$3:$Q$1000&lt;&gt;"Not Due"),
ROW(LKTN!$Q$3:$Q$1000)-ROW(LKTN!$Q$3)+1),
ROWS(A$2:A37))),"")</f>
        <v/>
      </c>
      <c r="Y37" s="115" t="str" cm="1">
        <f t="array" aca="1" ref="Y37" ca="1">IFERROR(INDEX(LKTN!$D$3:$D$1000,
SMALL(
IF((LKTN!$Q$3:$Q$1000&lt;&gt;"")*(LKTN!$Q$3:$Q$1000&lt;&gt;"Not Due"),
ROW(LKTN!$Q$3:$Q$1000)-ROW(LKTN!$Q$3)+1),
ROWS(A$2:A37))),"")</f>
        <v/>
      </c>
      <c r="Z37" s="116"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5">
        <v>36</v>
      </c>
      <c r="AK37" s="123" t="str" cm="1">
        <f t="array" aca="1" ref="AK37" ca="1">IFERROR(INDEX(ISN!$E$3:$E$1000,
SMALL(
IF((ISN!$Q$3:$Q$1000&lt;&gt;"")*(ISN!$Q$3:$Q$1000&lt;&gt;"Not Due"),
ROW(ISN!$Q$3:$Q$1000)-ROW(ISN!$Q$3)+1),
ROWS(A$2:A37))),"")</f>
        <v/>
      </c>
      <c r="AL37" s="115" t="str" cm="1">
        <f t="array" aca="1" ref="AL37" ca="1">IFERROR(INDEX(ISN!$B$3:$B$1000,
SMALL(
IF((ISN!$Q$3:$Q$1000&lt;&gt;"")*(ISN!$Q$3:$Q$1000&lt;&gt;"Not Due"),
ROW(ISN!$Q$3:$Q$1000)-ROW(ISN!$Q$3)+1),
ROWS(A$2:A37))),"")</f>
        <v/>
      </c>
      <c r="AM37" s="116" t="str" cm="1">
        <f t="array" aca="1" ref="AM37" ca="1">IFERROR(INDEX(ISN!$D$3:$D$1000,
SMALL(
IF((ISN!$Q$3:$Q$1000&lt;&gt;"")*(ISN!$Q$3:$Q$1000&lt;&gt;"Not Due"),
ROW(ISN!$Q$3:$Q$1000)-ROW(ISN!$Q$3)+1),
ROWS(A$2:A37))),"")</f>
        <v/>
      </c>
      <c r="AN37" s="116"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5">
        <v>36</v>
      </c>
      <c r="AR37" s="124" t="str" cm="1">
        <f t="array" aca="1" ref="AR37" ca="1">IFERROR(INDEX(MSN!$E$3:$E$1000,
SMALL(
IF((MSN!$Q$3:$Q$1000&lt;&gt;"")*(MSN!$Q$3:$Q$1000&lt;&gt;"Not Due"),
ROW(MSN!$Q$3:$Q$1000)-ROW(MSN!$Q$3)+1),
ROWS(A$2:A37))),"")</f>
        <v/>
      </c>
      <c r="AS37" s="115" t="str" cm="1">
        <f t="array" aca="1" ref="AS37" ca="1">IFERROR(INDEX(MSN!$B$3:$B$1000,
SMALL(
IF((MSN!$Q$3:$Q$1000&lt;&gt;"")*(MSN!$Q$3:$Q$1000&lt;&gt;"Not Due"),
ROW(MSN!$Q$3:$Q$1000)-ROW(MSN!$Q$3)+1),
ROWS(A$2:A37))),"")</f>
        <v/>
      </c>
      <c r="AT37" s="115" t="str" cm="1">
        <f t="array" aca="1" ref="AT37" ca="1">IFERROR(INDEX(MSN!$D$3:$D$1000,
SMALL(
IF((MSN!$Q$3:$Q$1000&lt;&gt;"")*(MSN!$Q$3:$Q$1000&lt;&gt;"Not Due"),
ROW(MSN!$Q$3:$Q$1000)-ROW(MSN!$Q$3)+1),
ROWS(A$2:A37))),"")</f>
        <v/>
      </c>
      <c r="AU37" s="116"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x14ac:dyDescent="0.3">
      <c r="A38" s="115">
        <v>37</v>
      </c>
      <c r="B38" s="118" t="str" cm="1">
        <f t="array" aca="1" ref="B38" ca="1">IFERROR(INDEX(FRIM!$E$3:$E$1000,
SMALL(IF(FRIM!$Q$3:$Q$1000&lt;&gt;"",
ROW(FRIM!$Q$3:$Q$1000)-ROW(FRIM!$Q$3)+1),
ROWS(A$2:A38))),"")</f>
        <v/>
      </c>
      <c r="C38" s="116" t="str" cm="1">
        <f t="array" aca="1" ref="C38" ca="1">IFERROR(INDEX(FRIM!$B$3:$B$1000,
SMALL(IF(FRIM!$Q$3:$Q$1000&lt;&gt;"",
ROW(FRIM!$Q$3:$Q$1000)-ROW(FRIM!$Q$3)+1),
ROWS(A$2:A38))),"")</f>
        <v/>
      </c>
      <c r="D38" s="116" t="str" cm="1">
        <f t="array" aca="1" ref="D38" ca="1">IFERROR(INDEX(FRIM!$D$3:$D$1000,
SMALL(IF(FRIM!$Q$3:$Q$1000&lt;&gt;"",
ROW(FRIM!$Q$3:$Q$1000)-ROW(FRIM!$Q$3)+1),
ROWS(A$2:A38))),"")</f>
        <v/>
      </c>
      <c r="E38" s="116" t="str" cm="1">
        <f t="array" aca="1" ref="E38" ca="1">IFERROR(INDEX(FRIM!$G$3:$G$1000,
SMALL(IF(FRIM!$Q$3:$Q$1000&lt;&gt;"",
ROW(FRIM!$Q$3:$Q$1000)-ROW(FRIM!$Q$3)+1),
ROWS(A$2:A38))),"")</f>
        <v/>
      </c>
      <c r="F38" s="88" t="str" cm="1">
        <f t="array" aca="1" ref="F38" ca="1">IFERROR(INDEX(FRIM!$Q$3:$Q$1000,
SMALL(IF(FRIM!$Q$3:$Q$1000&lt;&gt;"",
ROW(FRIM!$Q$3:$Q$1000)-ROW(FRIM!$Q$3)+1),
ROWS(A$2:A38))),"")</f>
        <v/>
      </c>
      <c r="H38" s="115">
        <v>37</v>
      </c>
      <c r="I38" s="119" t="str" cm="1">
        <f t="array" aca="1" ref="I38" ca="1">IFERROR(INDEX(MTIB!$E$3:$E$1000,
SMALL(
IF((MTIB!$Q$3:$Q$1000&lt;&gt;"")*(MTIB!$Q$3:$Q$1000&lt;&gt;"Not Due"),
ROW(MTIB!$Q$3:$Q$1000)-ROW(MTIB!$Q$3)+1),
ROWS(A$2:A38))),"")</f>
        <v/>
      </c>
      <c r="J38" s="115" t="str" cm="1">
        <f t="array" aca="1" ref="J38" ca="1">IFERROR(INDEX(MTIB!$B$3:$B$1000,
SMALL(
IF((MTIB!$Q$3:$Q$1000&lt;&gt;"")*(MTIB!$Q$3:$Q$1000&lt;&gt;"Not Due"),
ROW(MTIB!$Q$3:$Q$1000)-ROW(MTIB!$Q$3)+1),
ROWS(A$2:A38))),"")</f>
        <v/>
      </c>
      <c r="K38" s="115" t="str" cm="1">
        <f t="array" aca="1" ref="K38" ca="1">IFERROR(INDEX(MTIB!$D$3:$D$1000,
SMALL(
IF((MTIB!$Q$3:$Q$1000&lt;&gt;"")*(MTIB!$Q$3:$Q$1000&lt;&gt;"Not Due"),
ROW(MTIB!$Q$3:$Q$1000)-ROW(MTIB!$Q$3)+1),
ROWS(A$2:A38))),"")</f>
        <v/>
      </c>
      <c r="L38" s="116" t="str" cm="1">
        <f t="array" aca="1" ref="L38" ca="1">IFERROR(INDEX(MTIB!$G$3:$G$1000,
SMALL(
IF((MTIB!$Q$3:$Q$1000&lt;&gt;"")*(MTIB!$Q$3:$Q$1000&lt;&gt;"Not Due"),
ROW(MTIB!$Q$3:$Q$1000)-ROW(MTIB!$Q$3)+1),
ROWS(A$2:A38))),"")</f>
        <v/>
      </c>
      <c r="M38" s="88" t="str" cm="1">
        <f t="array" aca="1" ref="M38" ca="1">IFERROR(INDEX(MTIB!$Q$3:$Q$1000,
SMALL(
IF((MTIB!$Q$3:$Q$1000&lt;&gt;"")*(MTIB!$Q$3:$Q$1000&lt;&gt;"Not Due"),
ROW(MTIB!$Q$3:$Q$1000)-ROW(MTIB!$Q$3)+1),
ROWS(A$2:A38))
),"")</f>
        <v/>
      </c>
      <c r="O38" s="115">
        <v>37</v>
      </c>
      <c r="P38" s="120" t="str" cm="1">
        <f t="array" aca="1" ref="P38" ca="1">IFERROR(INDEX(MPOB!$E$3:$E$1000,
SMALL(
IF((MPOB!$Q$3:$Q$1000&lt;&gt;"")*(MPOB!$Q$3:$Q$1000&lt;&gt;"Not Due"),
ROW(MPOB!$Q$3:$Q$1000)-ROW(MPOB!$Q$3)+1),
ROWS(A$2:A38))),"")</f>
        <v>MPOB</v>
      </c>
      <c r="Q38" s="115" t="str" cm="1">
        <f t="array" aca="1" ref="Q38" ca="1">IFERROR(INDEX(MPOB!$B$3:$B$1000,
SMALL(
IF((MPOB!$Q$3:$Q$1000&lt;&gt;"")*(MPOB!$Q$3:$Q$1000&lt;&gt;"Not Due"),
ROW(MPOB!$Q$3:$Q$1000)-ROW(MPOB!$Q$3)+1),
ROWS(A$2:A38))),"")</f>
        <v>T/2026/00365</v>
      </c>
      <c r="R38" s="115" t="str" cm="1">
        <f t="array" aca="1" ref="R38" ca="1">IFERROR(INDEX(MPOB!$D$3:$D$1000,
SMALL(
IF((MPOB!$Q$3:$Q$1000&lt;&gt;"")*(MPOB!$Q$3:$Q$1000&lt;&gt;"Not Due"),
ROW(MPOB!$Q$3:$Q$1000)-ROW(MPOB!$Q$3)+1),
ROWS(A$2:A38))),"")</f>
        <v>MyAsset</v>
      </c>
      <c r="S38" s="116" t="str" cm="1">
        <f t="array" aca="1" ref="S38" ca="1">IFERROR(INDEX(MPOB!$G$3:$G$1000,
SMALL(
IF((MPOB!$Q$3:$Q$1000&lt;&gt;"")*(MPOB!$Q$3:$Q$1000&lt;&gt;"Not Due"),
ROW(MPOB!$Q$3:$Q$1000)-ROW(MPOB!$Q$3)+1),
ROWS(A$2:A38))),"")</f>
        <v>tak boleh nak daftar aset, TERIMAAN ASSET</v>
      </c>
      <c r="T38" s="88" t="str" cm="1">
        <f t="array" aca="1" ref="T38" ca="1">IFERROR(INDEX(MPOB!$Q$3:$Q$1000,
SMALL(
IF((MPOB!$Q$3:$Q$1000&lt;&gt;"")*(MPOB!$Q$3:$Q$1000&lt;&gt;"Not Due"),
ROW(MPOB!$Q$3:$Q$1000)-ROW(MPOB!$Q$3)+1),
ROWS(A$2:A38))
),"")</f>
        <v>31-60 Days</v>
      </c>
      <c r="V38" s="115">
        <v>37</v>
      </c>
      <c r="W38" s="121" t="str" cm="1">
        <f t="array" aca="1" ref="W38" ca="1">IFERROR(INDEX(LKTN!$E$3:$E$1000,
SMALL(
IF((LKTN!$Q$3:$Q$1000&lt;&gt;"")*(LKTN!$Q$3:$Q$1000&lt;&gt;"Not Due"),
ROW(LKTN!$Q$3:$Q$1000)-ROW(LKTN!$Q$3)+1),
ROWS(A$2:A38))),"")</f>
        <v/>
      </c>
      <c r="X38" s="115" t="str" cm="1">
        <f t="array" aca="1" ref="X38" ca="1">IFERROR(INDEX(LKTN!$B$3:$B$1000,
SMALL(
IF((LKTN!$Q$3:$Q$1000&lt;&gt;"")*(LKTN!$Q$3:$Q$1000&lt;&gt;"Not Due"),
ROW(LKTN!$Q$3:$Q$1000)-ROW(LKTN!$Q$3)+1),
ROWS(A$2:A38))),"")</f>
        <v/>
      </c>
      <c r="Y38" s="115" t="str" cm="1">
        <f t="array" aca="1" ref="Y38" ca="1">IFERROR(INDEX(LKTN!$D$3:$D$1000,
SMALL(
IF((LKTN!$Q$3:$Q$1000&lt;&gt;"")*(LKTN!$Q$3:$Q$1000&lt;&gt;"Not Due"),
ROW(LKTN!$Q$3:$Q$1000)-ROW(LKTN!$Q$3)+1),
ROWS(A$2:A38))),"")</f>
        <v/>
      </c>
      <c r="Z38" s="116"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5">
        <v>37</v>
      </c>
      <c r="AK38" s="123" t="str" cm="1">
        <f t="array" aca="1" ref="AK38" ca="1">IFERROR(INDEX(ISN!$E$3:$E$1000,
SMALL(
IF((ISN!$Q$3:$Q$1000&lt;&gt;"")*(ISN!$Q$3:$Q$1000&lt;&gt;"Not Due"),
ROW(ISN!$Q$3:$Q$1000)-ROW(ISN!$Q$3)+1),
ROWS(A$2:A38))),"")</f>
        <v/>
      </c>
      <c r="AL38" s="115" t="str" cm="1">
        <f t="array" aca="1" ref="AL38" ca="1">IFERROR(INDEX(ISN!$B$3:$B$1000,
SMALL(
IF((ISN!$Q$3:$Q$1000&lt;&gt;"")*(ISN!$Q$3:$Q$1000&lt;&gt;"Not Due"),
ROW(ISN!$Q$3:$Q$1000)-ROW(ISN!$Q$3)+1),
ROWS(A$2:A38))),"")</f>
        <v/>
      </c>
      <c r="AM38" s="116" t="str" cm="1">
        <f t="array" aca="1" ref="AM38" ca="1">IFERROR(INDEX(ISN!$D$3:$D$1000,
SMALL(
IF((ISN!$Q$3:$Q$1000&lt;&gt;"")*(ISN!$Q$3:$Q$1000&lt;&gt;"Not Due"),
ROW(ISN!$Q$3:$Q$1000)-ROW(ISN!$Q$3)+1),
ROWS(A$2:A38))),"")</f>
        <v/>
      </c>
      <c r="AN38" s="116"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5">
        <v>37</v>
      </c>
      <c r="AR38" s="124" t="str" cm="1">
        <f t="array" aca="1" ref="AR38" ca="1">IFERROR(INDEX(MSN!$E$3:$E$1000,
SMALL(
IF((MSN!$Q$3:$Q$1000&lt;&gt;"")*(MSN!$Q$3:$Q$1000&lt;&gt;"Not Due"),
ROW(MSN!$Q$3:$Q$1000)-ROW(MSN!$Q$3)+1),
ROWS(A$2:A38))),"")</f>
        <v/>
      </c>
      <c r="AS38" s="115" t="str" cm="1">
        <f t="array" aca="1" ref="AS38" ca="1">IFERROR(INDEX(MSN!$B$3:$B$1000,
SMALL(
IF((MSN!$Q$3:$Q$1000&lt;&gt;"")*(MSN!$Q$3:$Q$1000&lt;&gt;"Not Due"),
ROW(MSN!$Q$3:$Q$1000)-ROW(MSN!$Q$3)+1),
ROWS(A$2:A38))),"")</f>
        <v/>
      </c>
      <c r="AT38" s="115" t="str" cm="1">
        <f t="array" aca="1" ref="AT38" ca="1">IFERROR(INDEX(MSN!$D$3:$D$1000,
SMALL(
IF((MSN!$Q$3:$Q$1000&lt;&gt;"")*(MSN!$Q$3:$Q$1000&lt;&gt;"Not Due"),
ROW(MSN!$Q$3:$Q$1000)-ROW(MSN!$Q$3)+1),
ROWS(A$2:A38))),"")</f>
        <v/>
      </c>
      <c r="AU38" s="116"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x14ac:dyDescent="0.3">
      <c r="A39" s="115">
        <v>38</v>
      </c>
      <c r="B39" s="118" t="str" cm="1">
        <f t="array" aca="1" ref="B39" ca="1">IFERROR(INDEX(FRIM!$E$3:$E$1000,
SMALL(IF(FRIM!$Q$3:$Q$1000&lt;&gt;"",
ROW(FRIM!$Q$3:$Q$1000)-ROW(FRIM!$Q$3)+1),
ROWS(A$2:A39))),"")</f>
        <v/>
      </c>
      <c r="C39" s="116" t="str" cm="1">
        <f t="array" aca="1" ref="C39" ca="1">IFERROR(INDEX(FRIM!$B$3:$B$1000,
SMALL(IF(FRIM!$Q$3:$Q$1000&lt;&gt;"",
ROW(FRIM!$Q$3:$Q$1000)-ROW(FRIM!$Q$3)+1),
ROWS(A$2:A39))),"")</f>
        <v/>
      </c>
      <c r="D39" s="116" t="str" cm="1">
        <f t="array" aca="1" ref="D39" ca="1">IFERROR(INDEX(FRIM!$D$3:$D$1000,
SMALL(IF(FRIM!$Q$3:$Q$1000&lt;&gt;"",
ROW(FRIM!$Q$3:$Q$1000)-ROW(FRIM!$Q$3)+1),
ROWS(A$2:A39))),"")</f>
        <v/>
      </c>
      <c r="E39" s="116" t="str" cm="1">
        <f t="array" aca="1" ref="E39" ca="1">IFERROR(INDEX(FRIM!$G$3:$G$1000,
SMALL(IF(FRIM!$Q$3:$Q$1000&lt;&gt;"",
ROW(FRIM!$Q$3:$Q$1000)-ROW(FRIM!$Q$3)+1),
ROWS(A$2:A39))),"")</f>
        <v/>
      </c>
      <c r="F39" s="88" t="str" cm="1">
        <f t="array" aca="1" ref="F39" ca="1">IFERROR(INDEX(FRIM!$Q$3:$Q$1000,
SMALL(IF(FRIM!$Q$3:$Q$1000&lt;&gt;"",
ROW(FRIM!$Q$3:$Q$1000)-ROW(FRIM!$Q$3)+1),
ROWS(A$2:A39))),"")</f>
        <v/>
      </c>
      <c r="H39" s="115">
        <v>38</v>
      </c>
      <c r="I39" s="119" t="str" cm="1">
        <f t="array" aca="1" ref="I39" ca="1">IFERROR(INDEX(MTIB!$E$3:$E$1000,
SMALL(
IF((MTIB!$Q$3:$Q$1000&lt;&gt;"")*(MTIB!$Q$3:$Q$1000&lt;&gt;"Not Due"),
ROW(MTIB!$Q$3:$Q$1000)-ROW(MTIB!$Q$3)+1),
ROWS(A$2:A39))),"")</f>
        <v/>
      </c>
      <c r="J39" s="115" t="str" cm="1">
        <f t="array" aca="1" ref="J39" ca="1">IFERROR(INDEX(MTIB!$B$3:$B$1000,
SMALL(
IF((MTIB!$Q$3:$Q$1000&lt;&gt;"")*(MTIB!$Q$3:$Q$1000&lt;&gt;"Not Due"),
ROW(MTIB!$Q$3:$Q$1000)-ROW(MTIB!$Q$3)+1),
ROWS(A$2:A39))),"")</f>
        <v/>
      </c>
      <c r="K39" s="115" t="str" cm="1">
        <f t="array" aca="1" ref="K39" ca="1">IFERROR(INDEX(MTIB!$D$3:$D$1000,
SMALL(
IF((MTIB!$Q$3:$Q$1000&lt;&gt;"")*(MTIB!$Q$3:$Q$1000&lt;&gt;"Not Due"),
ROW(MTIB!$Q$3:$Q$1000)-ROW(MTIB!$Q$3)+1),
ROWS(A$2:A39))),"")</f>
        <v/>
      </c>
      <c r="L39" s="116" t="str" cm="1">
        <f t="array" aca="1" ref="L39" ca="1">IFERROR(INDEX(MTIB!$G$3:$G$1000,
SMALL(
IF((MTIB!$Q$3:$Q$1000&lt;&gt;"")*(MTIB!$Q$3:$Q$1000&lt;&gt;"Not Due"),
ROW(MTIB!$Q$3:$Q$1000)-ROW(MTIB!$Q$3)+1),
ROWS(A$2:A39))),"")</f>
        <v/>
      </c>
      <c r="M39" s="88" t="str" cm="1">
        <f t="array" aca="1" ref="M39" ca="1">IFERROR(INDEX(MTIB!$Q$3:$Q$1000,
SMALL(
IF((MTIB!$Q$3:$Q$1000&lt;&gt;"")*(MTIB!$Q$3:$Q$1000&lt;&gt;"Not Due"),
ROW(MTIB!$Q$3:$Q$1000)-ROW(MTIB!$Q$3)+1),
ROWS(A$2:A39))
),"")</f>
        <v/>
      </c>
      <c r="O39" s="115">
        <v>38</v>
      </c>
      <c r="P39" s="120" t="str" cm="1">
        <f t="array" aca="1" ref="P39" ca="1">IFERROR(INDEX(MPOB!$E$3:$E$1000,
SMALL(
IF((MPOB!$Q$3:$Q$1000&lt;&gt;"")*(MPOB!$Q$3:$Q$1000&lt;&gt;"Not Due"),
ROW(MPOB!$Q$3:$Q$1000)-ROW(MPOB!$Q$3)+1),
ROWS(A$2:A39))),"")</f>
        <v/>
      </c>
      <c r="Q39" s="115" t="str" cm="1">
        <f t="array" aca="1" ref="Q39" ca="1">IFERROR(INDEX(MPOB!$B$3:$B$1000,
SMALL(
IF((MPOB!$Q$3:$Q$1000&lt;&gt;"")*(MPOB!$Q$3:$Q$1000&lt;&gt;"Not Due"),
ROW(MPOB!$Q$3:$Q$1000)-ROW(MPOB!$Q$3)+1),
ROWS(A$2:A39))),"")</f>
        <v/>
      </c>
      <c r="R39" s="115" t="str" cm="1">
        <f t="array" aca="1" ref="R39" ca="1">IFERROR(INDEX(MPOB!$D$3:$D$1000,
SMALL(
IF((MPOB!$Q$3:$Q$1000&lt;&gt;"")*(MPOB!$Q$3:$Q$1000&lt;&gt;"Not Due"),
ROW(MPOB!$Q$3:$Q$1000)-ROW(MPOB!$Q$3)+1),
ROWS(A$2:A39))),"")</f>
        <v/>
      </c>
      <c r="S39" s="116" t="str" cm="1">
        <f t="array" aca="1" ref="S39" ca="1">IFERROR(INDEX(MPOB!$G$3:$G$1000,
SMALL(
IF((MPOB!$Q$3:$Q$1000&lt;&gt;"")*(MPOB!$Q$3:$Q$1000&lt;&gt;"Not Due"),
ROW(MPOB!$Q$3:$Q$1000)-ROW(MPOB!$Q$3)+1),
ROWS(A$2:A39))),"")</f>
        <v/>
      </c>
      <c r="T39" s="88" t="str" cm="1">
        <f t="array" aca="1" ref="T39" ca="1">IFERROR(INDEX(MPOB!$Q$3:$Q$1000,
SMALL(
IF((MPOB!$Q$3:$Q$1000&lt;&gt;"")*(MPOB!$Q$3:$Q$1000&lt;&gt;"Not Due"),
ROW(MPOB!$Q$3:$Q$1000)-ROW(MPOB!$Q$3)+1),
ROWS(A$2:A39))
),"")</f>
        <v/>
      </c>
      <c r="V39" s="115">
        <v>38</v>
      </c>
      <c r="W39" s="121" t="str" cm="1">
        <f t="array" aca="1" ref="W39" ca="1">IFERROR(INDEX(LKTN!$E$3:$E$1000,
SMALL(
IF((LKTN!$Q$3:$Q$1000&lt;&gt;"")*(LKTN!$Q$3:$Q$1000&lt;&gt;"Not Due"),
ROW(LKTN!$Q$3:$Q$1000)-ROW(LKTN!$Q$3)+1),
ROWS(A$2:A39))),"")</f>
        <v/>
      </c>
      <c r="X39" s="115" t="str" cm="1">
        <f t="array" aca="1" ref="X39" ca="1">IFERROR(INDEX(LKTN!$B$3:$B$1000,
SMALL(
IF((LKTN!$Q$3:$Q$1000&lt;&gt;"")*(LKTN!$Q$3:$Q$1000&lt;&gt;"Not Due"),
ROW(LKTN!$Q$3:$Q$1000)-ROW(LKTN!$Q$3)+1),
ROWS(A$2:A39))),"")</f>
        <v/>
      </c>
      <c r="Y39" s="115" t="str" cm="1">
        <f t="array" aca="1" ref="Y39" ca="1">IFERROR(INDEX(LKTN!$D$3:$D$1000,
SMALL(
IF((LKTN!$Q$3:$Q$1000&lt;&gt;"")*(LKTN!$Q$3:$Q$1000&lt;&gt;"Not Due"),
ROW(LKTN!$Q$3:$Q$1000)-ROW(LKTN!$Q$3)+1),
ROWS(A$2:A39))),"")</f>
        <v/>
      </c>
      <c r="Z39" s="116"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5">
        <v>38</v>
      </c>
      <c r="AK39" s="123" t="str" cm="1">
        <f t="array" aca="1" ref="AK39" ca="1">IFERROR(INDEX(ISN!$E$3:$E$1000,
SMALL(
IF((ISN!$Q$3:$Q$1000&lt;&gt;"")*(ISN!$Q$3:$Q$1000&lt;&gt;"Not Due"),
ROW(ISN!$Q$3:$Q$1000)-ROW(ISN!$Q$3)+1),
ROWS(A$2:A39))),"")</f>
        <v/>
      </c>
      <c r="AL39" s="115" t="str" cm="1">
        <f t="array" aca="1" ref="AL39" ca="1">IFERROR(INDEX(ISN!$B$3:$B$1000,
SMALL(
IF((ISN!$Q$3:$Q$1000&lt;&gt;"")*(ISN!$Q$3:$Q$1000&lt;&gt;"Not Due"),
ROW(ISN!$Q$3:$Q$1000)-ROW(ISN!$Q$3)+1),
ROWS(A$2:A39))),"")</f>
        <v/>
      </c>
      <c r="AM39" s="116" t="str" cm="1">
        <f t="array" aca="1" ref="AM39" ca="1">IFERROR(INDEX(ISN!$D$3:$D$1000,
SMALL(
IF((ISN!$Q$3:$Q$1000&lt;&gt;"")*(ISN!$Q$3:$Q$1000&lt;&gt;"Not Due"),
ROW(ISN!$Q$3:$Q$1000)-ROW(ISN!$Q$3)+1),
ROWS(A$2:A39))),"")</f>
        <v/>
      </c>
      <c r="AN39" s="116"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5">
        <v>38</v>
      </c>
      <c r="AR39" s="124" t="str" cm="1">
        <f t="array" aca="1" ref="AR39" ca="1">IFERROR(INDEX(MSN!$E$3:$E$1000,
SMALL(
IF((MSN!$Q$3:$Q$1000&lt;&gt;"")*(MSN!$Q$3:$Q$1000&lt;&gt;"Not Due"),
ROW(MSN!$Q$3:$Q$1000)-ROW(MSN!$Q$3)+1),
ROWS(A$2:A39))),"")</f>
        <v/>
      </c>
      <c r="AS39" s="115" t="str" cm="1">
        <f t="array" aca="1" ref="AS39" ca="1">IFERROR(INDEX(MSN!$B$3:$B$1000,
SMALL(
IF((MSN!$Q$3:$Q$1000&lt;&gt;"")*(MSN!$Q$3:$Q$1000&lt;&gt;"Not Due"),
ROW(MSN!$Q$3:$Q$1000)-ROW(MSN!$Q$3)+1),
ROWS(A$2:A39))),"")</f>
        <v/>
      </c>
      <c r="AT39" s="115" t="str" cm="1">
        <f t="array" aca="1" ref="AT39" ca="1">IFERROR(INDEX(MSN!$D$3:$D$1000,
SMALL(
IF((MSN!$Q$3:$Q$1000&lt;&gt;"")*(MSN!$Q$3:$Q$1000&lt;&gt;"Not Due"),
ROW(MSN!$Q$3:$Q$1000)-ROW(MSN!$Q$3)+1),
ROWS(A$2:A39))),"")</f>
        <v/>
      </c>
      <c r="AU39" s="116"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5">
        <v>39</v>
      </c>
      <c r="B40" s="118" t="str" cm="1">
        <f t="array" aca="1" ref="B40" ca="1">IFERROR(INDEX(FRIM!$E$3:$E$1000,
SMALL(IF(FRIM!$Q$3:$Q$1000&lt;&gt;"",
ROW(FRIM!$Q$3:$Q$1000)-ROW(FRIM!$Q$3)+1),
ROWS(A$2:A40))),"")</f>
        <v/>
      </c>
      <c r="C40" s="116" t="str" cm="1">
        <f t="array" aca="1" ref="C40" ca="1">IFERROR(INDEX(FRIM!$B$3:$B$1000,
SMALL(IF(FRIM!$Q$3:$Q$1000&lt;&gt;"",
ROW(FRIM!$Q$3:$Q$1000)-ROW(FRIM!$Q$3)+1),
ROWS(A$2:A40))),"")</f>
        <v/>
      </c>
      <c r="D40" s="116" t="str" cm="1">
        <f t="array" aca="1" ref="D40" ca="1">IFERROR(INDEX(FRIM!$D$3:$D$1000,
SMALL(IF(FRIM!$Q$3:$Q$1000&lt;&gt;"",
ROW(FRIM!$Q$3:$Q$1000)-ROW(FRIM!$Q$3)+1),
ROWS(A$2:A40))),"")</f>
        <v/>
      </c>
      <c r="E40" s="116" t="str" cm="1">
        <f t="array" aca="1" ref="E40" ca="1">IFERROR(INDEX(FRIM!$G$3:$G$1000,
SMALL(IF(FRIM!$Q$3:$Q$1000&lt;&gt;"",
ROW(FRIM!$Q$3:$Q$1000)-ROW(FRIM!$Q$3)+1),
ROWS(A$2:A40))),"")</f>
        <v/>
      </c>
      <c r="F40" s="88" t="str" cm="1">
        <f t="array" aca="1" ref="F40" ca="1">IFERROR(INDEX(FRIM!$Q$3:$Q$1000,
SMALL(IF(FRIM!$Q$3:$Q$1000&lt;&gt;"",
ROW(FRIM!$Q$3:$Q$1000)-ROW(FRIM!$Q$3)+1),
ROWS(A$2:A40))),"")</f>
        <v/>
      </c>
      <c r="H40" s="115">
        <v>39</v>
      </c>
      <c r="I40" s="119" t="str" cm="1">
        <f t="array" aca="1" ref="I40" ca="1">IFERROR(INDEX(MTIB!$E$3:$E$1000,
SMALL(
IF((MTIB!$Q$3:$Q$1000&lt;&gt;"")*(MTIB!$Q$3:$Q$1000&lt;&gt;"Not Due"),
ROW(MTIB!$Q$3:$Q$1000)-ROW(MTIB!$Q$3)+1),
ROWS(A$2:A40))),"")</f>
        <v/>
      </c>
      <c r="J40" s="115" t="str" cm="1">
        <f t="array" aca="1" ref="J40" ca="1">IFERROR(INDEX(MTIB!$B$3:$B$1000,
SMALL(
IF((MTIB!$Q$3:$Q$1000&lt;&gt;"")*(MTIB!$Q$3:$Q$1000&lt;&gt;"Not Due"),
ROW(MTIB!$Q$3:$Q$1000)-ROW(MTIB!$Q$3)+1),
ROWS(A$2:A40))),"")</f>
        <v/>
      </c>
      <c r="K40" s="115" t="str" cm="1">
        <f t="array" aca="1" ref="K40" ca="1">IFERROR(INDEX(MTIB!$D$3:$D$1000,
SMALL(
IF((MTIB!$Q$3:$Q$1000&lt;&gt;"")*(MTIB!$Q$3:$Q$1000&lt;&gt;"Not Due"),
ROW(MTIB!$Q$3:$Q$1000)-ROW(MTIB!$Q$3)+1),
ROWS(A$2:A40))),"")</f>
        <v/>
      </c>
      <c r="L40" s="116" t="str" cm="1">
        <f t="array" aca="1" ref="L40" ca="1">IFERROR(INDEX(MTIB!$G$3:$G$1000,
SMALL(
IF((MTIB!$Q$3:$Q$1000&lt;&gt;"")*(MTIB!$Q$3:$Q$1000&lt;&gt;"Not Due"),
ROW(MTIB!$Q$3:$Q$1000)-ROW(MTIB!$Q$3)+1),
ROWS(A$2:A40))),"")</f>
        <v/>
      </c>
      <c r="M40" s="88" t="str" cm="1">
        <f t="array" aca="1" ref="M40" ca="1">IFERROR(INDEX(MTIB!$Q$3:$Q$1000,
SMALL(
IF((MTIB!$Q$3:$Q$1000&lt;&gt;"")*(MTIB!$Q$3:$Q$1000&lt;&gt;"Not Due"),
ROW(MTIB!$Q$3:$Q$1000)-ROW(MTIB!$Q$3)+1),
ROWS(A$2:A40))
),"")</f>
        <v/>
      </c>
      <c r="O40" s="115">
        <v>39</v>
      </c>
      <c r="P40" s="120" t="str" cm="1">
        <f t="array" aca="1" ref="P40" ca="1">IFERROR(INDEX(MPOB!$E$3:$E$1000,
SMALL(
IF((MPOB!$Q$3:$Q$1000&lt;&gt;"")*(MPOB!$Q$3:$Q$1000&lt;&gt;"Not Due"),
ROW(MPOB!$Q$3:$Q$1000)-ROW(MPOB!$Q$3)+1),
ROWS(A$2:A40))),"")</f>
        <v/>
      </c>
      <c r="Q40" s="115" t="str" cm="1">
        <f t="array" aca="1" ref="Q40" ca="1">IFERROR(INDEX(MPOB!$B$3:$B$1000,
SMALL(
IF((MPOB!$Q$3:$Q$1000&lt;&gt;"")*(MPOB!$Q$3:$Q$1000&lt;&gt;"Not Due"),
ROW(MPOB!$Q$3:$Q$1000)-ROW(MPOB!$Q$3)+1),
ROWS(A$2:A40))),"")</f>
        <v/>
      </c>
      <c r="R40" s="115" t="str" cm="1">
        <f t="array" aca="1" ref="R40" ca="1">IFERROR(INDEX(MPOB!$D$3:$D$1000,
SMALL(
IF((MPOB!$Q$3:$Q$1000&lt;&gt;"")*(MPOB!$Q$3:$Q$1000&lt;&gt;"Not Due"),
ROW(MPOB!$Q$3:$Q$1000)-ROW(MPOB!$Q$3)+1),
ROWS(A$2:A40))),"")</f>
        <v/>
      </c>
      <c r="S40" s="116" t="str" cm="1">
        <f t="array" aca="1" ref="S40" ca="1">IFERROR(INDEX(MPOB!$G$3:$G$1000,
SMALL(
IF((MPOB!$Q$3:$Q$1000&lt;&gt;"")*(MPOB!$Q$3:$Q$1000&lt;&gt;"Not Due"),
ROW(MPOB!$Q$3:$Q$1000)-ROW(MPOB!$Q$3)+1),
ROWS(A$2:A40))),"")</f>
        <v/>
      </c>
      <c r="T40" s="88" t="str" cm="1">
        <f t="array" aca="1" ref="T40" ca="1">IFERROR(INDEX(MPOB!$Q$3:$Q$1000,
SMALL(
IF((MPOB!$Q$3:$Q$1000&lt;&gt;"")*(MPOB!$Q$3:$Q$1000&lt;&gt;"Not Due"),
ROW(MPOB!$Q$3:$Q$1000)-ROW(MPOB!$Q$3)+1),
ROWS(A$2:A40))
),"")</f>
        <v/>
      </c>
      <c r="V40" s="115">
        <v>39</v>
      </c>
      <c r="W40" s="121" t="str" cm="1">
        <f t="array" aca="1" ref="W40" ca="1">IFERROR(INDEX(LKTN!$E$3:$E$1000,
SMALL(
IF((LKTN!$Q$3:$Q$1000&lt;&gt;"")*(LKTN!$Q$3:$Q$1000&lt;&gt;"Not Due"),
ROW(LKTN!$Q$3:$Q$1000)-ROW(LKTN!$Q$3)+1),
ROWS(A$2:A40))),"")</f>
        <v/>
      </c>
      <c r="X40" s="115" t="str" cm="1">
        <f t="array" aca="1" ref="X40" ca="1">IFERROR(INDEX(LKTN!$B$3:$B$1000,
SMALL(
IF((LKTN!$Q$3:$Q$1000&lt;&gt;"")*(LKTN!$Q$3:$Q$1000&lt;&gt;"Not Due"),
ROW(LKTN!$Q$3:$Q$1000)-ROW(LKTN!$Q$3)+1),
ROWS(A$2:A40))),"")</f>
        <v/>
      </c>
      <c r="Y40" s="115" t="str" cm="1">
        <f t="array" aca="1" ref="Y40" ca="1">IFERROR(INDEX(LKTN!$D$3:$D$1000,
SMALL(
IF((LKTN!$Q$3:$Q$1000&lt;&gt;"")*(LKTN!$Q$3:$Q$1000&lt;&gt;"Not Due"),
ROW(LKTN!$Q$3:$Q$1000)-ROW(LKTN!$Q$3)+1),
ROWS(A$2:A40))),"")</f>
        <v/>
      </c>
      <c r="Z40" s="116"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5">
        <v>39</v>
      </c>
      <c r="AK40" s="123" t="str" cm="1">
        <f t="array" aca="1" ref="AK40" ca="1">IFERROR(INDEX(ISN!$E$3:$E$1000,
SMALL(
IF((ISN!$Q$3:$Q$1000&lt;&gt;"")*(ISN!$Q$3:$Q$1000&lt;&gt;"Not Due"),
ROW(ISN!$Q$3:$Q$1000)-ROW(ISN!$Q$3)+1),
ROWS(A$2:A40))),"")</f>
        <v/>
      </c>
      <c r="AL40" s="115" t="str" cm="1">
        <f t="array" aca="1" ref="AL40" ca="1">IFERROR(INDEX(ISN!$B$3:$B$1000,
SMALL(
IF((ISN!$Q$3:$Q$1000&lt;&gt;"")*(ISN!$Q$3:$Q$1000&lt;&gt;"Not Due"),
ROW(ISN!$Q$3:$Q$1000)-ROW(ISN!$Q$3)+1),
ROWS(A$2:A40))),"")</f>
        <v/>
      </c>
      <c r="AM40" s="116" t="str" cm="1">
        <f t="array" aca="1" ref="AM40" ca="1">IFERROR(INDEX(ISN!$D$3:$D$1000,
SMALL(
IF((ISN!$Q$3:$Q$1000&lt;&gt;"")*(ISN!$Q$3:$Q$1000&lt;&gt;"Not Due"),
ROW(ISN!$Q$3:$Q$1000)-ROW(ISN!$Q$3)+1),
ROWS(A$2:A40))),"")</f>
        <v/>
      </c>
      <c r="AN40" s="116"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5">
        <v>39</v>
      </c>
      <c r="AR40" s="124" t="str" cm="1">
        <f t="array" aca="1" ref="AR40" ca="1">IFERROR(INDEX(MSN!$E$3:$E$1000,
SMALL(
IF((MSN!$Q$3:$Q$1000&lt;&gt;"")*(MSN!$Q$3:$Q$1000&lt;&gt;"Not Due"),
ROW(MSN!$Q$3:$Q$1000)-ROW(MSN!$Q$3)+1),
ROWS(A$2:A40))),"")</f>
        <v/>
      </c>
      <c r="AS40" s="115" t="str" cm="1">
        <f t="array" aca="1" ref="AS40" ca="1">IFERROR(INDEX(MSN!$B$3:$B$1000,
SMALL(
IF((MSN!$Q$3:$Q$1000&lt;&gt;"")*(MSN!$Q$3:$Q$1000&lt;&gt;"Not Due"),
ROW(MSN!$Q$3:$Q$1000)-ROW(MSN!$Q$3)+1),
ROWS(A$2:A40))),"")</f>
        <v/>
      </c>
      <c r="AT40" s="115" t="str" cm="1">
        <f t="array" aca="1" ref="AT40" ca="1">IFERROR(INDEX(MSN!$D$3:$D$1000,
SMALL(
IF((MSN!$Q$3:$Q$1000&lt;&gt;"")*(MSN!$Q$3:$Q$1000&lt;&gt;"Not Due"),
ROW(MSN!$Q$3:$Q$1000)-ROW(MSN!$Q$3)+1),
ROWS(A$2:A40))),"")</f>
        <v/>
      </c>
      <c r="AU40" s="116"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5">
        <v>40</v>
      </c>
      <c r="B41" s="118" t="str" cm="1">
        <f t="array" aca="1" ref="B41" ca="1">IFERROR(INDEX(FRIM!$E$3:$E$1000,
SMALL(IF(FRIM!$Q$3:$Q$1000&lt;&gt;"",
ROW(FRIM!$Q$3:$Q$1000)-ROW(FRIM!$Q$3)+1),
ROWS(A$2:A41))),"")</f>
        <v/>
      </c>
      <c r="C41" s="116" t="str" cm="1">
        <f t="array" aca="1" ref="C41" ca="1">IFERROR(INDEX(FRIM!$B$3:$B$1000,
SMALL(IF(FRIM!$Q$3:$Q$1000&lt;&gt;"",
ROW(FRIM!$Q$3:$Q$1000)-ROW(FRIM!$Q$3)+1),
ROWS(A$2:A41))),"")</f>
        <v/>
      </c>
      <c r="D41" s="116" t="str" cm="1">
        <f t="array" aca="1" ref="D41" ca="1">IFERROR(INDEX(FRIM!$D$3:$D$1000,
SMALL(IF(FRIM!$Q$3:$Q$1000&lt;&gt;"",
ROW(FRIM!$Q$3:$Q$1000)-ROW(FRIM!$Q$3)+1),
ROWS(A$2:A41))),"")</f>
        <v/>
      </c>
      <c r="E41" s="116" t="str" cm="1">
        <f t="array" aca="1" ref="E41" ca="1">IFERROR(INDEX(FRIM!$G$3:$G$1000,
SMALL(IF(FRIM!$Q$3:$Q$1000&lt;&gt;"",
ROW(FRIM!$Q$3:$Q$1000)-ROW(FRIM!$Q$3)+1),
ROWS(A$2:A41))),"")</f>
        <v/>
      </c>
      <c r="F41" s="88" t="str" cm="1">
        <f t="array" aca="1" ref="F41" ca="1">IFERROR(INDEX(FRIM!$Q$3:$Q$1000,
SMALL(IF(FRIM!$Q$3:$Q$1000&lt;&gt;"",
ROW(FRIM!$Q$3:$Q$1000)-ROW(FRIM!$Q$3)+1),
ROWS(A$2:A41))),"")</f>
        <v/>
      </c>
      <c r="H41" s="115">
        <v>40</v>
      </c>
      <c r="I41" s="119" t="str" cm="1">
        <f t="array" aca="1" ref="I41" ca="1">IFERROR(INDEX(MTIB!$E$3:$E$1000,
SMALL(
IF((MTIB!$Q$3:$Q$1000&lt;&gt;"")*(MTIB!$Q$3:$Q$1000&lt;&gt;"Not Due"),
ROW(MTIB!$Q$3:$Q$1000)-ROW(MTIB!$Q$3)+1),
ROWS(A$2:A41))),"")</f>
        <v/>
      </c>
      <c r="J41" s="115" t="str" cm="1">
        <f t="array" aca="1" ref="J41" ca="1">IFERROR(INDEX(MTIB!$B$3:$B$1000,
SMALL(
IF((MTIB!$Q$3:$Q$1000&lt;&gt;"")*(MTIB!$Q$3:$Q$1000&lt;&gt;"Not Due"),
ROW(MTIB!$Q$3:$Q$1000)-ROW(MTIB!$Q$3)+1),
ROWS(A$2:A41))),"")</f>
        <v/>
      </c>
      <c r="K41" s="115" t="str" cm="1">
        <f t="array" aca="1" ref="K41" ca="1">IFERROR(INDEX(MTIB!$D$3:$D$1000,
SMALL(
IF((MTIB!$Q$3:$Q$1000&lt;&gt;"")*(MTIB!$Q$3:$Q$1000&lt;&gt;"Not Due"),
ROW(MTIB!$Q$3:$Q$1000)-ROW(MTIB!$Q$3)+1),
ROWS(A$2:A41))),"")</f>
        <v/>
      </c>
      <c r="L41" s="116" t="str" cm="1">
        <f t="array" aca="1" ref="L41" ca="1">IFERROR(INDEX(MTIB!$G$3:$G$1000,
SMALL(
IF((MTIB!$Q$3:$Q$1000&lt;&gt;"")*(MTIB!$Q$3:$Q$1000&lt;&gt;"Not Due"),
ROW(MTIB!$Q$3:$Q$1000)-ROW(MTIB!$Q$3)+1),
ROWS(A$2:A41))),"")</f>
        <v/>
      </c>
      <c r="M41" s="88" t="str" cm="1">
        <f t="array" aca="1" ref="M41" ca="1">IFERROR(INDEX(MTIB!$Q$3:$Q$1000,
SMALL(
IF((MTIB!$Q$3:$Q$1000&lt;&gt;"")*(MTIB!$Q$3:$Q$1000&lt;&gt;"Not Due"),
ROW(MTIB!$Q$3:$Q$1000)-ROW(MTIB!$Q$3)+1),
ROWS(A$2:A41))
),"")</f>
        <v/>
      </c>
      <c r="O41" s="115">
        <v>40</v>
      </c>
      <c r="P41" s="120" t="str" cm="1">
        <f t="array" aca="1" ref="P41" ca="1">IFERROR(INDEX(MPOB!$E$3:$E$1000,
SMALL(
IF((MPOB!$Q$3:$Q$1000&lt;&gt;"")*(MPOB!$Q$3:$Q$1000&lt;&gt;"Not Due"),
ROW(MPOB!$Q$3:$Q$1000)-ROW(MPOB!$Q$3)+1),
ROWS(A$2:A41))),"")</f>
        <v/>
      </c>
      <c r="Q41" s="115" t="str" cm="1">
        <f t="array" aca="1" ref="Q41" ca="1">IFERROR(INDEX(MPOB!$B$3:$B$1000,
SMALL(
IF((MPOB!$Q$3:$Q$1000&lt;&gt;"")*(MPOB!$Q$3:$Q$1000&lt;&gt;"Not Due"),
ROW(MPOB!$Q$3:$Q$1000)-ROW(MPOB!$Q$3)+1),
ROWS(A$2:A41))),"")</f>
        <v/>
      </c>
      <c r="R41" s="115" t="str" cm="1">
        <f t="array" aca="1" ref="R41" ca="1">IFERROR(INDEX(MPOB!$D$3:$D$1000,
SMALL(
IF((MPOB!$Q$3:$Q$1000&lt;&gt;"")*(MPOB!$Q$3:$Q$1000&lt;&gt;"Not Due"),
ROW(MPOB!$Q$3:$Q$1000)-ROW(MPOB!$Q$3)+1),
ROWS(A$2:A41))),"")</f>
        <v/>
      </c>
      <c r="S41" s="116" t="str" cm="1">
        <f t="array" aca="1" ref="S41" ca="1">IFERROR(INDEX(MPOB!$G$3:$G$1000,
SMALL(
IF((MPOB!$Q$3:$Q$1000&lt;&gt;"")*(MPOB!$Q$3:$Q$1000&lt;&gt;"Not Due"),
ROW(MPOB!$Q$3:$Q$1000)-ROW(MPOB!$Q$3)+1),
ROWS(A$2:A41))),"")</f>
        <v/>
      </c>
      <c r="T41" s="88" t="str" cm="1">
        <f t="array" aca="1" ref="T41" ca="1">IFERROR(INDEX(MPOB!$Q$3:$Q$1000,
SMALL(
IF((MPOB!$Q$3:$Q$1000&lt;&gt;"")*(MPOB!$Q$3:$Q$1000&lt;&gt;"Not Due"),
ROW(MPOB!$Q$3:$Q$1000)-ROW(MPOB!$Q$3)+1),
ROWS(A$2:A41))
),"")</f>
        <v/>
      </c>
      <c r="V41" s="115">
        <v>40</v>
      </c>
      <c r="W41" s="121" t="str" cm="1">
        <f t="array" aca="1" ref="W41" ca="1">IFERROR(INDEX(LKTN!$E$3:$E$1000,
SMALL(
IF((LKTN!$Q$3:$Q$1000&lt;&gt;"")*(LKTN!$Q$3:$Q$1000&lt;&gt;"Not Due"),
ROW(LKTN!$Q$3:$Q$1000)-ROW(LKTN!$Q$3)+1),
ROWS(A$2:A41))),"")</f>
        <v/>
      </c>
      <c r="X41" s="115" t="str" cm="1">
        <f t="array" aca="1" ref="X41" ca="1">IFERROR(INDEX(LKTN!$B$3:$B$1000,
SMALL(
IF((LKTN!$Q$3:$Q$1000&lt;&gt;"")*(LKTN!$Q$3:$Q$1000&lt;&gt;"Not Due"),
ROW(LKTN!$Q$3:$Q$1000)-ROW(LKTN!$Q$3)+1),
ROWS(A$2:A41))),"")</f>
        <v/>
      </c>
      <c r="Y41" s="115" t="str" cm="1">
        <f t="array" aca="1" ref="Y41" ca="1">IFERROR(INDEX(LKTN!$D$3:$D$1000,
SMALL(
IF((LKTN!$Q$3:$Q$1000&lt;&gt;"")*(LKTN!$Q$3:$Q$1000&lt;&gt;"Not Due"),
ROW(LKTN!$Q$3:$Q$1000)-ROW(LKTN!$Q$3)+1),
ROWS(A$2:A41))),"")</f>
        <v/>
      </c>
      <c r="Z41" s="116"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5">
        <v>40</v>
      </c>
      <c r="AK41" s="123" t="str" cm="1">
        <f t="array" aca="1" ref="AK41" ca="1">IFERROR(INDEX(ISN!$E$3:$E$1000,
SMALL(
IF((ISN!$Q$3:$Q$1000&lt;&gt;"")*(ISN!$Q$3:$Q$1000&lt;&gt;"Not Due"),
ROW(ISN!$Q$3:$Q$1000)-ROW(ISN!$Q$3)+1),
ROWS(A$2:A41))),"")</f>
        <v/>
      </c>
      <c r="AL41" s="115" t="str" cm="1">
        <f t="array" aca="1" ref="AL41" ca="1">IFERROR(INDEX(ISN!$B$3:$B$1000,
SMALL(
IF((ISN!$Q$3:$Q$1000&lt;&gt;"")*(ISN!$Q$3:$Q$1000&lt;&gt;"Not Due"),
ROW(ISN!$Q$3:$Q$1000)-ROW(ISN!$Q$3)+1),
ROWS(A$2:A41))),"")</f>
        <v/>
      </c>
      <c r="AM41" s="116" t="str" cm="1">
        <f t="array" aca="1" ref="AM41" ca="1">IFERROR(INDEX(ISN!$D$3:$D$1000,
SMALL(
IF((ISN!$Q$3:$Q$1000&lt;&gt;"")*(ISN!$Q$3:$Q$1000&lt;&gt;"Not Due"),
ROW(ISN!$Q$3:$Q$1000)-ROW(ISN!$Q$3)+1),
ROWS(A$2:A41))),"")</f>
        <v/>
      </c>
      <c r="AN41" s="116"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5">
        <v>40</v>
      </c>
      <c r="AR41" s="124" t="str" cm="1">
        <f t="array" aca="1" ref="AR41" ca="1">IFERROR(INDEX(MSN!$E$3:$E$1000,
SMALL(
IF((MSN!$Q$3:$Q$1000&lt;&gt;"")*(MSN!$Q$3:$Q$1000&lt;&gt;"Not Due"),
ROW(MSN!$Q$3:$Q$1000)-ROW(MSN!$Q$3)+1),
ROWS(A$2:A41))),"")</f>
        <v/>
      </c>
      <c r="AS41" s="115" t="str" cm="1">
        <f t="array" aca="1" ref="AS41" ca="1">IFERROR(INDEX(MSN!$B$3:$B$1000,
SMALL(
IF((MSN!$Q$3:$Q$1000&lt;&gt;"")*(MSN!$Q$3:$Q$1000&lt;&gt;"Not Due"),
ROW(MSN!$Q$3:$Q$1000)-ROW(MSN!$Q$3)+1),
ROWS(A$2:A41))),"")</f>
        <v/>
      </c>
      <c r="AT41" s="115" t="str" cm="1">
        <f t="array" aca="1" ref="AT41" ca="1">IFERROR(INDEX(MSN!$D$3:$D$1000,
SMALL(
IF((MSN!$Q$3:$Q$1000&lt;&gt;"")*(MSN!$Q$3:$Q$1000&lt;&gt;"Not Due"),
ROW(MSN!$Q$3:$Q$1000)-ROW(MSN!$Q$3)+1),
ROWS(A$2:A41))),"")</f>
        <v/>
      </c>
      <c r="AU41" s="116"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5">
        <v>41</v>
      </c>
      <c r="B42" s="118" t="str" cm="1">
        <f t="array" aca="1" ref="B42" ca="1">IFERROR(INDEX(FRIM!$E$3:$E$1000,
SMALL(IF(FRIM!$Q$3:$Q$1000&lt;&gt;"",
ROW(FRIM!$Q$3:$Q$1000)-ROW(FRIM!$Q$3)+1),
ROWS(A$2:A42))),"")</f>
        <v/>
      </c>
      <c r="C42" s="116" t="str" cm="1">
        <f t="array" aca="1" ref="C42" ca="1">IFERROR(INDEX(FRIM!$B$3:$B$1000,
SMALL(IF(FRIM!$Q$3:$Q$1000&lt;&gt;"",
ROW(FRIM!$Q$3:$Q$1000)-ROW(FRIM!$Q$3)+1),
ROWS(A$2:A42))),"")</f>
        <v/>
      </c>
      <c r="D42" s="116" t="str" cm="1">
        <f t="array" aca="1" ref="D42" ca="1">IFERROR(INDEX(FRIM!$D$3:$D$1000,
SMALL(IF(FRIM!$Q$3:$Q$1000&lt;&gt;"",
ROW(FRIM!$Q$3:$Q$1000)-ROW(FRIM!$Q$3)+1),
ROWS(A$2:A42))),"")</f>
        <v/>
      </c>
      <c r="E42" s="116" t="str" cm="1">
        <f t="array" aca="1" ref="E42" ca="1">IFERROR(INDEX(FRIM!$G$3:$G$1000,
SMALL(IF(FRIM!$Q$3:$Q$1000&lt;&gt;"",
ROW(FRIM!$Q$3:$Q$1000)-ROW(FRIM!$Q$3)+1),
ROWS(A$2:A42))),"")</f>
        <v/>
      </c>
      <c r="F42" s="88" t="str" cm="1">
        <f t="array" aca="1" ref="F42" ca="1">IFERROR(INDEX(FRIM!$Q$3:$Q$1000,
SMALL(IF(FRIM!$Q$3:$Q$1000&lt;&gt;"",
ROW(FRIM!$Q$3:$Q$1000)-ROW(FRIM!$Q$3)+1),
ROWS(A$2:A42))),"")</f>
        <v/>
      </c>
      <c r="H42" s="115">
        <v>41</v>
      </c>
      <c r="I42" s="119" t="str" cm="1">
        <f t="array" aca="1" ref="I42" ca="1">IFERROR(INDEX(MTIB!$E$3:$E$1000,
SMALL(
IF((MTIB!$Q$3:$Q$1000&lt;&gt;"")*(MTIB!$Q$3:$Q$1000&lt;&gt;"Not Due"),
ROW(MTIB!$Q$3:$Q$1000)-ROW(MTIB!$Q$3)+1),
ROWS(A$2:A42))),"")</f>
        <v/>
      </c>
      <c r="J42" s="115" t="str" cm="1">
        <f t="array" aca="1" ref="J42" ca="1">IFERROR(INDEX(MTIB!$B$3:$B$1000,
SMALL(
IF((MTIB!$Q$3:$Q$1000&lt;&gt;"")*(MTIB!$Q$3:$Q$1000&lt;&gt;"Not Due"),
ROW(MTIB!$Q$3:$Q$1000)-ROW(MTIB!$Q$3)+1),
ROWS(A$2:A42))),"")</f>
        <v/>
      </c>
      <c r="K42" s="115" t="str" cm="1">
        <f t="array" aca="1" ref="K42" ca="1">IFERROR(INDEX(MTIB!$D$3:$D$1000,
SMALL(
IF((MTIB!$Q$3:$Q$1000&lt;&gt;"")*(MTIB!$Q$3:$Q$1000&lt;&gt;"Not Due"),
ROW(MTIB!$Q$3:$Q$1000)-ROW(MTIB!$Q$3)+1),
ROWS(A$2:A42))),"")</f>
        <v/>
      </c>
      <c r="L42" s="116" t="str" cm="1">
        <f t="array" aca="1" ref="L42" ca="1">IFERROR(INDEX(MTIB!$G$3:$G$1000,
SMALL(
IF((MTIB!$Q$3:$Q$1000&lt;&gt;"")*(MTIB!$Q$3:$Q$1000&lt;&gt;"Not Due"),
ROW(MTIB!$Q$3:$Q$1000)-ROW(MTIB!$Q$3)+1),
ROWS(A$2:A42))),"")</f>
        <v/>
      </c>
      <c r="M42" s="88" t="str" cm="1">
        <f t="array" aca="1" ref="M42" ca="1">IFERROR(INDEX(MTIB!$Q$3:$Q$1000,
SMALL(
IF((MTIB!$Q$3:$Q$1000&lt;&gt;"")*(MTIB!$Q$3:$Q$1000&lt;&gt;"Not Due"),
ROW(MTIB!$Q$3:$Q$1000)-ROW(MTIB!$Q$3)+1),
ROWS(A$2:A42))
),"")</f>
        <v/>
      </c>
      <c r="O42" s="115">
        <v>41</v>
      </c>
      <c r="P42" s="120" t="str" cm="1">
        <f t="array" aca="1" ref="P42" ca="1">IFERROR(INDEX(MPOB!$E$3:$E$1000,
SMALL(
IF((MPOB!$Q$3:$Q$1000&lt;&gt;"")*(MPOB!$Q$3:$Q$1000&lt;&gt;"Not Due"),
ROW(MPOB!$Q$3:$Q$1000)-ROW(MPOB!$Q$3)+1),
ROWS(A$2:A42))),"")</f>
        <v/>
      </c>
      <c r="Q42" s="115" t="str" cm="1">
        <f t="array" aca="1" ref="Q42" ca="1">IFERROR(INDEX(MPOB!$B$3:$B$1000,
SMALL(
IF((MPOB!$Q$3:$Q$1000&lt;&gt;"")*(MPOB!$Q$3:$Q$1000&lt;&gt;"Not Due"),
ROW(MPOB!$Q$3:$Q$1000)-ROW(MPOB!$Q$3)+1),
ROWS(A$2:A42))),"")</f>
        <v/>
      </c>
      <c r="R42" s="115" t="str" cm="1">
        <f t="array" aca="1" ref="R42" ca="1">IFERROR(INDEX(MPOB!$D$3:$D$1000,
SMALL(
IF((MPOB!$Q$3:$Q$1000&lt;&gt;"")*(MPOB!$Q$3:$Q$1000&lt;&gt;"Not Due"),
ROW(MPOB!$Q$3:$Q$1000)-ROW(MPOB!$Q$3)+1),
ROWS(A$2:A42))),"")</f>
        <v/>
      </c>
      <c r="S42" s="116" t="str" cm="1">
        <f t="array" aca="1" ref="S42" ca="1">IFERROR(INDEX(MPOB!$G$3:$G$1000,
SMALL(
IF((MPOB!$Q$3:$Q$1000&lt;&gt;"")*(MPOB!$Q$3:$Q$1000&lt;&gt;"Not Due"),
ROW(MPOB!$Q$3:$Q$1000)-ROW(MPOB!$Q$3)+1),
ROWS(A$2:A42))),"")</f>
        <v/>
      </c>
      <c r="T42" s="88" t="str" cm="1">
        <f t="array" aca="1" ref="T42" ca="1">IFERROR(INDEX(MPOB!$Q$3:$Q$1000,
SMALL(
IF((MPOB!$Q$3:$Q$1000&lt;&gt;"")*(MPOB!$Q$3:$Q$1000&lt;&gt;"Not Due"),
ROW(MPOB!$Q$3:$Q$1000)-ROW(MPOB!$Q$3)+1),
ROWS(A$2:A42))
),"")</f>
        <v/>
      </c>
      <c r="V42" s="115">
        <v>41</v>
      </c>
      <c r="W42" s="121" t="str" cm="1">
        <f t="array" aca="1" ref="W42" ca="1">IFERROR(INDEX(LKTN!$E$3:$E$1000,
SMALL(
IF((LKTN!$Q$3:$Q$1000&lt;&gt;"")*(LKTN!$Q$3:$Q$1000&lt;&gt;"Not Due"),
ROW(LKTN!$Q$3:$Q$1000)-ROW(LKTN!$Q$3)+1),
ROWS(A$2:A42))),"")</f>
        <v/>
      </c>
      <c r="X42" s="115" t="str" cm="1">
        <f t="array" aca="1" ref="X42" ca="1">IFERROR(INDEX(LKTN!$B$3:$B$1000,
SMALL(
IF((LKTN!$Q$3:$Q$1000&lt;&gt;"")*(LKTN!$Q$3:$Q$1000&lt;&gt;"Not Due"),
ROW(LKTN!$Q$3:$Q$1000)-ROW(LKTN!$Q$3)+1),
ROWS(A$2:A42))),"")</f>
        <v/>
      </c>
      <c r="Y42" s="115" t="str" cm="1">
        <f t="array" aca="1" ref="Y42" ca="1">IFERROR(INDEX(LKTN!$D$3:$D$1000,
SMALL(
IF((LKTN!$Q$3:$Q$1000&lt;&gt;"")*(LKTN!$Q$3:$Q$1000&lt;&gt;"Not Due"),
ROW(LKTN!$Q$3:$Q$1000)-ROW(LKTN!$Q$3)+1),
ROWS(A$2:A42))),"")</f>
        <v/>
      </c>
      <c r="Z42" s="116"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5">
        <v>41</v>
      </c>
      <c r="AK42" s="123" t="str" cm="1">
        <f t="array" aca="1" ref="AK42" ca="1">IFERROR(INDEX(ISN!$E$3:$E$1000,
SMALL(
IF((ISN!$Q$3:$Q$1000&lt;&gt;"")*(ISN!$Q$3:$Q$1000&lt;&gt;"Not Due"),
ROW(ISN!$Q$3:$Q$1000)-ROW(ISN!$Q$3)+1),
ROWS(A$2:A42))),"")</f>
        <v/>
      </c>
      <c r="AL42" s="115" t="str" cm="1">
        <f t="array" aca="1" ref="AL42" ca="1">IFERROR(INDEX(ISN!$B$3:$B$1000,
SMALL(
IF((ISN!$Q$3:$Q$1000&lt;&gt;"")*(ISN!$Q$3:$Q$1000&lt;&gt;"Not Due"),
ROW(ISN!$Q$3:$Q$1000)-ROW(ISN!$Q$3)+1),
ROWS(A$2:A42))),"")</f>
        <v/>
      </c>
      <c r="AM42" s="116" t="str" cm="1">
        <f t="array" aca="1" ref="AM42" ca="1">IFERROR(INDEX(ISN!$D$3:$D$1000,
SMALL(
IF((ISN!$Q$3:$Q$1000&lt;&gt;"")*(ISN!$Q$3:$Q$1000&lt;&gt;"Not Due"),
ROW(ISN!$Q$3:$Q$1000)-ROW(ISN!$Q$3)+1),
ROWS(A$2:A42))),"")</f>
        <v/>
      </c>
      <c r="AN42" s="116"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5">
        <v>41</v>
      </c>
      <c r="AR42" s="124" t="str" cm="1">
        <f t="array" aca="1" ref="AR42" ca="1">IFERROR(INDEX(MSN!$E$3:$E$1000,
SMALL(
IF((MSN!$Q$3:$Q$1000&lt;&gt;"")*(MSN!$Q$3:$Q$1000&lt;&gt;"Not Due"),
ROW(MSN!$Q$3:$Q$1000)-ROW(MSN!$Q$3)+1),
ROWS(A$2:A42))),"")</f>
        <v/>
      </c>
      <c r="AS42" s="115" t="str" cm="1">
        <f t="array" aca="1" ref="AS42" ca="1">IFERROR(INDEX(MSN!$B$3:$B$1000,
SMALL(
IF((MSN!$Q$3:$Q$1000&lt;&gt;"")*(MSN!$Q$3:$Q$1000&lt;&gt;"Not Due"),
ROW(MSN!$Q$3:$Q$1000)-ROW(MSN!$Q$3)+1),
ROWS(A$2:A42))),"")</f>
        <v/>
      </c>
      <c r="AT42" s="115" t="str" cm="1">
        <f t="array" aca="1" ref="AT42" ca="1">IFERROR(INDEX(MSN!$D$3:$D$1000,
SMALL(
IF((MSN!$Q$3:$Q$1000&lt;&gt;"")*(MSN!$Q$3:$Q$1000&lt;&gt;"Not Due"),
ROW(MSN!$Q$3:$Q$1000)-ROW(MSN!$Q$3)+1),
ROWS(A$2:A42))),"")</f>
        <v/>
      </c>
      <c r="AU42" s="116"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5">
        <v>42</v>
      </c>
      <c r="B43" s="118" t="str" cm="1">
        <f t="array" aca="1" ref="B43" ca="1">IFERROR(INDEX(FRIM!$E$3:$E$1000,
SMALL(IF(FRIM!$Q$3:$Q$1000&lt;&gt;"",
ROW(FRIM!$Q$3:$Q$1000)-ROW(FRIM!$Q$3)+1),
ROWS(A$2:A43))),"")</f>
        <v/>
      </c>
      <c r="C43" s="116" t="str" cm="1">
        <f t="array" aca="1" ref="C43" ca="1">IFERROR(INDEX(FRIM!$B$3:$B$1000,
SMALL(IF(FRIM!$Q$3:$Q$1000&lt;&gt;"",
ROW(FRIM!$Q$3:$Q$1000)-ROW(FRIM!$Q$3)+1),
ROWS(A$2:A43))),"")</f>
        <v/>
      </c>
      <c r="D43" s="116" t="str" cm="1">
        <f t="array" aca="1" ref="D43" ca="1">IFERROR(INDEX(FRIM!$D$3:$D$1000,
SMALL(IF(FRIM!$Q$3:$Q$1000&lt;&gt;"",
ROW(FRIM!$Q$3:$Q$1000)-ROW(FRIM!$Q$3)+1),
ROWS(A$2:A43))),"")</f>
        <v/>
      </c>
      <c r="E43" s="116" t="str" cm="1">
        <f t="array" aca="1" ref="E43" ca="1">IFERROR(INDEX(FRIM!$G$3:$G$1000,
SMALL(IF(FRIM!$Q$3:$Q$1000&lt;&gt;"",
ROW(FRIM!$Q$3:$Q$1000)-ROW(FRIM!$Q$3)+1),
ROWS(A$2:A43))),"")</f>
        <v/>
      </c>
      <c r="F43" s="88" t="str" cm="1">
        <f t="array" aca="1" ref="F43" ca="1">IFERROR(INDEX(FRIM!$Q$3:$Q$1000,
SMALL(IF(FRIM!$Q$3:$Q$1000&lt;&gt;"",
ROW(FRIM!$Q$3:$Q$1000)-ROW(FRIM!$Q$3)+1),
ROWS(A$2:A43))),"")</f>
        <v/>
      </c>
      <c r="H43" s="115">
        <v>42</v>
      </c>
      <c r="I43" s="119" t="str" cm="1">
        <f t="array" aca="1" ref="I43" ca="1">IFERROR(INDEX(MTIB!$E$3:$E$1000,
SMALL(
IF((MTIB!$Q$3:$Q$1000&lt;&gt;"")*(MTIB!$Q$3:$Q$1000&lt;&gt;"Not Due"),
ROW(MTIB!$Q$3:$Q$1000)-ROW(MTIB!$Q$3)+1),
ROWS(A$2:A43))),"")</f>
        <v/>
      </c>
      <c r="J43" s="115" t="str" cm="1">
        <f t="array" aca="1" ref="J43" ca="1">IFERROR(INDEX(MTIB!$B$3:$B$1000,
SMALL(
IF((MTIB!$Q$3:$Q$1000&lt;&gt;"")*(MTIB!$Q$3:$Q$1000&lt;&gt;"Not Due"),
ROW(MTIB!$Q$3:$Q$1000)-ROW(MTIB!$Q$3)+1),
ROWS(A$2:A43))),"")</f>
        <v/>
      </c>
      <c r="K43" s="115" t="str" cm="1">
        <f t="array" aca="1" ref="K43" ca="1">IFERROR(INDEX(MTIB!$D$3:$D$1000,
SMALL(
IF((MTIB!$Q$3:$Q$1000&lt;&gt;"")*(MTIB!$Q$3:$Q$1000&lt;&gt;"Not Due"),
ROW(MTIB!$Q$3:$Q$1000)-ROW(MTIB!$Q$3)+1),
ROWS(A$2:A43))),"")</f>
        <v/>
      </c>
      <c r="L43" s="116" t="str" cm="1">
        <f t="array" aca="1" ref="L43" ca="1">IFERROR(INDEX(MTIB!$G$3:$G$1000,
SMALL(
IF((MTIB!$Q$3:$Q$1000&lt;&gt;"")*(MTIB!$Q$3:$Q$1000&lt;&gt;"Not Due"),
ROW(MTIB!$Q$3:$Q$1000)-ROW(MTIB!$Q$3)+1),
ROWS(A$2:A43))),"")</f>
        <v/>
      </c>
      <c r="M43" s="88" t="str" cm="1">
        <f t="array" aca="1" ref="M43" ca="1">IFERROR(INDEX(MTIB!$Q$3:$Q$1000,
SMALL(
IF((MTIB!$Q$3:$Q$1000&lt;&gt;"")*(MTIB!$Q$3:$Q$1000&lt;&gt;"Not Due"),
ROW(MTIB!$Q$3:$Q$1000)-ROW(MTIB!$Q$3)+1),
ROWS(A$2:A43))
),"")</f>
        <v/>
      </c>
      <c r="O43" s="115">
        <v>42</v>
      </c>
      <c r="P43" s="120" t="str" cm="1">
        <f t="array" aca="1" ref="P43" ca="1">IFERROR(INDEX(MPOB!$E$3:$E$1000,
SMALL(
IF((MPOB!$Q$3:$Q$1000&lt;&gt;"")*(MPOB!$Q$3:$Q$1000&lt;&gt;"Not Due"),
ROW(MPOB!$Q$3:$Q$1000)-ROW(MPOB!$Q$3)+1),
ROWS(A$2:A43))),"")</f>
        <v/>
      </c>
      <c r="Q43" s="115" t="str" cm="1">
        <f t="array" aca="1" ref="Q43" ca="1">IFERROR(INDEX(MPOB!$B$3:$B$1000,
SMALL(
IF((MPOB!$Q$3:$Q$1000&lt;&gt;"")*(MPOB!$Q$3:$Q$1000&lt;&gt;"Not Due"),
ROW(MPOB!$Q$3:$Q$1000)-ROW(MPOB!$Q$3)+1),
ROWS(A$2:A43))),"")</f>
        <v/>
      </c>
      <c r="R43" s="115" t="str" cm="1">
        <f t="array" aca="1" ref="R43" ca="1">IFERROR(INDEX(MPOB!$D$3:$D$1000,
SMALL(
IF((MPOB!$Q$3:$Q$1000&lt;&gt;"")*(MPOB!$Q$3:$Q$1000&lt;&gt;"Not Due"),
ROW(MPOB!$Q$3:$Q$1000)-ROW(MPOB!$Q$3)+1),
ROWS(A$2:A43))),"")</f>
        <v/>
      </c>
      <c r="S43" s="116" t="str" cm="1">
        <f t="array" aca="1" ref="S43" ca="1">IFERROR(INDEX(MPOB!$G$3:$G$1000,
SMALL(
IF((MPOB!$Q$3:$Q$1000&lt;&gt;"")*(MPOB!$Q$3:$Q$1000&lt;&gt;"Not Due"),
ROW(MPOB!$Q$3:$Q$1000)-ROW(MPOB!$Q$3)+1),
ROWS(A$2:A43))),"")</f>
        <v/>
      </c>
      <c r="T43" s="88" t="str" cm="1">
        <f t="array" aca="1" ref="T43" ca="1">IFERROR(INDEX(MPOB!$Q$3:$Q$1000,
SMALL(
IF((MPOB!$Q$3:$Q$1000&lt;&gt;"")*(MPOB!$Q$3:$Q$1000&lt;&gt;"Not Due"),
ROW(MPOB!$Q$3:$Q$1000)-ROW(MPOB!$Q$3)+1),
ROWS(A$2:A43))
),"")</f>
        <v/>
      </c>
      <c r="V43" s="115">
        <v>42</v>
      </c>
      <c r="W43" s="121" t="str" cm="1">
        <f t="array" aca="1" ref="W43" ca="1">IFERROR(INDEX(LKTN!$E$3:$E$1000,
SMALL(
IF((LKTN!$Q$3:$Q$1000&lt;&gt;"")*(LKTN!$Q$3:$Q$1000&lt;&gt;"Not Due"),
ROW(LKTN!$Q$3:$Q$1000)-ROW(LKTN!$Q$3)+1),
ROWS(A$2:A43))),"")</f>
        <v/>
      </c>
      <c r="X43" s="115" t="str" cm="1">
        <f t="array" aca="1" ref="X43" ca="1">IFERROR(INDEX(LKTN!$B$3:$B$1000,
SMALL(
IF((LKTN!$Q$3:$Q$1000&lt;&gt;"")*(LKTN!$Q$3:$Q$1000&lt;&gt;"Not Due"),
ROW(LKTN!$Q$3:$Q$1000)-ROW(LKTN!$Q$3)+1),
ROWS(A$2:A43))),"")</f>
        <v/>
      </c>
      <c r="Y43" s="115" t="str" cm="1">
        <f t="array" aca="1" ref="Y43" ca="1">IFERROR(INDEX(LKTN!$D$3:$D$1000,
SMALL(
IF((LKTN!$Q$3:$Q$1000&lt;&gt;"")*(LKTN!$Q$3:$Q$1000&lt;&gt;"Not Due"),
ROW(LKTN!$Q$3:$Q$1000)-ROW(LKTN!$Q$3)+1),
ROWS(A$2:A43))),"")</f>
        <v/>
      </c>
      <c r="Z43" s="116"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5">
        <v>42</v>
      </c>
      <c r="AK43" s="123" t="str" cm="1">
        <f t="array" aca="1" ref="AK43" ca="1">IFERROR(INDEX(ISN!$E$3:$E$1000,
SMALL(
IF((ISN!$Q$3:$Q$1000&lt;&gt;"")*(ISN!$Q$3:$Q$1000&lt;&gt;"Not Due"),
ROW(ISN!$Q$3:$Q$1000)-ROW(ISN!$Q$3)+1),
ROWS(A$2:A43))),"")</f>
        <v/>
      </c>
      <c r="AL43" s="115" t="str" cm="1">
        <f t="array" aca="1" ref="AL43" ca="1">IFERROR(INDEX(ISN!$B$3:$B$1000,
SMALL(
IF((ISN!$Q$3:$Q$1000&lt;&gt;"")*(ISN!$Q$3:$Q$1000&lt;&gt;"Not Due"),
ROW(ISN!$Q$3:$Q$1000)-ROW(ISN!$Q$3)+1),
ROWS(A$2:A43))),"")</f>
        <v/>
      </c>
      <c r="AM43" s="116" t="str" cm="1">
        <f t="array" aca="1" ref="AM43" ca="1">IFERROR(INDEX(ISN!$D$3:$D$1000,
SMALL(
IF((ISN!$Q$3:$Q$1000&lt;&gt;"")*(ISN!$Q$3:$Q$1000&lt;&gt;"Not Due"),
ROW(ISN!$Q$3:$Q$1000)-ROW(ISN!$Q$3)+1),
ROWS(A$2:A43))),"")</f>
        <v/>
      </c>
      <c r="AN43" s="116"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5">
        <v>42</v>
      </c>
      <c r="AR43" s="124" t="str" cm="1">
        <f t="array" aca="1" ref="AR43" ca="1">IFERROR(INDEX(MSN!$E$3:$E$1000,
SMALL(
IF((MSN!$Q$3:$Q$1000&lt;&gt;"")*(MSN!$Q$3:$Q$1000&lt;&gt;"Not Due"),
ROW(MSN!$Q$3:$Q$1000)-ROW(MSN!$Q$3)+1),
ROWS(A$2:A43))),"")</f>
        <v/>
      </c>
      <c r="AS43" s="115" t="str" cm="1">
        <f t="array" aca="1" ref="AS43" ca="1">IFERROR(INDEX(MSN!$B$3:$B$1000,
SMALL(
IF((MSN!$Q$3:$Q$1000&lt;&gt;"")*(MSN!$Q$3:$Q$1000&lt;&gt;"Not Due"),
ROW(MSN!$Q$3:$Q$1000)-ROW(MSN!$Q$3)+1),
ROWS(A$2:A43))),"")</f>
        <v/>
      </c>
      <c r="AT43" s="115" t="str" cm="1">
        <f t="array" aca="1" ref="AT43" ca="1">IFERROR(INDEX(MSN!$D$3:$D$1000,
SMALL(
IF((MSN!$Q$3:$Q$1000&lt;&gt;"")*(MSN!$Q$3:$Q$1000&lt;&gt;"Not Due"),
ROW(MSN!$Q$3:$Q$1000)-ROW(MSN!$Q$3)+1),
ROWS(A$2:A43))),"")</f>
        <v/>
      </c>
      <c r="AU43" s="116"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5">
        <v>43</v>
      </c>
      <c r="B44" s="118" t="str" cm="1">
        <f t="array" aca="1" ref="B44" ca="1">IFERROR(INDEX(FRIM!$E$3:$E$1000,
SMALL(IF(FRIM!$Q$3:$Q$1000&lt;&gt;"",
ROW(FRIM!$Q$3:$Q$1000)-ROW(FRIM!$Q$3)+1),
ROWS(A$2:A44))),"")</f>
        <v/>
      </c>
      <c r="C44" s="116" t="str" cm="1">
        <f t="array" aca="1" ref="C44" ca="1">IFERROR(INDEX(FRIM!$B$3:$B$1000,
SMALL(IF(FRIM!$Q$3:$Q$1000&lt;&gt;"",
ROW(FRIM!$Q$3:$Q$1000)-ROW(FRIM!$Q$3)+1),
ROWS(A$2:A44))),"")</f>
        <v/>
      </c>
      <c r="D44" s="116" t="str" cm="1">
        <f t="array" aca="1" ref="D44" ca="1">IFERROR(INDEX(FRIM!$D$3:$D$1000,
SMALL(IF(FRIM!$Q$3:$Q$1000&lt;&gt;"",
ROW(FRIM!$Q$3:$Q$1000)-ROW(FRIM!$Q$3)+1),
ROWS(A$2:A44))),"")</f>
        <v/>
      </c>
      <c r="E44" s="116" t="str" cm="1">
        <f t="array" aca="1" ref="E44" ca="1">IFERROR(INDEX(FRIM!$G$3:$G$1000,
SMALL(IF(FRIM!$Q$3:$Q$1000&lt;&gt;"",
ROW(FRIM!$Q$3:$Q$1000)-ROW(FRIM!$Q$3)+1),
ROWS(A$2:A44))),"")</f>
        <v/>
      </c>
      <c r="F44" s="88" t="str" cm="1">
        <f t="array" aca="1" ref="F44" ca="1">IFERROR(INDEX(FRIM!$Q$3:$Q$1000,
SMALL(IF(FRIM!$Q$3:$Q$1000&lt;&gt;"",
ROW(FRIM!$Q$3:$Q$1000)-ROW(FRIM!$Q$3)+1),
ROWS(A$2:A44))),"")</f>
        <v/>
      </c>
      <c r="H44" s="115">
        <v>43</v>
      </c>
      <c r="I44" s="119" t="str" cm="1">
        <f t="array" aca="1" ref="I44" ca="1">IFERROR(INDEX(MTIB!$E$3:$E$1000,
SMALL(
IF((MTIB!$Q$3:$Q$1000&lt;&gt;"")*(MTIB!$Q$3:$Q$1000&lt;&gt;"Not Due"),
ROW(MTIB!$Q$3:$Q$1000)-ROW(MTIB!$Q$3)+1),
ROWS(A$2:A44))),"")</f>
        <v/>
      </c>
      <c r="J44" s="115" t="str" cm="1">
        <f t="array" aca="1" ref="J44" ca="1">IFERROR(INDEX(MTIB!$B$3:$B$1000,
SMALL(
IF((MTIB!$Q$3:$Q$1000&lt;&gt;"")*(MTIB!$Q$3:$Q$1000&lt;&gt;"Not Due"),
ROW(MTIB!$Q$3:$Q$1000)-ROW(MTIB!$Q$3)+1),
ROWS(A$2:A44))),"")</f>
        <v/>
      </c>
      <c r="K44" s="115" t="str" cm="1">
        <f t="array" aca="1" ref="K44" ca="1">IFERROR(INDEX(MTIB!$D$3:$D$1000,
SMALL(
IF((MTIB!$Q$3:$Q$1000&lt;&gt;"")*(MTIB!$Q$3:$Q$1000&lt;&gt;"Not Due"),
ROW(MTIB!$Q$3:$Q$1000)-ROW(MTIB!$Q$3)+1),
ROWS(A$2:A44))),"")</f>
        <v/>
      </c>
      <c r="L44" s="116" t="str" cm="1">
        <f t="array" aca="1" ref="L44" ca="1">IFERROR(INDEX(MTIB!$G$3:$G$1000,
SMALL(
IF((MTIB!$Q$3:$Q$1000&lt;&gt;"")*(MTIB!$Q$3:$Q$1000&lt;&gt;"Not Due"),
ROW(MTIB!$Q$3:$Q$1000)-ROW(MTIB!$Q$3)+1),
ROWS(A$2:A44))),"")</f>
        <v/>
      </c>
      <c r="M44" s="88" t="str" cm="1">
        <f t="array" aca="1" ref="M44" ca="1">IFERROR(INDEX(MTIB!$Q$3:$Q$1000,
SMALL(
IF((MTIB!$Q$3:$Q$1000&lt;&gt;"")*(MTIB!$Q$3:$Q$1000&lt;&gt;"Not Due"),
ROW(MTIB!$Q$3:$Q$1000)-ROW(MTIB!$Q$3)+1),
ROWS(A$2:A44))
),"")</f>
        <v/>
      </c>
      <c r="O44" s="115">
        <v>43</v>
      </c>
      <c r="P44" s="120" t="str" cm="1">
        <f t="array" aca="1" ref="P44" ca="1">IFERROR(INDEX(MPOB!$E$3:$E$1000,
SMALL(
IF((MPOB!$Q$3:$Q$1000&lt;&gt;"")*(MPOB!$Q$3:$Q$1000&lt;&gt;"Not Due"),
ROW(MPOB!$Q$3:$Q$1000)-ROW(MPOB!$Q$3)+1),
ROWS(A$2:A44))),"")</f>
        <v/>
      </c>
      <c r="Q44" s="115" t="str" cm="1">
        <f t="array" aca="1" ref="Q44" ca="1">IFERROR(INDEX(MPOB!$B$3:$B$1000,
SMALL(
IF((MPOB!$Q$3:$Q$1000&lt;&gt;"")*(MPOB!$Q$3:$Q$1000&lt;&gt;"Not Due"),
ROW(MPOB!$Q$3:$Q$1000)-ROW(MPOB!$Q$3)+1),
ROWS(A$2:A44))),"")</f>
        <v/>
      </c>
      <c r="R44" s="115" t="str" cm="1">
        <f t="array" aca="1" ref="R44" ca="1">IFERROR(INDEX(MPOB!$D$3:$D$1000,
SMALL(
IF((MPOB!$Q$3:$Q$1000&lt;&gt;"")*(MPOB!$Q$3:$Q$1000&lt;&gt;"Not Due"),
ROW(MPOB!$Q$3:$Q$1000)-ROW(MPOB!$Q$3)+1),
ROWS(A$2:A44))),"")</f>
        <v/>
      </c>
      <c r="S44" s="116" t="str" cm="1">
        <f t="array" aca="1" ref="S44" ca="1">IFERROR(INDEX(MPOB!$G$3:$G$1000,
SMALL(
IF((MPOB!$Q$3:$Q$1000&lt;&gt;"")*(MPOB!$Q$3:$Q$1000&lt;&gt;"Not Due"),
ROW(MPOB!$Q$3:$Q$1000)-ROW(MPOB!$Q$3)+1),
ROWS(A$2:A44))),"")</f>
        <v/>
      </c>
      <c r="T44" s="88" t="str" cm="1">
        <f t="array" aca="1" ref="T44" ca="1">IFERROR(INDEX(MPOB!$Q$3:$Q$1000,
SMALL(
IF((MPOB!$Q$3:$Q$1000&lt;&gt;"")*(MPOB!$Q$3:$Q$1000&lt;&gt;"Not Due"),
ROW(MPOB!$Q$3:$Q$1000)-ROW(MPOB!$Q$3)+1),
ROWS(A$2:A44))
),"")</f>
        <v/>
      </c>
      <c r="V44" s="115">
        <v>43</v>
      </c>
      <c r="W44" s="121" t="str" cm="1">
        <f t="array" aca="1" ref="W44" ca="1">IFERROR(INDEX(LKTN!$E$3:$E$1000,
SMALL(
IF((LKTN!$Q$3:$Q$1000&lt;&gt;"")*(LKTN!$Q$3:$Q$1000&lt;&gt;"Not Due"),
ROW(LKTN!$Q$3:$Q$1000)-ROW(LKTN!$Q$3)+1),
ROWS(A$2:A44))),"")</f>
        <v/>
      </c>
      <c r="X44" s="115" t="str" cm="1">
        <f t="array" aca="1" ref="X44" ca="1">IFERROR(INDEX(LKTN!$B$3:$B$1000,
SMALL(
IF((LKTN!$Q$3:$Q$1000&lt;&gt;"")*(LKTN!$Q$3:$Q$1000&lt;&gt;"Not Due"),
ROW(LKTN!$Q$3:$Q$1000)-ROW(LKTN!$Q$3)+1),
ROWS(A$2:A44))),"")</f>
        <v/>
      </c>
      <c r="Y44" s="115" t="str" cm="1">
        <f t="array" aca="1" ref="Y44" ca="1">IFERROR(INDEX(LKTN!$D$3:$D$1000,
SMALL(
IF((LKTN!$Q$3:$Q$1000&lt;&gt;"")*(LKTN!$Q$3:$Q$1000&lt;&gt;"Not Due"),
ROW(LKTN!$Q$3:$Q$1000)-ROW(LKTN!$Q$3)+1),
ROWS(A$2:A44))),"")</f>
        <v/>
      </c>
      <c r="Z44" s="116"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5">
        <v>43</v>
      </c>
      <c r="AK44" s="123" t="str" cm="1">
        <f t="array" aca="1" ref="AK44" ca="1">IFERROR(INDEX(ISN!$E$3:$E$1000,
SMALL(
IF((ISN!$Q$3:$Q$1000&lt;&gt;"")*(ISN!$Q$3:$Q$1000&lt;&gt;"Not Due"),
ROW(ISN!$Q$3:$Q$1000)-ROW(ISN!$Q$3)+1),
ROWS(A$2:A44))),"")</f>
        <v/>
      </c>
      <c r="AL44" s="115" t="str" cm="1">
        <f t="array" aca="1" ref="AL44" ca="1">IFERROR(INDEX(ISN!$B$3:$B$1000,
SMALL(
IF((ISN!$Q$3:$Q$1000&lt;&gt;"")*(ISN!$Q$3:$Q$1000&lt;&gt;"Not Due"),
ROW(ISN!$Q$3:$Q$1000)-ROW(ISN!$Q$3)+1),
ROWS(A$2:A44))),"")</f>
        <v/>
      </c>
      <c r="AM44" s="116" t="str" cm="1">
        <f t="array" aca="1" ref="AM44" ca="1">IFERROR(INDEX(ISN!$D$3:$D$1000,
SMALL(
IF((ISN!$Q$3:$Q$1000&lt;&gt;"")*(ISN!$Q$3:$Q$1000&lt;&gt;"Not Due"),
ROW(ISN!$Q$3:$Q$1000)-ROW(ISN!$Q$3)+1),
ROWS(A$2:A44))),"")</f>
        <v/>
      </c>
      <c r="AN44" s="116"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5">
        <v>43</v>
      </c>
      <c r="AR44" s="124" t="str" cm="1">
        <f t="array" aca="1" ref="AR44" ca="1">IFERROR(INDEX(MSN!$E$3:$E$1000,
SMALL(
IF((MSN!$Q$3:$Q$1000&lt;&gt;"")*(MSN!$Q$3:$Q$1000&lt;&gt;"Not Due"),
ROW(MSN!$Q$3:$Q$1000)-ROW(MSN!$Q$3)+1),
ROWS(A$2:A44))),"")</f>
        <v/>
      </c>
      <c r="AS44" s="115" t="str" cm="1">
        <f t="array" aca="1" ref="AS44" ca="1">IFERROR(INDEX(MSN!$B$3:$B$1000,
SMALL(
IF((MSN!$Q$3:$Q$1000&lt;&gt;"")*(MSN!$Q$3:$Q$1000&lt;&gt;"Not Due"),
ROW(MSN!$Q$3:$Q$1000)-ROW(MSN!$Q$3)+1),
ROWS(A$2:A44))),"")</f>
        <v/>
      </c>
      <c r="AT44" s="115" t="str" cm="1">
        <f t="array" aca="1" ref="AT44" ca="1">IFERROR(INDEX(MSN!$D$3:$D$1000,
SMALL(
IF((MSN!$Q$3:$Q$1000&lt;&gt;"")*(MSN!$Q$3:$Q$1000&lt;&gt;"Not Due"),
ROW(MSN!$Q$3:$Q$1000)-ROW(MSN!$Q$3)+1),
ROWS(A$2:A44))),"")</f>
        <v/>
      </c>
      <c r="AU44" s="116"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5">
        <v>44</v>
      </c>
      <c r="B45" s="118" t="str" cm="1">
        <f t="array" aca="1" ref="B45" ca="1">IFERROR(INDEX(FRIM!$E$3:$E$1000,
SMALL(IF(FRIM!$Q$3:$Q$1000&lt;&gt;"",
ROW(FRIM!$Q$3:$Q$1000)-ROW(FRIM!$Q$3)+1),
ROWS(A$2:A45))),"")</f>
        <v/>
      </c>
      <c r="C45" s="116" t="str" cm="1">
        <f t="array" aca="1" ref="C45" ca="1">IFERROR(INDEX(FRIM!$B$3:$B$1000,
SMALL(IF(FRIM!$Q$3:$Q$1000&lt;&gt;"",
ROW(FRIM!$Q$3:$Q$1000)-ROW(FRIM!$Q$3)+1),
ROWS(A$2:A45))),"")</f>
        <v/>
      </c>
      <c r="D45" s="116" t="str" cm="1">
        <f t="array" aca="1" ref="D45" ca="1">IFERROR(INDEX(FRIM!$D$3:$D$1000,
SMALL(IF(FRIM!$Q$3:$Q$1000&lt;&gt;"",
ROW(FRIM!$Q$3:$Q$1000)-ROW(FRIM!$Q$3)+1),
ROWS(A$2:A45))),"")</f>
        <v/>
      </c>
      <c r="E45" s="116" t="str" cm="1">
        <f t="array" aca="1" ref="E45" ca="1">IFERROR(INDEX(FRIM!$G$3:$G$1000,
SMALL(IF(FRIM!$Q$3:$Q$1000&lt;&gt;"",
ROW(FRIM!$Q$3:$Q$1000)-ROW(FRIM!$Q$3)+1),
ROWS(A$2:A45))),"")</f>
        <v/>
      </c>
      <c r="F45" s="88" t="str" cm="1">
        <f t="array" aca="1" ref="F45" ca="1">IFERROR(INDEX(FRIM!$Q$3:$Q$1000,
SMALL(IF(FRIM!$Q$3:$Q$1000&lt;&gt;"",
ROW(FRIM!$Q$3:$Q$1000)-ROW(FRIM!$Q$3)+1),
ROWS(A$2:A45))),"")</f>
        <v/>
      </c>
      <c r="H45" s="115">
        <v>44</v>
      </c>
      <c r="I45" s="119" t="str" cm="1">
        <f t="array" aca="1" ref="I45" ca="1">IFERROR(INDEX(MTIB!$E$3:$E$1000,
SMALL(
IF((MTIB!$Q$3:$Q$1000&lt;&gt;"")*(MTIB!$Q$3:$Q$1000&lt;&gt;"Not Due"),
ROW(MTIB!$Q$3:$Q$1000)-ROW(MTIB!$Q$3)+1),
ROWS(A$2:A45))),"")</f>
        <v/>
      </c>
      <c r="J45" s="115" t="str" cm="1">
        <f t="array" aca="1" ref="J45" ca="1">IFERROR(INDEX(MTIB!$B$3:$B$1000,
SMALL(
IF((MTIB!$Q$3:$Q$1000&lt;&gt;"")*(MTIB!$Q$3:$Q$1000&lt;&gt;"Not Due"),
ROW(MTIB!$Q$3:$Q$1000)-ROW(MTIB!$Q$3)+1),
ROWS(A$2:A45))),"")</f>
        <v/>
      </c>
      <c r="K45" s="115" t="str" cm="1">
        <f t="array" aca="1" ref="K45" ca="1">IFERROR(INDEX(MTIB!$D$3:$D$1000,
SMALL(
IF((MTIB!$Q$3:$Q$1000&lt;&gt;"")*(MTIB!$Q$3:$Q$1000&lt;&gt;"Not Due"),
ROW(MTIB!$Q$3:$Q$1000)-ROW(MTIB!$Q$3)+1),
ROWS(A$2:A45))),"")</f>
        <v/>
      </c>
      <c r="L45" s="116" t="str" cm="1">
        <f t="array" aca="1" ref="L45" ca="1">IFERROR(INDEX(MTIB!$G$3:$G$1000,
SMALL(
IF((MTIB!$Q$3:$Q$1000&lt;&gt;"")*(MTIB!$Q$3:$Q$1000&lt;&gt;"Not Due"),
ROW(MTIB!$Q$3:$Q$1000)-ROW(MTIB!$Q$3)+1),
ROWS(A$2:A45))),"")</f>
        <v/>
      </c>
      <c r="M45" s="88" t="str" cm="1">
        <f t="array" aca="1" ref="M45" ca="1">IFERROR(INDEX(MTIB!$Q$3:$Q$1000,
SMALL(
IF((MTIB!$Q$3:$Q$1000&lt;&gt;"")*(MTIB!$Q$3:$Q$1000&lt;&gt;"Not Due"),
ROW(MTIB!$Q$3:$Q$1000)-ROW(MTIB!$Q$3)+1),
ROWS(A$2:A45))
),"")</f>
        <v/>
      </c>
      <c r="O45" s="115">
        <v>44</v>
      </c>
      <c r="P45" s="120" t="str" cm="1">
        <f t="array" aca="1" ref="P45" ca="1">IFERROR(INDEX(MPOB!$E$3:$E$1000,
SMALL(
IF((MPOB!$Q$3:$Q$1000&lt;&gt;"")*(MPOB!$Q$3:$Q$1000&lt;&gt;"Not Due"),
ROW(MPOB!$Q$3:$Q$1000)-ROW(MPOB!$Q$3)+1),
ROWS(A$2:A45))),"")</f>
        <v/>
      </c>
      <c r="Q45" s="115" t="str" cm="1">
        <f t="array" aca="1" ref="Q45" ca="1">IFERROR(INDEX(MPOB!$B$3:$B$1000,
SMALL(
IF((MPOB!$Q$3:$Q$1000&lt;&gt;"")*(MPOB!$Q$3:$Q$1000&lt;&gt;"Not Due"),
ROW(MPOB!$Q$3:$Q$1000)-ROW(MPOB!$Q$3)+1),
ROWS(A$2:A45))),"")</f>
        <v/>
      </c>
      <c r="R45" s="115" t="str" cm="1">
        <f t="array" aca="1" ref="R45" ca="1">IFERROR(INDEX(MPOB!$D$3:$D$1000,
SMALL(
IF((MPOB!$Q$3:$Q$1000&lt;&gt;"")*(MPOB!$Q$3:$Q$1000&lt;&gt;"Not Due"),
ROW(MPOB!$Q$3:$Q$1000)-ROW(MPOB!$Q$3)+1),
ROWS(A$2:A45))),"")</f>
        <v/>
      </c>
      <c r="S45" s="116" t="str" cm="1">
        <f t="array" aca="1" ref="S45" ca="1">IFERROR(INDEX(MPOB!$G$3:$G$1000,
SMALL(
IF((MPOB!$Q$3:$Q$1000&lt;&gt;"")*(MPOB!$Q$3:$Q$1000&lt;&gt;"Not Due"),
ROW(MPOB!$Q$3:$Q$1000)-ROW(MPOB!$Q$3)+1),
ROWS(A$2:A45))),"")</f>
        <v/>
      </c>
      <c r="T45" s="88" t="str" cm="1">
        <f t="array" aca="1" ref="T45" ca="1">IFERROR(INDEX(MPOB!$Q$3:$Q$1000,
SMALL(
IF((MPOB!$Q$3:$Q$1000&lt;&gt;"")*(MPOB!$Q$3:$Q$1000&lt;&gt;"Not Due"),
ROW(MPOB!$Q$3:$Q$1000)-ROW(MPOB!$Q$3)+1),
ROWS(A$2:A45))
),"")</f>
        <v/>
      </c>
      <c r="V45" s="115">
        <v>44</v>
      </c>
      <c r="W45" s="121" t="str" cm="1">
        <f t="array" aca="1" ref="W45" ca="1">IFERROR(INDEX(LKTN!$E$3:$E$1000,
SMALL(
IF((LKTN!$Q$3:$Q$1000&lt;&gt;"")*(LKTN!$Q$3:$Q$1000&lt;&gt;"Not Due"),
ROW(LKTN!$Q$3:$Q$1000)-ROW(LKTN!$Q$3)+1),
ROWS(A$2:A45))),"")</f>
        <v/>
      </c>
      <c r="X45" s="115" t="str" cm="1">
        <f t="array" aca="1" ref="X45" ca="1">IFERROR(INDEX(LKTN!$B$3:$B$1000,
SMALL(
IF((LKTN!$Q$3:$Q$1000&lt;&gt;"")*(LKTN!$Q$3:$Q$1000&lt;&gt;"Not Due"),
ROW(LKTN!$Q$3:$Q$1000)-ROW(LKTN!$Q$3)+1),
ROWS(A$2:A45))),"")</f>
        <v/>
      </c>
      <c r="Y45" s="115" t="str" cm="1">
        <f t="array" aca="1" ref="Y45" ca="1">IFERROR(INDEX(LKTN!$D$3:$D$1000,
SMALL(
IF((LKTN!$Q$3:$Q$1000&lt;&gt;"")*(LKTN!$Q$3:$Q$1000&lt;&gt;"Not Due"),
ROW(LKTN!$Q$3:$Q$1000)-ROW(LKTN!$Q$3)+1),
ROWS(A$2:A45))),"")</f>
        <v/>
      </c>
      <c r="Z45" s="116"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5">
        <v>44</v>
      </c>
      <c r="AK45" s="123" t="str" cm="1">
        <f t="array" aca="1" ref="AK45" ca="1">IFERROR(INDEX(ISN!$E$3:$E$1000,
SMALL(
IF((ISN!$Q$3:$Q$1000&lt;&gt;"")*(ISN!$Q$3:$Q$1000&lt;&gt;"Not Due"),
ROW(ISN!$Q$3:$Q$1000)-ROW(ISN!$Q$3)+1),
ROWS(A$2:A45))),"")</f>
        <v/>
      </c>
      <c r="AL45" s="115" t="str" cm="1">
        <f t="array" aca="1" ref="AL45" ca="1">IFERROR(INDEX(ISN!$B$3:$B$1000,
SMALL(
IF((ISN!$Q$3:$Q$1000&lt;&gt;"")*(ISN!$Q$3:$Q$1000&lt;&gt;"Not Due"),
ROW(ISN!$Q$3:$Q$1000)-ROW(ISN!$Q$3)+1),
ROWS(A$2:A45))),"")</f>
        <v/>
      </c>
      <c r="AM45" s="116" t="str" cm="1">
        <f t="array" aca="1" ref="AM45" ca="1">IFERROR(INDEX(ISN!$D$3:$D$1000,
SMALL(
IF((ISN!$Q$3:$Q$1000&lt;&gt;"")*(ISN!$Q$3:$Q$1000&lt;&gt;"Not Due"),
ROW(ISN!$Q$3:$Q$1000)-ROW(ISN!$Q$3)+1),
ROWS(A$2:A45))),"")</f>
        <v/>
      </c>
      <c r="AN45" s="116"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5">
        <v>44</v>
      </c>
      <c r="AR45" s="124" t="str" cm="1">
        <f t="array" aca="1" ref="AR45" ca="1">IFERROR(INDEX(MSN!$E$3:$E$1000,
SMALL(
IF((MSN!$Q$3:$Q$1000&lt;&gt;"")*(MSN!$Q$3:$Q$1000&lt;&gt;"Not Due"),
ROW(MSN!$Q$3:$Q$1000)-ROW(MSN!$Q$3)+1),
ROWS(A$2:A45))),"")</f>
        <v/>
      </c>
      <c r="AS45" s="115" t="str" cm="1">
        <f t="array" aca="1" ref="AS45" ca="1">IFERROR(INDEX(MSN!$B$3:$B$1000,
SMALL(
IF((MSN!$Q$3:$Q$1000&lt;&gt;"")*(MSN!$Q$3:$Q$1000&lt;&gt;"Not Due"),
ROW(MSN!$Q$3:$Q$1000)-ROW(MSN!$Q$3)+1),
ROWS(A$2:A45))),"")</f>
        <v/>
      </c>
      <c r="AT45" s="115" t="str" cm="1">
        <f t="array" aca="1" ref="AT45" ca="1">IFERROR(INDEX(MSN!$D$3:$D$1000,
SMALL(
IF((MSN!$Q$3:$Q$1000&lt;&gt;"")*(MSN!$Q$3:$Q$1000&lt;&gt;"Not Due"),
ROW(MSN!$Q$3:$Q$1000)-ROW(MSN!$Q$3)+1),
ROWS(A$2:A45))),"")</f>
        <v/>
      </c>
      <c r="AU45" s="116"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5">
        <v>45</v>
      </c>
      <c r="B46" s="118" t="str" cm="1">
        <f t="array" aca="1" ref="B46" ca="1">IFERROR(INDEX(FRIM!$E$3:$E$1000,
SMALL(IF(FRIM!$Q$3:$Q$1000&lt;&gt;"",
ROW(FRIM!$Q$3:$Q$1000)-ROW(FRIM!$Q$3)+1),
ROWS(A$2:A46))),"")</f>
        <v/>
      </c>
      <c r="C46" s="116" t="str" cm="1">
        <f t="array" aca="1" ref="C46" ca="1">IFERROR(INDEX(FRIM!$B$3:$B$1000,
SMALL(IF(FRIM!$Q$3:$Q$1000&lt;&gt;"",
ROW(FRIM!$Q$3:$Q$1000)-ROW(FRIM!$Q$3)+1),
ROWS(A$2:A46))),"")</f>
        <v/>
      </c>
      <c r="D46" s="116" t="str" cm="1">
        <f t="array" aca="1" ref="D46" ca="1">IFERROR(INDEX(FRIM!$D$3:$D$1000,
SMALL(IF(FRIM!$Q$3:$Q$1000&lt;&gt;"",
ROW(FRIM!$Q$3:$Q$1000)-ROW(FRIM!$Q$3)+1),
ROWS(A$2:A46))),"")</f>
        <v/>
      </c>
      <c r="E46" s="116" t="str" cm="1">
        <f t="array" aca="1" ref="E46" ca="1">IFERROR(INDEX(FRIM!$G$3:$G$1000,
SMALL(IF(FRIM!$Q$3:$Q$1000&lt;&gt;"",
ROW(FRIM!$Q$3:$Q$1000)-ROW(FRIM!$Q$3)+1),
ROWS(A$2:A46))),"")</f>
        <v/>
      </c>
      <c r="F46" s="88" t="str" cm="1">
        <f t="array" aca="1" ref="F46" ca="1">IFERROR(INDEX(FRIM!$Q$3:$Q$1000,
SMALL(IF(FRIM!$Q$3:$Q$1000&lt;&gt;"",
ROW(FRIM!$Q$3:$Q$1000)-ROW(FRIM!$Q$3)+1),
ROWS(A$2:A46))),"")</f>
        <v/>
      </c>
      <c r="H46" s="115">
        <v>45</v>
      </c>
      <c r="I46" s="119" t="str" cm="1">
        <f t="array" aca="1" ref="I46" ca="1">IFERROR(INDEX(MTIB!$E$3:$E$1000,
SMALL(
IF((MTIB!$Q$3:$Q$1000&lt;&gt;"")*(MTIB!$Q$3:$Q$1000&lt;&gt;"Not Due"),
ROW(MTIB!$Q$3:$Q$1000)-ROW(MTIB!$Q$3)+1),
ROWS(A$2:A46))),"")</f>
        <v/>
      </c>
      <c r="J46" s="115" t="str" cm="1">
        <f t="array" aca="1" ref="J46" ca="1">IFERROR(INDEX(MTIB!$B$3:$B$1000,
SMALL(
IF((MTIB!$Q$3:$Q$1000&lt;&gt;"")*(MTIB!$Q$3:$Q$1000&lt;&gt;"Not Due"),
ROW(MTIB!$Q$3:$Q$1000)-ROW(MTIB!$Q$3)+1),
ROWS(A$2:A46))),"")</f>
        <v/>
      </c>
      <c r="K46" s="115" t="str" cm="1">
        <f t="array" aca="1" ref="K46" ca="1">IFERROR(INDEX(MTIB!$D$3:$D$1000,
SMALL(
IF((MTIB!$Q$3:$Q$1000&lt;&gt;"")*(MTIB!$Q$3:$Q$1000&lt;&gt;"Not Due"),
ROW(MTIB!$Q$3:$Q$1000)-ROW(MTIB!$Q$3)+1),
ROWS(A$2:A46))),"")</f>
        <v/>
      </c>
      <c r="L46" s="116" t="str" cm="1">
        <f t="array" aca="1" ref="L46" ca="1">IFERROR(INDEX(MTIB!$G$3:$G$1000,
SMALL(
IF((MTIB!$Q$3:$Q$1000&lt;&gt;"")*(MTIB!$Q$3:$Q$1000&lt;&gt;"Not Due"),
ROW(MTIB!$Q$3:$Q$1000)-ROW(MTIB!$Q$3)+1),
ROWS(A$2:A46))),"")</f>
        <v/>
      </c>
      <c r="M46" s="88" t="str" cm="1">
        <f t="array" aca="1" ref="M46" ca="1">IFERROR(INDEX(MTIB!$Q$3:$Q$1000,
SMALL(
IF((MTIB!$Q$3:$Q$1000&lt;&gt;"")*(MTIB!$Q$3:$Q$1000&lt;&gt;"Not Due"),
ROW(MTIB!$Q$3:$Q$1000)-ROW(MTIB!$Q$3)+1),
ROWS(A$2:A46))
),"")</f>
        <v/>
      </c>
      <c r="O46" s="115">
        <v>45</v>
      </c>
      <c r="P46" s="120" t="str" cm="1">
        <f t="array" aca="1" ref="P46" ca="1">IFERROR(INDEX(MPOB!$E$3:$E$1000,
SMALL(
IF((MPOB!$Q$3:$Q$1000&lt;&gt;"")*(MPOB!$Q$3:$Q$1000&lt;&gt;"Not Due"),
ROW(MPOB!$Q$3:$Q$1000)-ROW(MPOB!$Q$3)+1),
ROWS(A$2:A46))),"")</f>
        <v/>
      </c>
      <c r="Q46" s="115" t="str" cm="1">
        <f t="array" aca="1" ref="Q46" ca="1">IFERROR(INDEX(MPOB!$B$3:$B$1000,
SMALL(
IF((MPOB!$Q$3:$Q$1000&lt;&gt;"")*(MPOB!$Q$3:$Q$1000&lt;&gt;"Not Due"),
ROW(MPOB!$Q$3:$Q$1000)-ROW(MPOB!$Q$3)+1),
ROWS(A$2:A46))),"")</f>
        <v/>
      </c>
      <c r="R46" s="115" t="str" cm="1">
        <f t="array" aca="1" ref="R46" ca="1">IFERROR(INDEX(MPOB!$D$3:$D$1000,
SMALL(
IF((MPOB!$Q$3:$Q$1000&lt;&gt;"")*(MPOB!$Q$3:$Q$1000&lt;&gt;"Not Due"),
ROW(MPOB!$Q$3:$Q$1000)-ROW(MPOB!$Q$3)+1),
ROWS(A$2:A46))),"")</f>
        <v/>
      </c>
      <c r="S46" s="116" t="str" cm="1">
        <f t="array" aca="1" ref="S46" ca="1">IFERROR(INDEX(MPOB!$G$3:$G$1000,
SMALL(
IF((MPOB!$Q$3:$Q$1000&lt;&gt;"")*(MPOB!$Q$3:$Q$1000&lt;&gt;"Not Due"),
ROW(MPOB!$Q$3:$Q$1000)-ROW(MPOB!$Q$3)+1),
ROWS(A$2:A46))),"")</f>
        <v/>
      </c>
      <c r="T46" s="88" t="str" cm="1">
        <f t="array" aca="1" ref="T46" ca="1">IFERROR(INDEX(MPOB!$Q$3:$Q$1000,
SMALL(
IF((MPOB!$Q$3:$Q$1000&lt;&gt;"")*(MPOB!$Q$3:$Q$1000&lt;&gt;"Not Due"),
ROW(MPOB!$Q$3:$Q$1000)-ROW(MPOB!$Q$3)+1),
ROWS(A$2:A46))
),"")</f>
        <v/>
      </c>
      <c r="V46" s="115">
        <v>45</v>
      </c>
      <c r="W46" s="121" t="str" cm="1">
        <f t="array" aca="1" ref="W46" ca="1">IFERROR(INDEX(LKTN!$E$3:$E$1000,
SMALL(
IF((LKTN!$Q$3:$Q$1000&lt;&gt;"")*(LKTN!$Q$3:$Q$1000&lt;&gt;"Not Due"),
ROW(LKTN!$Q$3:$Q$1000)-ROW(LKTN!$Q$3)+1),
ROWS(A$2:A46))),"")</f>
        <v/>
      </c>
      <c r="X46" s="115" t="str" cm="1">
        <f t="array" aca="1" ref="X46" ca="1">IFERROR(INDEX(LKTN!$B$3:$B$1000,
SMALL(
IF((LKTN!$Q$3:$Q$1000&lt;&gt;"")*(LKTN!$Q$3:$Q$1000&lt;&gt;"Not Due"),
ROW(LKTN!$Q$3:$Q$1000)-ROW(LKTN!$Q$3)+1),
ROWS(A$2:A46))),"")</f>
        <v/>
      </c>
      <c r="Y46" s="115" t="str" cm="1">
        <f t="array" aca="1" ref="Y46" ca="1">IFERROR(INDEX(LKTN!$D$3:$D$1000,
SMALL(
IF((LKTN!$Q$3:$Q$1000&lt;&gt;"")*(LKTN!$Q$3:$Q$1000&lt;&gt;"Not Due"),
ROW(LKTN!$Q$3:$Q$1000)-ROW(LKTN!$Q$3)+1),
ROWS(A$2:A46))),"")</f>
        <v/>
      </c>
      <c r="Z46" s="116"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5">
        <v>45</v>
      </c>
      <c r="AK46" s="123" t="str" cm="1">
        <f t="array" aca="1" ref="AK46" ca="1">IFERROR(INDEX(ISN!$E$3:$E$1000,
SMALL(
IF((ISN!$Q$3:$Q$1000&lt;&gt;"")*(ISN!$Q$3:$Q$1000&lt;&gt;"Not Due"),
ROW(ISN!$Q$3:$Q$1000)-ROW(ISN!$Q$3)+1),
ROWS(A$2:A46))),"")</f>
        <v/>
      </c>
      <c r="AL46" s="115" t="str" cm="1">
        <f t="array" aca="1" ref="AL46" ca="1">IFERROR(INDEX(ISN!$B$3:$B$1000,
SMALL(
IF((ISN!$Q$3:$Q$1000&lt;&gt;"")*(ISN!$Q$3:$Q$1000&lt;&gt;"Not Due"),
ROW(ISN!$Q$3:$Q$1000)-ROW(ISN!$Q$3)+1),
ROWS(A$2:A46))),"")</f>
        <v/>
      </c>
      <c r="AM46" s="116" t="str" cm="1">
        <f t="array" aca="1" ref="AM46" ca="1">IFERROR(INDEX(ISN!$D$3:$D$1000,
SMALL(
IF((ISN!$Q$3:$Q$1000&lt;&gt;"")*(ISN!$Q$3:$Q$1000&lt;&gt;"Not Due"),
ROW(ISN!$Q$3:$Q$1000)-ROW(ISN!$Q$3)+1),
ROWS(A$2:A46))),"")</f>
        <v/>
      </c>
      <c r="AN46" s="116"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5">
        <v>45</v>
      </c>
      <c r="AR46" s="124" t="str" cm="1">
        <f t="array" aca="1" ref="AR46" ca="1">IFERROR(INDEX(MSN!$E$3:$E$1000,
SMALL(
IF((MSN!$Q$3:$Q$1000&lt;&gt;"")*(MSN!$Q$3:$Q$1000&lt;&gt;"Not Due"),
ROW(MSN!$Q$3:$Q$1000)-ROW(MSN!$Q$3)+1),
ROWS(A$2:A46))),"")</f>
        <v/>
      </c>
      <c r="AS46" s="115" t="str" cm="1">
        <f t="array" aca="1" ref="AS46" ca="1">IFERROR(INDEX(MSN!$B$3:$B$1000,
SMALL(
IF((MSN!$Q$3:$Q$1000&lt;&gt;"")*(MSN!$Q$3:$Q$1000&lt;&gt;"Not Due"),
ROW(MSN!$Q$3:$Q$1000)-ROW(MSN!$Q$3)+1),
ROWS(A$2:A46))),"")</f>
        <v/>
      </c>
      <c r="AT46" s="115" t="str" cm="1">
        <f t="array" aca="1" ref="AT46" ca="1">IFERROR(INDEX(MSN!$D$3:$D$1000,
SMALL(
IF((MSN!$Q$3:$Q$1000&lt;&gt;"")*(MSN!$Q$3:$Q$1000&lt;&gt;"Not Due"),
ROW(MSN!$Q$3:$Q$1000)-ROW(MSN!$Q$3)+1),
ROWS(A$2:A46))),"")</f>
        <v/>
      </c>
      <c r="AU46" s="116"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5">
        <v>46</v>
      </c>
      <c r="B47" s="118" t="str" cm="1">
        <f t="array" aca="1" ref="B47" ca="1">IFERROR(INDEX(FRIM!$E$3:$E$1000,
SMALL(IF(FRIM!$Q$3:$Q$1000&lt;&gt;"",
ROW(FRIM!$Q$3:$Q$1000)-ROW(FRIM!$Q$3)+1),
ROWS(A$2:A47))),"")</f>
        <v/>
      </c>
      <c r="C47" s="116" t="str" cm="1">
        <f t="array" aca="1" ref="C47" ca="1">IFERROR(INDEX(FRIM!$B$3:$B$1000,
SMALL(IF(FRIM!$Q$3:$Q$1000&lt;&gt;"",
ROW(FRIM!$Q$3:$Q$1000)-ROW(FRIM!$Q$3)+1),
ROWS(A$2:A47))),"")</f>
        <v/>
      </c>
      <c r="D47" s="116" t="str" cm="1">
        <f t="array" aca="1" ref="D47" ca="1">IFERROR(INDEX(FRIM!$D$3:$D$1000,
SMALL(IF(FRIM!$Q$3:$Q$1000&lt;&gt;"",
ROW(FRIM!$Q$3:$Q$1000)-ROW(FRIM!$Q$3)+1),
ROWS(A$2:A47))),"")</f>
        <v/>
      </c>
      <c r="E47" s="116" t="str" cm="1">
        <f t="array" aca="1" ref="E47" ca="1">IFERROR(INDEX(FRIM!$G$3:$G$1000,
SMALL(IF(FRIM!$Q$3:$Q$1000&lt;&gt;"",
ROW(FRIM!$Q$3:$Q$1000)-ROW(FRIM!$Q$3)+1),
ROWS(A$2:A47))),"")</f>
        <v/>
      </c>
      <c r="F47" s="88" t="str" cm="1">
        <f t="array" aca="1" ref="F47" ca="1">IFERROR(INDEX(FRIM!$Q$3:$Q$1000,
SMALL(IF(FRIM!$Q$3:$Q$1000&lt;&gt;"",
ROW(FRIM!$Q$3:$Q$1000)-ROW(FRIM!$Q$3)+1),
ROWS(A$2:A47))),"")</f>
        <v/>
      </c>
      <c r="H47" s="115">
        <v>46</v>
      </c>
      <c r="I47" s="119" t="str" cm="1">
        <f t="array" aca="1" ref="I47" ca="1">IFERROR(INDEX(MTIB!$E$3:$E$1000,
SMALL(
IF((MTIB!$Q$3:$Q$1000&lt;&gt;"")*(MTIB!$Q$3:$Q$1000&lt;&gt;"Not Due"),
ROW(MTIB!$Q$3:$Q$1000)-ROW(MTIB!$Q$3)+1),
ROWS(A$2:A47))),"")</f>
        <v/>
      </c>
      <c r="J47" s="115" t="str" cm="1">
        <f t="array" aca="1" ref="J47" ca="1">IFERROR(INDEX(MTIB!$B$3:$B$1000,
SMALL(
IF((MTIB!$Q$3:$Q$1000&lt;&gt;"")*(MTIB!$Q$3:$Q$1000&lt;&gt;"Not Due"),
ROW(MTIB!$Q$3:$Q$1000)-ROW(MTIB!$Q$3)+1),
ROWS(A$2:A47))),"")</f>
        <v/>
      </c>
      <c r="K47" s="115" t="str" cm="1">
        <f t="array" aca="1" ref="K47" ca="1">IFERROR(INDEX(MTIB!$D$3:$D$1000,
SMALL(
IF((MTIB!$Q$3:$Q$1000&lt;&gt;"")*(MTIB!$Q$3:$Q$1000&lt;&gt;"Not Due"),
ROW(MTIB!$Q$3:$Q$1000)-ROW(MTIB!$Q$3)+1),
ROWS(A$2:A47))),"")</f>
        <v/>
      </c>
      <c r="L47" s="116" t="str" cm="1">
        <f t="array" aca="1" ref="L47" ca="1">IFERROR(INDEX(MTIB!$G$3:$G$1000,
SMALL(
IF((MTIB!$Q$3:$Q$1000&lt;&gt;"")*(MTIB!$Q$3:$Q$1000&lt;&gt;"Not Due"),
ROW(MTIB!$Q$3:$Q$1000)-ROW(MTIB!$Q$3)+1),
ROWS(A$2:A47))),"")</f>
        <v/>
      </c>
      <c r="M47" s="88" t="str" cm="1">
        <f t="array" aca="1" ref="M47" ca="1">IFERROR(INDEX(MTIB!$Q$3:$Q$1000,
SMALL(
IF((MTIB!$Q$3:$Q$1000&lt;&gt;"")*(MTIB!$Q$3:$Q$1000&lt;&gt;"Not Due"),
ROW(MTIB!$Q$3:$Q$1000)-ROW(MTIB!$Q$3)+1),
ROWS(A$2:A47))
),"")</f>
        <v/>
      </c>
      <c r="O47" s="115">
        <v>46</v>
      </c>
      <c r="P47" s="120" t="str" cm="1">
        <f t="array" aca="1" ref="P47" ca="1">IFERROR(INDEX(MPOB!$E$3:$E$1000,
SMALL(
IF((MPOB!$Q$3:$Q$1000&lt;&gt;"")*(MPOB!$Q$3:$Q$1000&lt;&gt;"Not Due"),
ROW(MPOB!$Q$3:$Q$1000)-ROW(MPOB!$Q$3)+1),
ROWS(A$2:A47))),"")</f>
        <v/>
      </c>
      <c r="Q47" s="115" t="str" cm="1">
        <f t="array" aca="1" ref="Q47" ca="1">IFERROR(INDEX(MPOB!$B$3:$B$1000,
SMALL(
IF((MPOB!$Q$3:$Q$1000&lt;&gt;"")*(MPOB!$Q$3:$Q$1000&lt;&gt;"Not Due"),
ROW(MPOB!$Q$3:$Q$1000)-ROW(MPOB!$Q$3)+1),
ROWS(A$2:A47))),"")</f>
        <v/>
      </c>
      <c r="R47" s="115" t="str" cm="1">
        <f t="array" aca="1" ref="R47" ca="1">IFERROR(INDEX(MPOB!$D$3:$D$1000,
SMALL(
IF((MPOB!$Q$3:$Q$1000&lt;&gt;"")*(MPOB!$Q$3:$Q$1000&lt;&gt;"Not Due"),
ROW(MPOB!$Q$3:$Q$1000)-ROW(MPOB!$Q$3)+1),
ROWS(A$2:A47))),"")</f>
        <v/>
      </c>
      <c r="S47" s="116" t="str" cm="1">
        <f t="array" aca="1" ref="S47" ca="1">IFERROR(INDEX(MPOB!$G$3:$G$1000,
SMALL(
IF((MPOB!$Q$3:$Q$1000&lt;&gt;"")*(MPOB!$Q$3:$Q$1000&lt;&gt;"Not Due"),
ROW(MPOB!$Q$3:$Q$1000)-ROW(MPOB!$Q$3)+1),
ROWS(A$2:A47))),"")</f>
        <v/>
      </c>
      <c r="T47" s="88" t="str" cm="1">
        <f t="array" aca="1" ref="T47" ca="1">IFERROR(INDEX(MPOB!$Q$3:$Q$1000,
SMALL(
IF((MPOB!$Q$3:$Q$1000&lt;&gt;"")*(MPOB!$Q$3:$Q$1000&lt;&gt;"Not Due"),
ROW(MPOB!$Q$3:$Q$1000)-ROW(MPOB!$Q$3)+1),
ROWS(A$2:A47))
),"")</f>
        <v/>
      </c>
      <c r="V47" s="115">
        <v>46</v>
      </c>
      <c r="W47" s="121" t="str" cm="1">
        <f t="array" aca="1" ref="W47" ca="1">IFERROR(INDEX(LKTN!$E$3:$E$1000,
SMALL(
IF((LKTN!$Q$3:$Q$1000&lt;&gt;"")*(LKTN!$Q$3:$Q$1000&lt;&gt;"Not Due"),
ROW(LKTN!$Q$3:$Q$1000)-ROW(LKTN!$Q$3)+1),
ROWS(A$2:A47))),"")</f>
        <v/>
      </c>
      <c r="X47" s="115" t="str" cm="1">
        <f t="array" aca="1" ref="X47" ca="1">IFERROR(INDEX(LKTN!$B$3:$B$1000,
SMALL(
IF((LKTN!$Q$3:$Q$1000&lt;&gt;"")*(LKTN!$Q$3:$Q$1000&lt;&gt;"Not Due"),
ROW(LKTN!$Q$3:$Q$1000)-ROW(LKTN!$Q$3)+1),
ROWS(A$2:A47))),"")</f>
        <v/>
      </c>
      <c r="Y47" s="115" t="str" cm="1">
        <f t="array" aca="1" ref="Y47" ca="1">IFERROR(INDEX(LKTN!$D$3:$D$1000,
SMALL(
IF((LKTN!$Q$3:$Q$1000&lt;&gt;"")*(LKTN!$Q$3:$Q$1000&lt;&gt;"Not Due"),
ROW(LKTN!$Q$3:$Q$1000)-ROW(LKTN!$Q$3)+1),
ROWS(A$2:A47))),"")</f>
        <v/>
      </c>
      <c r="Z47" s="116"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5">
        <v>46</v>
      </c>
      <c r="AK47" s="123" t="str" cm="1">
        <f t="array" aca="1" ref="AK47" ca="1">IFERROR(INDEX(ISN!$E$3:$E$1000,
SMALL(
IF((ISN!$Q$3:$Q$1000&lt;&gt;"")*(ISN!$Q$3:$Q$1000&lt;&gt;"Not Due"),
ROW(ISN!$Q$3:$Q$1000)-ROW(ISN!$Q$3)+1),
ROWS(A$2:A47))),"")</f>
        <v/>
      </c>
      <c r="AL47" s="115" t="str" cm="1">
        <f t="array" aca="1" ref="AL47" ca="1">IFERROR(INDEX(ISN!$B$3:$B$1000,
SMALL(
IF((ISN!$Q$3:$Q$1000&lt;&gt;"")*(ISN!$Q$3:$Q$1000&lt;&gt;"Not Due"),
ROW(ISN!$Q$3:$Q$1000)-ROW(ISN!$Q$3)+1),
ROWS(A$2:A47))),"")</f>
        <v/>
      </c>
      <c r="AM47" s="116" t="str" cm="1">
        <f t="array" aca="1" ref="AM47" ca="1">IFERROR(INDEX(ISN!$D$3:$D$1000,
SMALL(
IF((ISN!$Q$3:$Q$1000&lt;&gt;"")*(ISN!$Q$3:$Q$1000&lt;&gt;"Not Due"),
ROW(ISN!$Q$3:$Q$1000)-ROW(ISN!$Q$3)+1),
ROWS(A$2:A47))),"")</f>
        <v/>
      </c>
      <c r="AN47" s="116"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5">
        <v>46</v>
      </c>
      <c r="AR47" s="124" t="str" cm="1">
        <f t="array" aca="1" ref="AR47" ca="1">IFERROR(INDEX(MSN!$E$3:$E$1000,
SMALL(
IF((MSN!$Q$3:$Q$1000&lt;&gt;"")*(MSN!$Q$3:$Q$1000&lt;&gt;"Not Due"),
ROW(MSN!$Q$3:$Q$1000)-ROW(MSN!$Q$3)+1),
ROWS(A$2:A47))),"")</f>
        <v/>
      </c>
      <c r="AS47" s="115" t="str" cm="1">
        <f t="array" aca="1" ref="AS47" ca="1">IFERROR(INDEX(MSN!$B$3:$B$1000,
SMALL(
IF((MSN!$Q$3:$Q$1000&lt;&gt;"")*(MSN!$Q$3:$Q$1000&lt;&gt;"Not Due"),
ROW(MSN!$Q$3:$Q$1000)-ROW(MSN!$Q$3)+1),
ROWS(A$2:A47))),"")</f>
        <v/>
      </c>
      <c r="AT47" s="115" t="str" cm="1">
        <f t="array" aca="1" ref="AT47" ca="1">IFERROR(INDEX(MSN!$D$3:$D$1000,
SMALL(
IF((MSN!$Q$3:$Q$1000&lt;&gt;"")*(MSN!$Q$3:$Q$1000&lt;&gt;"Not Due"),
ROW(MSN!$Q$3:$Q$1000)-ROW(MSN!$Q$3)+1),
ROWS(A$2:A47))),"")</f>
        <v/>
      </c>
      <c r="AU47" s="116"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5">
        <v>47</v>
      </c>
      <c r="B48" s="118" t="str" cm="1">
        <f t="array" aca="1" ref="B48" ca="1">IFERROR(INDEX(FRIM!$E$3:$E$1000,
SMALL(IF(FRIM!$Q$3:$Q$1000&lt;&gt;"",
ROW(FRIM!$Q$3:$Q$1000)-ROW(FRIM!$Q$3)+1),
ROWS(A$2:A48))),"")</f>
        <v/>
      </c>
      <c r="C48" s="116" t="str" cm="1">
        <f t="array" aca="1" ref="C48" ca="1">IFERROR(INDEX(FRIM!$B$3:$B$1000,
SMALL(IF(FRIM!$Q$3:$Q$1000&lt;&gt;"",
ROW(FRIM!$Q$3:$Q$1000)-ROW(FRIM!$Q$3)+1),
ROWS(A$2:A48))),"")</f>
        <v/>
      </c>
      <c r="D48" s="116" t="str" cm="1">
        <f t="array" aca="1" ref="D48" ca="1">IFERROR(INDEX(FRIM!$D$3:$D$1000,
SMALL(IF(FRIM!$Q$3:$Q$1000&lt;&gt;"",
ROW(FRIM!$Q$3:$Q$1000)-ROW(FRIM!$Q$3)+1),
ROWS(A$2:A48))),"")</f>
        <v/>
      </c>
      <c r="E48" s="116" t="str" cm="1">
        <f t="array" aca="1" ref="E48" ca="1">IFERROR(INDEX(FRIM!$G$3:$G$1000,
SMALL(IF(FRIM!$Q$3:$Q$1000&lt;&gt;"",
ROW(FRIM!$Q$3:$Q$1000)-ROW(FRIM!$Q$3)+1),
ROWS(A$2:A48))),"")</f>
        <v/>
      </c>
      <c r="F48" s="88" t="str" cm="1">
        <f t="array" aca="1" ref="F48" ca="1">IFERROR(INDEX(FRIM!$Q$3:$Q$1000,
SMALL(IF(FRIM!$Q$3:$Q$1000&lt;&gt;"",
ROW(FRIM!$Q$3:$Q$1000)-ROW(FRIM!$Q$3)+1),
ROWS(A$2:A48))),"")</f>
        <v/>
      </c>
      <c r="H48" s="115">
        <v>47</v>
      </c>
      <c r="I48" s="119" t="str" cm="1">
        <f t="array" aca="1" ref="I48" ca="1">IFERROR(INDEX(MTIB!$E$3:$E$1000,
SMALL(
IF((MTIB!$Q$3:$Q$1000&lt;&gt;"")*(MTIB!$Q$3:$Q$1000&lt;&gt;"Not Due"),
ROW(MTIB!$Q$3:$Q$1000)-ROW(MTIB!$Q$3)+1),
ROWS(A$2:A48))),"")</f>
        <v/>
      </c>
      <c r="J48" s="115" t="str" cm="1">
        <f t="array" aca="1" ref="J48" ca="1">IFERROR(INDEX(MTIB!$B$3:$B$1000,
SMALL(
IF((MTIB!$Q$3:$Q$1000&lt;&gt;"")*(MTIB!$Q$3:$Q$1000&lt;&gt;"Not Due"),
ROW(MTIB!$Q$3:$Q$1000)-ROW(MTIB!$Q$3)+1),
ROWS(A$2:A48))),"")</f>
        <v/>
      </c>
      <c r="K48" s="115" t="str" cm="1">
        <f t="array" aca="1" ref="K48" ca="1">IFERROR(INDEX(MTIB!$D$3:$D$1000,
SMALL(
IF((MTIB!$Q$3:$Q$1000&lt;&gt;"")*(MTIB!$Q$3:$Q$1000&lt;&gt;"Not Due"),
ROW(MTIB!$Q$3:$Q$1000)-ROW(MTIB!$Q$3)+1),
ROWS(A$2:A48))),"")</f>
        <v/>
      </c>
      <c r="L48" s="116" t="str" cm="1">
        <f t="array" aca="1" ref="L48" ca="1">IFERROR(INDEX(MTIB!$G$3:$G$1000,
SMALL(
IF((MTIB!$Q$3:$Q$1000&lt;&gt;"")*(MTIB!$Q$3:$Q$1000&lt;&gt;"Not Due"),
ROW(MTIB!$Q$3:$Q$1000)-ROW(MTIB!$Q$3)+1),
ROWS(A$2:A48))),"")</f>
        <v/>
      </c>
      <c r="M48" s="88" t="str" cm="1">
        <f t="array" aca="1" ref="M48" ca="1">IFERROR(INDEX(MTIB!$Q$3:$Q$1000,
SMALL(
IF((MTIB!$Q$3:$Q$1000&lt;&gt;"")*(MTIB!$Q$3:$Q$1000&lt;&gt;"Not Due"),
ROW(MTIB!$Q$3:$Q$1000)-ROW(MTIB!$Q$3)+1),
ROWS(A$2:A48))
),"")</f>
        <v/>
      </c>
      <c r="O48" s="115">
        <v>47</v>
      </c>
      <c r="P48" s="120" t="str" cm="1">
        <f t="array" aca="1" ref="P48" ca="1">IFERROR(INDEX(MPOB!$E$3:$E$1000,
SMALL(
IF((MPOB!$Q$3:$Q$1000&lt;&gt;"")*(MPOB!$Q$3:$Q$1000&lt;&gt;"Not Due"),
ROW(MPOB!$Q$3:$Q$1000)-ROW(MPOB!$Q$3)+1),
ROWS(A$2:A48))),"")</f>
        <v/>
      </c>
      <c r="Q48" s="115" t="str" cm="1">
        <f t="array" aca="1" ref="Q48" ca="1">IFERROR(INDEX(MPOB!$B$3:$B$1000,
SMALL(
IF((MPOB!$Q$3:$Q$1000&lt;&gt;"")*(MPOB!$Q$3:$Q$1000&lt;&gt;"Not Due"),
ROW(MPOB!$Q$3:$Q$1000)-ROW(MPOB!$Q$3)+1),
ROWS(A$2:A48))),"")</f>
        <v/>
      </c>
      <c r="R48" s="115" t="str" cm="1">
        <f t="array" aca="1" ref="R48" ca="1">IFERROR(INDEX(MPOB!$D$3:$D$1000,
SMALL(
IF((MPOB!$Q$3:$Q$1000&lt;&gt;"")*(MPOB!$Q$3:$Q$1000&lt;&gt;"Not Due"),
ROW(MPOB!$Q$3:$Q$1000)-ROW(MPOB!$Q$3)+1),
ROWS(A$2:A48))),"")</f>
        <v/>
      </c>
      <c r="S48" s="116" t="str" cm="1">
        <f t="array" aca="1" ref="S48" ca="1">IFERROR(INDEX(MPOB!$G$3:$G$1000,
SMALL(
IF((MPOB!$Q$3:$Q$1000&lt;&gt;"")*(MPOB!$Q$3:$Q$1000&lt;&gt;"Not Due"),
ROW(MPOB!$Q$3:$Q$1000)-ROW(MPOB!$Q$3)+1),
ROWS(A$2:A48))),"")</f>
        <v/>
      </c>
      <c r="T48" s="88" t="str" cm="1">
        <f t="array" aca="1" ref="T48" ca="1">IFERROR(INDEX(MPOB!$Q$3:$Q$1000,
SMALL(
IF((MPOB!$Q$3:$Q$1000&lt;&gt;"")*(MPOB!$Q$3:$Q$1000&lt;&gt;"Not Due"),
ROW(MPOB!$Q$3:$Q$1000)-ROW(MPOB!$Q$3)+1),
ROWS(A$2:A48))
),"")</f>
        <v/>
      </c>
      <c r="V48" s="115">
        <v>47</v>
      </c>
      <c r="W48" s="121" t="str" cm="1">
        <f t="array" aca="1" ref="W48" ca="1">IFERROR(INDEX(LKTN!$E$3:$E$1000,
SMALL(
IF((LKTN!$Q$3:$Q$1000&lt;&gt;"")*(LKTN!$Q$3:$Q$1000&lt;&gt;"Not Due"),
ROW(LKTN!$Q$3:$Q$1000)-ROW(LKTN!$Q$3)+1),
ROWS(A$2:A48))),"")</f>
        <v/>
      </c>
      <c r="X48" s="115" t="str" cm="1">
        <f t="array" aca="1" ref="X48" ca="1">IFERROR(INDEX(LKTN!$B$3:$B$1000,
SMALL(
IF((LKTN!$Q$3:$Q$1000&lt;&gt;"")*(LKTN!$Q$3:$Q$1000&lt;&gt;"Not Due"),
ROW(LKTN!$Q$3:$Q$1000)-ROW(LKTN!$Q$3)+1),
ROWS(A$2:A48))),"")</f>
        <v/>
      </c>
      <c r="Y48" s="115" t="str" cm="1">
        <f t="array" aca="1" ref="Y48" ca="1">IFERROR(INDEX(LKTN!$D$3:$D$1000,
SMALL(
IF((LKTN!$Q$3:$Q$1000&lt;&gt;"")*(LKTN!$Q$3:$Q$1000&lt;&gt;"Not Due"),
ROW(LKTN!$Q$3:$Q$1000)-ROW(LKTN!$Q$3)+1),
ROWS(A$2:A48))),"")</f>
        <v/>
      </c>
      <c r="Z48" s="116"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5">
        <v>47</v>
      </c>
      <c r="AK48" s="123" t="str" cm="1">
        <f t="array" aca="1" ref="AK48" ca="1">IFERROR(INDEX(ISN!$E$3:$E$1000,
SMALL(
IF((ISN!$Q$3:$Q$1000&lt;&gt;"")*(ISN!$Q$3:$Q$1000&lt;&gt;"Not Due"),
ROW(ISN!$Q$3:$Q$1000)-ROW(ISN!$Q$3)+1),
ROWS(A$2:A48))),"")</f>
        <v/>
      </c>
      <c r="AL48" s="115" t="str" cm="1">
        <f t="array" aca="1" ref="AL48" ca="1">IFERROR(INDEX(ISN!$B$3:$B$1000,
SMALL(
IF((ISN!$Q$3:$Q$1000&lt;&gt;"")*(ISN!$Q$3:$Q$1000&lt;&gt;"Not Due"),
ROW(ISN!$Q$3:$Q$1000)-ROW(ISN!$Q$3)+1),
ROWS(A$2:A48))),"")</f>
        <v/>
      </c>
      <c r="AM48" s="116" t="str" cm="1">
        <f t="array" aca="1" ref="AM48" ca="1">IFERROR(INDEX(ISN!$D$3:$D$1000,
SMALL(
IF((ISN!$Q$3:$Q$1000&lt;&gt;"")*(ISN!$Q$3:$Q$1000&lt;&gt;"Not Due"),
ROW(ISN!$Q$3:$Q$1000)-ROW(ISN!$Q$3)+1),
ROWS(A$2:A48))),"")</f>
        <v/>
      </c>
      <c r="AN48" s="116"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5">
        <v>47</v>
      </c>
      <c r="AR48" s="124" t="str" cm="1">
        <f t="array" aca="1" ref="AR48" ca="1">IFERROR(INDEX(MSN!$E$3:$E$1000,
SMALL(
IF((MSN!$Q$3:$Q$1000&lt;&gt;"")*(MSN!$Q$3:$Q$1000&lt;&gt;"Not Due"),
ROW(MSN!$Q$3:$Q$1000)-ROW(MSN!$Q$3)+1),
ROWS(A$2:A48))),"")</f>
        <v/>
      </c>
      <c r="AS48" s="115" t="str" cm="1">
        <f t="array" aca="1" ref="AS48" ca="1">IFERROR(INDEX(MSN!$B$3:$B$1000,
SMALL(
IF((MSN!$Q$3:$Q$1000&lt;&gt;"")*(MSN!$Q$3:$Q$1000&lt;&gt;"Not Due"),
ROW(MSN!$Q$3:$Q$1000)-ROW(MSN!$Q$3)+1),
ROWS(A$2:A48))),"")</f>
        <v/>
      </c>
      <c r="AT48" s="115" t="str" cm="1">
        <f t="array" aca="1" ref="AT48" ca="1">IFERROR(INDEX(MSN!$D$3:$D$1000,
SMALL(
IF((MSN!$Q$3:$Q$1000&lt;&gt;"")*(MSN!$Q$3:$Q$1000&lt;&gt;"Not Due"),
ROW(MSN!$Q$3:$Q$1000)-ROW(MSN!$Q$3)+1),
ROWS(A$2:A48))),"")</f>
        <v/>
      </c>
      <c r="AU48" s="116"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5">
        <v>48</v>
      </c>
      <c r="B49" s="118" t="str" cm="1">
        <f t="array" aca="1" ref="B49" ca="1">IFERROR(INDEX(FRIM!$E$3:$E$1000,
SMALL(IF(FRIM!$Q$3:$Q$1000&lt;&gt;"",
ROW(FRIM!$Q$3:$Q$1000)-ROW(FRIM!$Q$3)+1),
ROWS(A$2:A49))),"")</f>
        <v/>
      </c>
      <c r="C49" s="116" t="str" cm="1">
        <f t="array" aca="1" ref="C49" ca="1">IFERROR(INDEX(FRIM!$B$3:$B$1000,
SMALL(IF(FRIM!$Q$3:$Q$1000&lt;&gt;"",
ROW(FRIM!$Q$3:$Q$1000)-ROW(FRIM!$Q$3)+1),
ROWS(A$2:A49))),"")</f>
        <v/>
      </c>
      <c r="D49" s="116" t="str" cm="1">
        <f t="array" aca="1" ref="D49" ca="1">IFERROR(INDEX(FRIM!$D$3:$D$1000,
SMALL(IF(FRIM!$Q$3:$Q$1000&lt;&gt;"",
ROW(FRIM!$Q$3:$Q$1000)-ROW(FRIM!$Q$3)+1),
ROWS(A$2:A49))),"")</f>
        <v/>
      </c>
      <c r="E49" s="116" t="str" cm="1">
        <f t="array" aca="1" ref="E49" ca="1">IFERROR(INDEX(FRIM!$G$3:$G$1000,
SMALL(IF(FRIM!$Q$3:$Q$1000&lt;&gt;"",
ROW(FRIM!$Q$3:$Q$1000)-ROW(FRIM!$Q$3)+1),
ROWS(A$2:A49))),"")</f>
        <v/>
      </c>
      <c r="F49" s="88" t="str" cm="1">
        <f t="array" aca="1" ref="F49" ca="1">IFERROR(INDEX(FRIM!$Q$3:$Q$1000,
SMALL(IF(FRIM!$Q$3:$Q$1000&lt;&gt;"",
ROW(FRIM!$Q$3:$Q$1000)-ROW(FRIM!$Q$3)+1),
ROWS(A$2:A49))),"")</f>
        <v/>
      </c>
      <c r="H49" s="115">
        <v>48</v>
      </c>
      <c r="I49" s="119" t="str" cm="1">
        <f t="array" aca="1" ref="I49" ca="1">IFERROR(INDEX(MTIB!$E$3:$E$1000,
SMALL(
IF((MTIB!$Q$3:$Q$1000&lt;&gt;"")*(MTIB!$Q$3:$Q$1000&lt;&gt;"Not Due"),
ROW(MTIB!$Q$3:$Q$1000)-ROW(MTIB!$Q$3)+1),
ROWS(A$2:A49))),"")</f>
        <v/>
      </c>
      <c r="J49" s="115" t="str" cm="1">
        <f t="array" aca="1" ref="J49" ca="1">IFERROR(INDEX(MTIB!$B$3:$B$1000,
SMALL(
IF((MTIB!$Q$3:$Q$1000&lt;&gt;"")*(MTIB!$Q$3:$Q$1000&lt;&gt;"Not Due"),
ROW(MTIB!$Q$3:$Q$1000)-ROW(MTIB!$Q$3)+1),
ROWS(A$2:A49))),"")</f>
        <v/>
      </c>
      <c r="K49" s="115" t="str" cm="1">
        <f t="array" aca="1" ref="K49" ca="1">IFERROR(INDEX(MTIB!$D$3:$D$1000,
SMALL(
IF((MTIB!$Q$3:$Q$1000&lt;&gt;"")*(MTIB!$Q$3:$Q$1000&lt;&gt;"Not Due"),
ROW(MTIB!$Q$3:$Q$1000)-ROW(MTIB!$Q$3)+1),
ROWS(A$2:A49))),"")</f>
        <v/>
      </c>
      <c r="L49" s="116" t="str" cm="1">
        <f t="array" aca="1" ref="L49" ca="1">IFERROR(INDEX(MTIB!$G$3:$G$1000,
SMALL(
IF((MTIB!$Q$3:$Q$1000&lt;&gt;"")*(MTIB!$Q$3:$Q$1000&lt;&gt;"Not Due"),
ROW(MTIB!$Q$3:$Q$1000)-ROW(MTIB!$Q$3)+1),
ROWS(A$2:A49))),"")</f>
        <v/>
      </c>
      <c r="M49" s="88" t="str" cm="1">
        <f t="array" aca="1" ref="M49" ca="1">IFERROR(INDEX(MTIB!$Q$3:$Q$1000,
SMALL(
IF((MTIB!$Q$3:$Q$1000&lt;&gt;"")*(MTIB!$Q$3:$Q$1000&lt;&gt;"Not Due"),
ROW(MTIB!$Q$3:$Q$1000)-ROW(MTIB!$Q$3)+1),
ROWS(A$2:A49))
),"")</f>
        <v/>
      </c>
      <c r="O49" s="115">
        <v>48</v>
      </c>
      <c r="P49" s="120" t="str" cm="1">
        <f t="array" aca="1" ref="P49" ca="1">IFERROR(INDEX(MPOB!$E$3:$E$1000,
SMALL(
IF((MPOB!$Q$3:$Q$1000&lt;&gt;"")*(MPOB!$Q$3:$Q$1000&lt;&gt;"Not Due"),
ROW(MPOB!$Q$3:$Q$1000)-ROW(MPOB!$Q$3)+1),
ROWS(A$2:A49))),"")</f>
        <v/>
      </c>
      <c r="Q49" s="115" t="str" cm="1">
        <f t="array" aca="1" ref="Q49" ca="1">IFERROR(INDEX(MPOB!$B$3:$B$1000,
SMALL(
IF((MPOB!$Q$3:$Q$1000&lt;&gt;"")*(MPOB!$Q$3:$Q$1000&lt;&gt;"Not Due"),
ROW(MPOB!$Q$3:$Q$1000)-ROW(MPOB!$Q$3)+1),
ROWS(A$2:A49))),"")</f>
        <v/>
      </c>
      <c r="R49" s="115" t="str" cm="1">
        <f t="array" aca="1" ref="R49" ca="1">IFERROR(INDEX(MPOB!$D$3:$D$1000,
SMALL(
IF((MPOB!$Q$3:$Q$1000&lt;&gt;"")*(MPOB!$Q$3:$Q$1000&lt;&gt;"Not Due"),
ROW(MPOB!$Q$3:$Q$1000)-ROW(MPOB!$Q$3)+1),
ROWS(A$2:A49))),"")</f>
        <v/>
      </c>
      <c r="S49" s="116" t="str" cm="1">
        <f t="array" aca="1" ref="S49" ca="1">IFERROR(INDEX(MPOB!$G$3:$G$1000,
SMALL(
IF((MPOB!$Q$3:$Q$1000&lt;&gt;"")*(MPOB!$Q$3:$Q$1000&lt;&gt;"Not Due"),
ROW(MPOB!$Q$3:$Q$1000)-ROW(MPOB!$Q$3)+1),
ROWS(A$2:A49))),"")</f>
        <v/>
      </c>
      <c r="T49" s="88" t="str" cm="1">
        <f t="array" aca="1" ref="T49" ca="1">IFERROR(INDEX(MPOB!$Q$3:$Q$1000,
SMALL(
IF((MPOB!$Q$3:$Q$1000&lt;&gt;"")*(MPOB!$Q$3:$Q$1000&lt;&gt;"Not Due"),
ROW(MPOB!$Q$3:$Q$1000)-ROW(MPOB!$Q$3)+1),
ROWS(A$2:A49))
),"")</f>
        <v/>
      </c>
      <c r="V49" s="115">
        <v>48</v>
      </c>
      <c r="W49" s="121" t="str" cm="1">
        <f t="array" aca="1" ref="W49" ca="1">IFERROR(INDEX(LKTN!$E$3:$E$1000,
SMALL(
IF((LKTN!$Q$3:$Q$1000&lt;&gt;"")*(LKTN!$Q$3:$Q$1000&lt;&gt;"Not Due"),
ROW(LKTN!$Q$3:$Q$1000)-ROW(LKTN!$Q$3)+1),
ROWS(A$2:A49))),"")</f>
        <v/>
      </c>
      <c r="X49" s="115" t="str" cm="1">
        <f t="array" aca="1" ref="X49" ca="1">IFERROR(INDEX(LKTN!$B$3:$B$1000,
SMALL(
IF((LKTN!$Q$3:$Q$1000&lt;&gt;"")*(LKTN!$Q$3:$Q$1000&lt;&gt;"Not Due"),
ROW(LKTN!$Q$3:$Q$1000)-ROW(LKTN!$Q$3)+1),
ROWS(A$2:A49))),"")</f>
        <v/>
      </c>
      <c r="Y49" s="115" t="str" cm="1">
        <f t="array" aca="1" ref="Y49" ca="1">IFERROR(INDEX(LKTN!$D$3:$D$1000,
SMALL(
IF((LKTN!$Q$3:$Q$1000&lt;&gt;"")*(LKTN!$Q$3:$Q$1000&lt;&gt;"Not Due"),
ROW(LKTN!$Q$3:$Q$1000)-ROW(LKTN!$Q$3)+1),
ROWS(A$2:A49))),"")</f>
        <v/>
      </c>
      <c r="Z49" s="116"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5">
        <v>48</v>
      </c>
      <c r="AK49" s="123" t="str" cm="1">
        <f t="array" aca="1" ref="AK49" ca="1">IFERROR(INDEX(ISN!$E$3:$E$1000,
SMALL(
IF((ISN!$Q$3:$Q$1000&lt;&gt;"")*(ISN!$Q$3:$Q$1000&lt;&gt;"Not Due"),
ROW(ISN!$Q$3:$Q$1000)-ROW(ISN!$Q$3)+1),
ROWS(A$2:A49))),"")</f>
        <v/>
      </c>
      <c r="AL49" s="115" t="str" cm="1">
        <f t="array" aca="1" ref="AL49" ca="1">IFERROR(INDEX(ISN!$B$3:$B$1000,
SMALL(
IF((ISN!$Q$3:$Q$1000&lt;&gt;"")*(ISN!$Q$3:$Q$1000&lt;&gt;"Not Due"),
ROW(ISN!$Q$3:$Q$1000)-ROW(ISN!$Q$3)+1),
ROWS(A$2:A49))),"")</f>
        <v/>
      </c>
      <c r="AM49" s="116" t="str" cm="1">
        <f t="array" aca="1" ref="AM49" ca="1">IFERROR(INDEX(ISN!$D$3:$D$1000,
SMALL(
IF((ISN!$Q$3:$Q$1000&lt;&gt;"")*(ISN!$Q$3:$Q$1000&lt;&gt;"Not Due"),
ROW(ISN!$Q$3:$Q$1000)-ROW(ISN!$Q$3)+1),
ROWS(A$2:A49))),"")</f>
        <v/>
      </c>
      <c r="AN49" s="116"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5">
        <v>49</v>
      </c>
      <c r="B50" s="118" t="str" cm="1">
        <f t="array" aca="1" ref="B50" ca="1">IFERROR(INDEX(FRIM!$E$3:$E$1000,
SMALL(IF(FRIM!$Q$3:$Q$1000&lt;&gt;"",
ROW(FRIM!$Q$3:$Q$1000)-ROW(FRIM!$Q$3)+1),
ROWS(A$2:A50))),"")</f>
        <v/>
      </c>
      <c r="C50" s="116" t="str" cm="1">
        <f t="array" aca="1" ref="C50" ca="1">IFERROR(INDEX(FRIM!$B$3:$B$1000,
SMALL(IF(FRIM!$Q$3:$Q$1000&lt;&gt;"",
ROW(FRIM!$Q$3:$Q$1000)-ROW(FRIM!$Q$3)+1),
ROWS(A$2:A50))),"")</f>
        <v/>
      </c>
      <c r="D50" s="116" t="str" cm="1">
        <f t="array" aca="1" ref="D50" ca="1">IFERROR(INDEX(FRIM!$D$3:$D$1000,
SMALL(IF(FRIM!$Q$3:$Q$1000&lt;&gt;"",
ROW(FRIM!$Q$3:$Q$1000)-ROW(FRIM!$Q$3)+1),
ROWS(A$2:A50))),"")</f>
        <v/>
      </c>
      <c r="E50" s="116" t="str" cm="1">
        <f t="array" aca="1" ref="E50" ca="1">IFERROR(INDEX(FRIM!$G$3:$G$1000,
SMALL(IF(FRIM!$Q$3:$Q$1000&lt;&gt;"",
ROW(FRIM!$Q$3:$Q$1000)-ROW(FRIM!$Q$3)+1),
ROWS(A$2:A50))),"")</f>
        <v/>
      </c>
      <c r="F50" s="88" t="str" cm="1">
        <f t="array" aca="1" ref="F50" ca="1">IFERROR(INDEX(FRIM!$Q$3:$Q$1000,
SMALL(IF(FRIM!$Q$3:$Q$1000&lt;&gt;"",
ROW(FRIM!$Q$3:$Q$1000)-ROW(FRIM!$Q$3)+1),
ROWS(A$2:A50))),"")</f>
        <v/>
      </c>
      <c r="H50" s="115">
        <v>49</v>
      </c>
      <c r="I50" s="119" t="str" cm="1">
        <f t="array" aca="1" ref="I50" ca="1">IFERROR(INDEX(MTIB!$E$3:$E$1000,
SMALL(
IF((MTIB!$Q$3:$Q$1000&lt;&gt;"")*(MTIB!$Q$3:$Q$1000&lt;&gt;"Not Due"),
ROW(MTIB!$Q$3:$Q$1000)-ROW(MTIB!$Q$3)+1),
ROWS(A$2:A50))),"")</f>
        <v/>
      </c>
      <c r="J50" s="115" t="str" cm="1">
        <f t="array" aca="1" ref="J50" ca="1">IFERROR(INDEX(MTIB!$B$3:$B$1000,
SMALL(
IF((MTIB!$Q$3:$Q$1000&lt;&gt;"")*(MTIB!$Q$3:$Q$1000&lt;&gt;"Not Due"),
ROW(MTIB!$Q$3:$Q$1000)-ROW(MTIB!$Q$3)+1),
ROWS(A$2:A50))),"")</f>
        <v/>
      </c>
      <c r="K50" s="115" t="str" cm="1">
        <f t="array" aca="1" ref="K50" ca="1">IFERROR(INDEX(MTIB!$D$3:$D$1000,
SMALL(
IF((MTIB!$Q$3:$Q$1000&lt;&gt;"")*(MTIB!$Q$3:$Q$1000&lt;&gt;"Not Due"),
ROW(MTIB!$Q$3:$Q$1000)-ROW(MTIB!$Q$3)+1),
ROWS(A$2:A50))),"")</f>
        <v/>
      </c>
      <c r="L50" s="116" t="str" cm="1">
        <f t="array" aca="1" ref="L50" ca="1">IFERROR(INDEX(MTIB!$G$3:$G$1000,
SMALL(
IF((MTIB!$Q$3:$Q$1000&lt;&gt;"")*(MTIB!$Q$3:$Q$1000&lt;&gt;"Not Due"),
ROW(MTIB!$Q$3:$Q$1000)-ROW(MTIB!$Q$3)+1),
ROWS(A$2:A50))),"")</f>
        <v/>
      </c>
      <c r="M50" s="88" t="str" cm="1">
        <f t="array" aca="1" ref="M50" ca="1">IFERROR(INDEX(MTIB!$Q$3:$Q$1000,
SMALL(
IF((MTIB!$Q$3:$Q$1000&lt;&gt;"")*(MTIB!$Q$3:$Q$1000&lt;&gt;"Not Due"),
ROW(MTIB!$Q$3:$Q$1000)-ROW(MTIB!$Q$3)+1),
ROWS(A$2:A50))
),"")</f>
        <v/>
      </c>
      <c r="O50" s="115">
        <v>49</v>
      </c>
      <c r="P50" s="120" t="str" cm="1">
        <f t="array" aca="1" ref="P50" ca="1">IFERROR(INDEX(MPOB!$E$3:$E$1000,
SMALL(
IF((MPOB!$Q$3:$Q$1000&lt;&gt;"")*(MPOB!$Q$3:$Q$1000&lt;&gt;"Not Due"),
ROW(MPOB!$Q$3:$Q$1000)-ROW(MPOB!$Q$3)+1),
ROWS(A$2:A50))),"")</f>
        <v/>
      </c>
      <c r="Q50" s="115" t="str" cm="1">
        <f t="array" aca="1" ref="Q50" ca="1">IFERROR(INDEX(MPOB!$B$3:$B$1000,
SMALL(
IF((MPOB!$Q$3:$Q$1000&lt;&gt;"")*(MPOB!$Q$3:$Q$1000&lt;&gt;"Not Due"),
ROW(MPOB!$Q$3:$Q$1000)-ROW(MPOB!$Q$3)+1),
ROWS(A$2:A50))),"")</f>
        <v/>
      </c>
      <c r="R50" s="115" t="str" cm="1">
        <f t="array" aca="1" ref="R50" ca="1">IFERROR(INDEX(MPOB!$D$3:$D$1000,
SMALL(
IF((MPOB!$Q$3:$Q$1000&lt;&gt;"")*(MPOB!$Q$3:$Q$1000&lt;&gt;"Not Due"),
ROW(MPOB!$Q$3:$Q$1000)-ROW(MPOB!$Q$3)+1),
ROWS(A$2:A50))),"")</f>
        <v/>
      </c>
      <c r="S50" s="116" t="str" cm="1">
        <f t="array" aca="1" ref="S50" ca="1">IFERROR(INDEX(MPOB!$G$3:$G$1000,
SMALL(
IF((MPOB!$Q$3:$Q$1000&lt;&gt;"")*(MPOB!$Q$3:$Q$1000&lt;&gt;"Not Due"),
ROW(MPOB!$Q$3:$Q$1000)-ROW(MPOB!$Q$3)+1),
ROWS(A$2:A50))),"")</f>
        <v/>
      </c>
      <c r="T50" s="88" t="str" cm="1">
        <f t="array" aca="1" ref="T50" ca="1">IFERROR(INDEX(MPOB!$Q$3:$Q$1000,
SMALL(
IF((MPOB!$Q$3:$Q$1000&lt;&gt;"")*(MPOB!$Q$3:$Q$1000&lt;&gt;"Not Due"),
ROW(MPOB!$Q$3:$Q$1000)-ROW(MPOB!$Q$3)+1),
ROWS(A$2:A50))
),"")</f>
        <v/>
      </c>
      <c r="V50" s="115">
        <v>49</v>
      </c>
      <c r="W50" s="121" t="str" cm="1">
        <f t="array" aca="1" ref="W50" ca="1">IFERROR(INDEX(LKTN!$E$3:$E$1000,
SMALL(
IF((LKTN!$Q$3:$Q$1000&lt;&gt;"")*(LKTN!$Q$3:$Q$1000&lt;&gt;"Not Due"),
ROW(LKTN!$Q$3:$Q$1000)-ROW(LKTN!$Q$3)+1),
ROWS(A$2:A50))),"")</f>
        <v/>
      </c>
      <c r="X50" s="115" t="str" cm="1">
        <f t="array" aca="1" ref="X50" ca="1">IFERROR(INDEX(LKTN!$B$3:$B$1000,
SMALL(
IF((LKTN!$Q$3:$Q$1000&lt;&gt;"")*(LKTN!$Q$3:$Q$1000&lt;&gt;"Not Due"),
ROW(LKTN!$Q$3:$Q$1000)-ROW(LKTN!$Q$3)+1),
ROWS(A$2:A50))),"")</f>
        <v/>
      </c>
      <c r="Y50" s="115" t="str" cm="1">
        <f t="array" aca="1" ref="Y50" ca="1">IFERROR(INDEX(LKTN!$D$3:$D$1000,
SMALL(
IF((LKTN!$Q$3:$Q$1000&lt;&gt;"")*(LKTN!$Q$3:$Q$1000&lt;&gt;"Not Due"),
ROW(LKTN!$Q$3:$Q$1000)-ROW(LKTN!$Q$3)+1),
ROWS(A$2:A50))),"")</f>
        <v/>
      </c>
      <c r="Z50" s="116"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5">
        <v>49</v>
      </c>
      <c r="AK50" s="123" t="str" cm="1">
        <f t="array" aca="1" ref="AK50" ca="1">IFERROR(INDEX(ISN!$E$3:$E$1000,
SMALL(
IF((ISN!$Q$3:$Q$1000&lt;&gt;"")*(ISN!$Q$3:$Q$1000&lt;&gt;"Not Due"),
ROW(ISN!$Q$3:$Q$1000)-ROW(ISN!$Q$3)+1),
ROWS(A$2:A50))),"")</f>
        <v/>
      </c>
      <c r="AL50" s="115" t="str" cm="1">
        <f t="array" aca="1" ref="AL50" ca="1">IFERROR(INDEX(ISN!$B$3:$B$1000,
SMALL(
IF((ISN!$Q$3:$Q$1000&lt;&gt;"")*(ISN!$Q$3:$Q$1000&lt;&gt;"Not Due"),
ROW(ISN!$Q$3:$Q$1000)-ROW(ISN!$Q$3)+1),
ROWS(A$2:A50))),"")</f>
        <v/>
      </c>
      <c r="AM50" s="116" t="str" cm="1">
        <f t="array" aca="1" ref="AM50" ca="1">IFERROR(INDEX(ISN!$D$3:$D$1000,
SMALL(
IF((ISN!$Q$3:$Q$1000&lt;&gt;"")*(ISN!$Q$3:$Q$1000&lt;&gt;"Not Due"),
ROW(ISN!$Q$3:$Q$1000)-ROW(ISN!$Q$3)+1),
ROWS(A$2:A50))),"")</f>
        <v/>
      </c>
      <c r="AN50" s="116"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5">
        <v>50</v>
      </c>
      <c r="B51" s="118" t="str" cm="1">
        <f t="array" aca="1" ref="B51" ca="1">IFERROR(INDEX(FRIM!$E$3:$E$1000,
SMALL(IF(FRIM!$Q$3:$Q$1000&lt;&gt;"",
ROW(FRIM!$Q$3:$Q$1000)-ROW(FRIM!$Q$3)+1),
ROWS(A$2:A51))),"")</f>
        <v/>
      </c>
      <c r="C51" s="116" t="str" cm="1">
        <f t="array" aca="1" ref="C51" ca="1">IFERROR(INDEX(FRIM!$B$3:$B$1000,
SMALL(IF(FRIM!$Q$3:$Q$1000&lt;&gt;"",
ROW(FRIM!$Q$3:$Q$1000)-ROW(FRIM!$Q$3)+1),
ROWS(A$2:A51))),"")</f>
        <v/>
      </c>
      <c r="D51" s="116" t="str" cm="1">
        <f t="array" aca="1" ref="D51" ca="1">IFERROR(INDEX(FRIM!$D$3:$D$1000,
SMALL(IF(FRIM!$Q$3:$Q$1000&lt;&gt;"",
ROW(FRIM!$Q$3:$Q$1000)-ROW(FRIM!$Q$3)+1),
ROWS(A$2:A51))),"")</f>
        <v/>
      </c>
      <c r="E51" s="116" t="str" cm="1">
        <f t="array" aca="1" ref="E51" ca="1">IFERROR(INDEX(FRIM!$G$3:$G$1000,
SMALL(IF(FRIM!$Q$3:$Q$1000&lt;&gt;"",
ROW(FRIM!$Q$3:$Q$1000)-ROW(FRIM!$Q$3)+1),
ROWS(A$2:A51))),"")</f>
        <v/>
      </c>
      <c r="F51" s="88" t="str" cm="1">
        <f t="array" aca="1" ref="F51" ca="1">IFERROR(INDEX(FRIM!$Q$3:$Q$1000,
SMALL(IF(FRIM!$Q$3:$Q$1000&lt;&gt;"",
ROW(FRIM!$Q$3:$Q$1000)-ROW(FRIM!$Q$3)+1),
ROWS(A$2:A51))),"")</f>
        <v/>
      </c>
      <c r="H51" s="115">
        <v>50</v>
      </c>
      <c r="I51" s="119" t="str" cm="1">
        <f t="array" aca="1" ref="I51" ca="1">IFERROR(INDEX(MTIB!$E$3:$E$1000,
SMALL(
IF((MTIB!$Q$3:$Q$1000&lt;&gt;"")*(MTIB!$Q$3:$Q$1000&lt;&gt;"Not Due"),
ROW(MTIB!$Q$3:$Q$1000)-ROW(MTIB!$Q$3)+1),
ROWS(A$2:A51))),"")</f>
        <v/>
      </c>
      <c r="J51" s="115" t="str" cm="1">
        <f t="array" aca="1" ref="J51" ca="1">IFERROR(INDEX(MTIB!$B$3:$B$1000,
SMALL(
IF((MTIB!$Q$3:$Q$1000&lt;&gt;"")*(MTIB!$Q$3:$Q$1000&lt;&gt;"Not Due"),
ROW(MTIB!$Q$3:$Q$1000)-ROW(MTIB!$Q$3)+1),
ROWS(A$2:A51))),"")</f>
        <v/>
      </c>
      <c r="K51" s="115" t="str" cm="1">
        <f t="array" aca="1" ref="K51" ca="1">IFERROR(INDEX(MTIB!$D$3:$D$1000,
SMALL(
IF((MTIB!$Q$3:$Q$1000&lt;&gt;"")*(MTIB!$Q$3:$Q$1000&lt;&gt;"Not Due"),
ROW(MTIB!$Q$3:$Q$1000)-ROW(MTIB!$Q$3)+1),
ROWS(A$2:A51))),"")</f>
        <v/>
      </c>
      <c r="L51" s="116" t="str" cm="1">
        <f t="array" aca="1" ref="L51" ca="1">IFERROR(INDEX(MTIB!$G$3:$G$1000,
SMALL(
IF((MTIB!$Q$3:$Q$1000&lt;&gt;"")*(MTIB!$Q$3:$Q$1000&lt;&gt;"Not Due"),
ROW(MTIB!$Q$3:$Q$1000)-ROW(MTIB!$Q$3)+1),
ROWS(A$2:A51))),"")</f>
        <v/>
      </c>
      <c r="M51" s="88" t="str" cm="1">
        <f t="array" aca="1" ref="M51" ca="1">IFERROR(INDEX(MTIB!$Q$3:$Q$1000,
SMALL(
IF((MTIB!$Q$3:$Q$1000&lt;&gt;"")*(MTIB!$Q$3:$Q$1000&lt;&gt;"Not Due"),
ROW(MTIB!$Q$3:$Q$1000)-ROW(MTIB!$Q$3)+1),
ROWS(A$2:A51))
),"")</f>
        <v/>
      </c>
      <c r="O51" s="115">
        <v>50</v>
      </c>
      <c r="P51" s="120" t="str" cm="1">
        <f t="array" aca="1" ref="P51" ca="1">IFERROR(INDEX(MPOB!$E$3:$E$1000,
SMALL(
IF((MPOB!$Q$3:$Q$1000&lt;&gt;"")*(MPOB!$Q$3:$Q$1000&lt;&gt;"Not Due"),
ROW(MPOB!$Q$3:$Q$1000)-ROW(MPOB!$Q$3)+1),
ROWS(A$2:A51))),"")</f>
        <v/>
      </c>
      <c r="Q51" s="115" t="str" cm="1">
        <f t="array" aca="1" ref="Q51" ca="1">IFERROR(INDEX(MPOB!$B$3:$B$1000,
SMALL(
IF((MPOB!$Q$3:$Q$1000&lt;&gt;"")*(MPOB!$Q$3:$Q$1000&lt;&gt;"Not Due"),
ROW(MPOB!$Q$3:$Q$1000)-ROW(MPOB!$Q$3)+1),
ROWS(A$2:A51))),"")</f>
        <v/>
      </c>
      <c r="R51" s="115" t="str" cm="1">
        <f t="array" aca="1" ref="R51" ca="1">IFERROR(INDEX(MPOB!$D$3:$D$1000,
SMALL(
IF((MPOB!$Q$3:$Q$1000&lt;&gt;"")*(MPOB!$Q$3:$Q$1000&lt;&gt;"Not Due"),
ROW(MPOB!$Q$3:$Q$1000)-ROW(MPOB!$Q$3)+1),
ROWS(A$2:A51))),"")</f>
        <v/>
      </c>
      <c r="S51" s="116" t="str" cm="1">
        <f t="array" aca="1" ref="S51" ca="1">IFERROR(INDEX(MPOB!$G$3:$G$1000,
SMALL(
IF((MPOB!$Q$3:$Q$1000&lt;&gt;"")*(MPOB!$Q$3:$Q$1000&lt;&gt;"Not Due"),
ROW(MPOB!$Q$3:$Q$1000)-ROW(MPOB!$Q$3)+1),
ROWS(A$2:A51))),"")</f>
        <v/>
      </c>
      <c r="T51" s="88" t="str" cm="1">
        <f t="array" aca="1" ref="T51" ca="1">IFERROR(INDEX(MPOB!$Q$3:$Q$1000,
SMALL(
IF((MPOB!$Q$3:$Q$1000&lt;&gt;"")*(MPOB!$Q$3:$Q$1000&lt;&gt;"Not Due"),
ROW(MPOB!$Q$3:$Q$1000)-ROW(MPOB!$Q$3)+1),
ROWS(A$2:A51))
),"")</f>
        <v/>
      </c>
      <c r="V51" s="115">
        <v>50</v>
      </c>
      <c r="W51" s="121" t="str" cm="1">
        <f t="array" aca="1" ref="W51" ca="1">IFERROR(INDEX(LKTN!$E$3:$E$1000,
SMALL(
IF((LKTN!$Q$3:$Q$1000&lt;&gt;"")*(LKTN!$Q$3:$Q$1000&lt;&gt;"Not Due"),
ROW(LKTN!$Q$3:$Q$1000)-ROW(LKTN!$Q$3)+1),
ROWS(A$2:A51))),"")</f>
        <v/>
      </c>
      <c r="X51" s="115" t="str" cm="1">
        <f t="array" aca="1" ref="X51" ca="1">IFERROR(INDEX(LKTN!$B$3:$B$1000,
SMALL(
IF((LKTN!$Q$3:$Q$1000&lt;&gt;"")*(LKTN!$Q$3:$Q$1000&lt;&gt;"Not Due"),
ROW(LKTN!$Q$3:$Q$1000)-ROW(LKTN!$Q$3)+1),
ROWS(A$2:A51))),"")</f>
        <v/>
      </c>
      <c r="Y51" s="115" t="str" cm="1">
        <f t="array" aca="1" ref="Y51" ca="1">IFERROR(INDEX(LKTN!$D$3:$D$1000,
SMALL(
IF((LKTN!$Q$3:$Q$1000&lt;&gt;"")*(LKTN!$Q$3:$Q$1000&lt;&gt;"Not Due"),
ROW(LKTN!$Q$3:$Q$1000)-ROW(LKTN!$Q$3)+1),
ROWS(A$2:A51))),"")</f>
        <v/>
      </c>
      <c r="Z51" s="116"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5">
        <v>50</v>
      </c>
      <c r="AK51" s="123" t="str" cm="1">
        <f t="array" aca="1" ref="AK51" ca="1">IFERROR(INDEX(ISN!$E$3:$E$1000,
SMALL(
IF((ISN!$Q$3:$Q$1000&lt;&gt;"")*(ISN!$Q$3:$Q$1000&lt;&gt;"Not Due"),
ROW(ISN!$Q$3:$Q$1000)-ROW(ISN!$Q$3)+1),
ROWS(A$2:A51))),"")</f>
        <v/>
      </c>
      <c r="AL51" s="115" t="str" cm="1">
        <f t="array" aca="1" ref="AL51" ca="1">IFERROR(INDEX(ISN!$B$3:$B$1000,
SMALL(
IF((ISN!$Q$3:$Q$1000&lt;&gt;"")*(ISN!$Q$3:$Q$1000&lt;&gt;"Not Due"),
ROW(ISN!$Q$3:$Q$1000)-ROW(ISN!$Q$3)+1),
ROWS(A$2:A51))),"")</f>
        <v/>
      </c>
      <c r="AM51" s="116" t="str" cm="1">
        <f t="array" aca="1" ref="AM51" ca="1">IFERROR(INDEX(ISN!$D$3:$D$1000,
SMALL(
IF((ISN!$Q$3:$Q$1000&lt;&gt;"")*(ISN!$Q$3:$Q$1000&lt;&gt;"Not Due"),
ROW(ISN!$Q$3:$Q$1000)-ROW(ISN!$Q$3)+1),
ROWS(A$2:A51))),"")</f>
        <v/>
      </c>
      <c r="AN51" s="116"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5">
        <v>51</v>
      </c>
      <c r="B52" s="118" t="str" cm="1">
        <f t="array" aca="1" ref="B52" ca="1">IFERROR(INDEX(FRIM!$E$3:$E$1000,
SMALL(IF(FRIM!$Q$3:$Q$1000&lt;&gt;"",
ROW(FRIM!$Q$3:$Q$1000)-ROW(FRIM!$Q$3)+1),
ROWS(A$2:A52))),"")</f>
        <v/>
      </c>
      <c r="C52" s="116" t="str" cm="1">
        <f t="array" aca="1" ref="C52" ca="1">IFERROR(INDEX(FRIM!$B$3:$B$1000,
SMALL(IF(FRIM!$Q$3:$Q$1000&lt;&gt;"",
ROW(FRIM!$Q$3:$Q$1000)-ROW(FRIM!$Q$3)+1),
ROWS(A$2:A52))),"")</f>
        <v/>
      </c>
      <c r="D52" s="116" t="str" cm="1">
        <f t="array" aca="1" ref="D52" ca="1">IFERROR(INDEX(FRIM!$D$3:$D$1000,
SMALL(IF(FRIM!$Q$3:$Q$1000&lt;&gt;"",
ROW(FRIM!$Q$3:$Q$1000)-ROW(FRIM!$Q$3)+1),
ROWS(A$2:A52))),"")</f>
        <v/>
      </c>
      <c r="E52" s="116" t="str" cm="1">
        <f t="array" aca="1" ref="E52" ca="1">IFERROR(INDEX(FRIM!$G$3:$G$1000,
SMALL(IF(FRIM!$Q$3:$Q$1000&lt;&gt;"",
ROW(FRIM!$Q$3:$Q$1000)-ROW(FRIM!$Q$3)+1),
ROWS(A$2:A52))),"")</f>
        <v/>
      </c>
      <c r="F52" s="88" t="str" cm="1">
        <f t="array" aca="1" ref="F52" ca="1">IFERROR(INDEX(FRIM!$Q$3:$Q$1000,
SMALL(IF(FRIM!$Q$3:$Q$1000&lt;&gt;"",
ROW(FRIM!$Q$3:$Q$1000)-ROW(FRIM!$Q$3)+1),
ROWS(A$2:A52))),"")</f>
        <v/>
      </c>
      <c r="H52" s="115">
        <v>51</v>
      </c>
      <c r="I52" s="119" t="str" cm="1">
        <f t="array" aca="1" ref="I52" ca="1">IFERROR(INDEX(MTIB!$E$3:$E$1000,
SMALL(
IF((MTIB!$Q$3:$Q$1000&lt;&gt;"")*(MTIB!$Q$3:$Q$1000&lt;&gt;"Not Due"),
ROW(MTIB!$Q$3:$Q$1000)-ROW(MTIB!$Q$3)+1),
ROWS(A$2:A52))),"")</f>
        <v/>
      </c>
      <c r="J52" s="115" t="str" cm="1">
        <f t="array" aca="1" ref="J52" ca="1">IFERROR(INDEX(MTIB!$B$3:$B$1000,
SMALL(
IF((MTIB!$Q$3:$Q$1000&lt;&gt;"")*(MTIB!$Q$3:$Q$1000&lt;&gt;"Not Due"),
ROW(MTIB!$Q$3:$Q$1000)-ROW(MTIB!$Q$3)+1),
ROWS(A$2:A52))),"")</f>
        <v/>
      </c>
      <c r="K52" s="115" t="str" cm="1">
        <f t="array" aca="1" ref="K52" ca="1">IFERROR(INDEX(MTIB!$D$3:$D$1000,
SMALL(
IF((MTIB!$Q$3:$Q$1000&lt;&gt;"")*(MTIB!$Q$3:$Q$1000&lt;&gt;"Not Due"),
ROW(MTIB!$Q$3:$Q$1000)-ROW(MTIB!$Q$3)+1),
ROWS(A$2:A52))),"")</f>
        <v/>
      </c>
      <c r="L52" s="116" t="str" cm="1">
        <f t="array" aca="1" ref="L52" ca="1">IFERROR(INDEX(MTIB!$G$3:$G$1000,
SMALL(
IF((MTIB!$Q$3:$Q$1000&lt;&gt;"")*(MTIB!$Q$3:$Q$1000&lt;&gt;"Not Due"),
ROW(MTIB!$Q$3:$Q$1000)-ROW(MTIB!$Q$3)+1),
ROWS(A$2:A52))),"")</f>
        <v/>
      </c>
      <c r="M52" s="88" t="str" cm="1">
        <f t="array" aca="1" ref="M52" ca="1">IFERROR(INDEX(MTIB!$Q$3:$Q$1000,
SMALL(
IF((MTIB!$Q$3:$Q$1000&lt;&gt;"")*(MTIB!$Q$3:$Q$1000&lt;&gt;"Not Due"),
ROW(MTIB!$Q$3:$Q$1000)-ROW(MTIB!$Q$3)+1),
ROWS(A$2:A52))
),"")</f>
        <v/>
      </c>
      <c r="O52" s="115">
        <v>51</v>
      </c>
      <c r="P52" s="120" t="str" cm="1">
        <f t="array" aca="1" ref="P52" ca="1">IFERROR(INDEX(MPOB!$E$3:$E$1000,
SMALL(
IF((MPOB!$Q$3:$Q$1000&lt;&gt;"")*(MPOB!$Q$3:$Q$1000&lt;&gt;"Not Due"),
ROW(MPOB!$Q$3:$Q$1000)-ROW(MPOB!$Q$3)+1),
ROWS(A$2:A52))),"")</f>
        <v/>
      </c>
      <c r="Q52" s="115" t="str" cm="1">
        <f t="array" aca="1" ref="Q52" ca="1">IFERROR(INDEX(MPOB!$B$3:$B$1000,
SMALL(
IF((MPOB!$Q$3:$Q$1000&lt;&gt;"")*(MPOB!$Q$3:$Q$1000&lt;&gt;"Not Due"),
ROW(MPOB!$Q$3:$Q$1000)-ROW(MPOB!$Q$3)+1),
ROWS(A$2:A52))),"")</f>
        <v/>
      </c>
      <c r="R52" s="115" t="str" cm="1">
        <f t="array" aca="1" ref="R52" ca="1">IFERROR(INDEX(MPOB!$D$3:$D$1000,
SMALL(
IF((MPOB!$Q$3:$Q$1000&lt;&gt;"")*(MPOB!$Q$3:$Q$1000&lt;&gt;"Not Due"),
ROW(MPOB!$Q$3:$Q$1000)-ROW(MPOB!$Q$3)+1),
ROWS(A$2:A52))),"")</f>
        <v/>
      </c>
      <c r="S52" s="116" t="str" cm="1">
        <f t="array" aca="1" ref="S52" ca="1">IFERROR(INDEX(MPOB!$G$3:$G$1000,
SMALL(
IF((MPOB!$Q$3:$Q$1000&lt;&gt;"")*(MPOB!$Q$3:$Q$1000&lt;&gt;"Not Due"),
ROW(MPOB!$Q$3:$Q$1000)-ROW(MPOB!$Q$3)+1),
ROWS(A$2:A52))),"")</f>
        <v/>
      </c>
      <c r="T52" s="88" t="str" cm="1">
        <f t="array" aca="1" ref="T52" ca="1">IFERROR(INDEX(MPOB!$Q$3:$Q$1000,
SMALL(
IF((MPOB!$Q$3:$Q$1000&lt;&gt;"")*(MPOB!$Q$3:$Q$1000&lt;&gt;"Not Due"),
ROW(MPOB!$Q$3:$Q$1000)-ROW(MPOB!$Q$3)+1),
ROWS(A$2:A52))
),"")</f>
        <v/>
      </c>
      <c r="V52" s="115">
        <v>51</v>
      </c>
      <c r="W52" s="121" t="str" cm="1">
        <f t="array" aca="1" ref="W52" ca="1">IFERROR(INDEX(LKTN!$E$3:$E$1000,
SMALL(
IF((LKTN!$Q$3:$Q$1000&lt;&gt;"")*(LKTN!$Q$3:$Q$1000&lt;&gt;"Not Due"),
ROW(LKTN!$Q$3:$Q$1000)-ROW(LKTN!$Q$3)+1),
ROWS(A$2:A52))),"")</f>
        <v/>
      </c>
      <c r="X52" s="115" t="str" cm="1">
        <f t="array" aca="1" ref="X52" ca="1">IFERROR(INDEX(LKTN!$B$3:$B$1000,
SMALL(
IF((LKTN!$Q$3:$Q$1000&lt;&gt;"")*(LKTN!$Q$3:$Q$1000&lt;&gt;"Not Due"),
ROW(LKTN!$Q$3:$Q$1000)-ROW(LKTN!$Q$3)+1),
ROWS(A$2:A52))),"")</f>
        <v/>
      </c>
      <c r="Y52" s="115" t="str" cm="1">
        <f t="array" aca="1" ref="Y52" ca="1">IFERROR(INDEX(LKTN!$D$3:$D$1000,
SMALL(
IF((LKTN!$Q$3:$Q$1000&lt;&gt;"")*(LKTN!$Q$3:$Q$1000&lt;&gt;"Not Due"),
ROW(LKTN!$Q$3:$Q$1000)-ROW(LKTN!$Q$3)+1),
ROWS(A$2:A52))),"")</f>
        <v/>
      </c>
      <c r="Z52" s="116"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5">
        <v>51</v>
      </c>
      <c r="AK52" s="123" t="str" cm="1">
        <f t="array" aca="1" ref="AK52" ca="1">IFERROR(INDEX(ISN!$E$3:$E$1000,
SMALL(
IF((ISN!$Q$3:$Q$1000&lt;&gt;"")*(ISN!$Q$3:$Q$1000&lt;&gt;"Not Due"),
ROW(ISN!$Q$3:$Q$1000)-ROW(ISN!$Q$3)+1),
ROWS(A$2:A52))),"")</f>
        <v/>
      </c>
      <c r="AL52" s="115" t="str" cm="1">
        <f t="array" aca="1" ref="AL52" ca="1">IFERROR(INDEX(ISN!$B$3:$B$1000,
SMALL(
IF((ISN!$Q$3:$Q$1000&lt;&gt;"")*(ISN!$Q$3:$Q$1000&lt;&gt;"Not Due"),
ROW(ISN!$Q$3:$Q$1000)-ROW(ISN!$Q$3)+1),
ROWS(A$2:A52))),"")</f>
        <v/>
      </c>
      <c r="AM52" s="116" t="str" cm="1">
        <f t="array" aca="1" ref="AM52" ca="1">IFERROR(INDEX(ISN!$D$3:$D$1000,
SMALL(
IF((ISN!$Q$3:$Q$1000&lt;&gt;"")*(ISN!$Q$3:$Q$1000&lt;&gt;"Not Due"),
ROW(ISN!$Q$3:$Q$1000)-ROW(ISN!$Q$3)+1),
ROWS(A$2:A52))),"")</f>
        <v/>
      </c>
      <c r="AN52" s="116"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5">
        <v>52</v>
      </c>
      <c r="B53" s="118" t="str" cm="1">
        <f t="array" aca="1" ref="B53" ca="1">IFERROR(INDEX(FRIM!$E$3:$E$1000,
SMALL(IF(FRIM!$Q$3:$Q$1000&lt;&gt;"",
ROW(FRIM!$Q$3:$Q$1000)-ROW(FRIM!$Q$3)+1),
ROWS(A$2:A53))),"")</f>
        <v/>
      </c>
      <c r="C53" s="116" t="str" cm="1">
        <f t="array" aca="1" ref="C53" ca="1">IFERROR(INDEX(FRIM!$B$3:$B$1000,
SMALL(IF(FRIM!$Q$3:$Q$1000&lt;&gt;"",
ROW(FRIM!$Q$3:$Q$1000)-ROW(FRIM!$Q$3)+1),
ROWS(A$2:A53))),"")</f>
        <v/>
      </c>
      <c r="D53" s="116" t="str" cm="1">
        <f t="array" aca="1" ref="D53" ca="1">IFERROR(INDEX(FRIM!$D$3:$D$1000,
SMALL(IF(FRIM!$Q$3:$Q$1000&lt;&gt;"",
ROW(FRIM!$Q$3:$Q$1000)-ROW(FRIM!$Q$3)+1),
ROWS(A$2:A53))),"")</f>
        <v/>
      </c>
      <c r="E53" s="116" t="str" cm="1">
        <f t="array" aca="1" ref="E53" ca="1">IFERROR(INDEX(FRIM!$G$3:$G$1000,
SMALL(IF(FRIM!$Q$3:$Q$1000&lt;&gt;"",
ROW(FRIM!$Q$3:$Q$1000)-ROW(FRIM!$Q$3)+1),
ROWS(A$2:A53))),"")</f>
        <v/>
      </c>
      <c r="F53" s="88" t="str" cm="1">
        <f t="array" aca="1" ref="F53" ca="1">IFERROR(INDEX(FRIM!$Q$3:$Q$1000,
SMALL(IF(FRIM!$Q$3:$Q$1000&lt;&gt;"",
ROW(FRIM!$Q$3:$Q$1000)-ROW(FRIM!$Q$3)+1),
ROWS(A$2:A53))),"")</f>
        <v/>
      </c>
      <c r="H53" s="115">
        <v>52</v>
      </c>
      <c r="I53" s="119" t="str" cm="1">
        <f t="array" aca="1" ref="I53" ca="1">IFERROR(INDEX(MTIB!$E$3:$E$1000,
SMALL(
IF((MTIB!$Q$3:$Q$1000&lt;&gt;"")*(MTIB!$Q$3:$Q$1000&lt;&gt;"Not Due"),
ROW(MTIB!$Q$3:$Q$1000)-ROW(MTIB!$Q$3)+1),
ROWS(A$2:A53))),"")</f>
        <v/>
      </c>
      <c r="J53" s="115" t="str" cm="1">
        <f t="array" aca="1" ref="J53" ca="1">IFERROR(INDEX(MTIB!$B$3:$B$1000,
SMALL(
IF((MTIB!$Q$3:$Q$1000&lt;&gt;"")*(MTIB!$Q$3:$Q$1000&lt;&gt;"Not Due"),
ROW(MTIB!$Q$3:$Q$1000)-ROW(MTIB!$Q$3)+1),
ROWS(A$2:A53))),"")</f>
        <v/>
      </c>
      <c r="K53" s="115" t="str" cm="1">
        <f t="array" aca="1" ref="K53" ca="1">IFERROR(INDEX(MTIB!$D$3:$D$1000,
SMALL(
IF((MTIB!$Q$3:$Q$1000&lt;&gt;"")*(MTIB!$Q$3:$Q$1000&lt;&gt;"Not Due"),
ROW(MTIB!$Q$3:$Q$1000)-ROW(MTIB!$Q$3)+1),
ROWS(A$2:A53))),"")</f>
        <v/>
      </c>
      <c r="L53" s="116" t="str" cm="1">
        <f t="array" aca="1" ref="L53" ca="1">IFERROR(INDEX(MTIB!$G$3:$G$1000,
SMALL(
IF((MTIB!$Q$3:$Q$1000&lt;&gt;"")*(MTIB!$Q$3:$Q$1000&lt;&gt;"Not Due"),
ROW(MTIB!$Q$3:$Q$1000)-ROW(MTIB!$Q$3)+1),
ROWS(A$2:A53))),"")</f>
        <v/>
      </c>
      <c r="M53" s="88" t="str" cm="1">
        <f t="array" aca="1" ref="M53" ca="1">IFERROR(INDEX(MTIB!$Q$3:$Q$1000,
SMALL(
IF((MTIB!$Q$3:$Q$1000&lt;&gt;"")*(MTIB!$Q$3:$Q$1000&lt;&gt;"Not Due"),
ROW(MTIB!$Q$3:$Q$1000)-ROW(MTIB!$Q$3)+1),
ROWS(A$2:A53))
),"")</f>
        <v/>
      </c>
      <c r="O53" s="115">
        <v>52</v>
      </c>
      <c r="P53" s="120" t="str" cm="1">
        <f t="array" aca="1" ref="P53" ca="1">IFERROR(INDEX(MPOB!$E$3:$E$1000,
SMALL(
IF((MPOB!$Q$3:$Q$1000&lt;&gt;"")*(MPOB!$Q$3:$Q$1000&lt;&gt;"Not Due"),
ROW(MPOB!$Q$3:$Q$1000)-ROW(MPOB!$Q$3)+1),
ROWS(A$2:A53))),"")</f>
        <v/>
      </c>
      <c r="Q53" s="115" t="str" cm="1">
        <f t="array" aca="1" ref="Q53" ca="1">IFERROR(INDEX(MPOB!$B$3:$B$1000,
SMALL(
IF((MPOB!$Q$3:$Q$1000&lt;&gt;"")*(MPOB!$Q$3:$Q$1000&lt;&gt;"Not Due"),
ROW(MPOB!$Q$3:$Q$1000)-ROW(MPOB!$Q$3)+1),
ROWS(A$2:A53))),"")</f>
        <v/>
      </c>
      <c r="R53" s="115" t="str" cm="1">
        <f t="array" aca="1" ref="R53" ca="1">IFERROR(INDEX(MPOB!$D$3:$D$1000,
SMALL(
IF((MPOB!$Q$3:$Q$1000&lt;&gt;"")*(MPOB!$Q$3:$Q$1000&lt;&gt;"Not Due"),
ROW(MPOB!$Q$3:$Q$1000)-ROW(MPOB!$Q$3)+1),
ROWS(A$2:A53))),"")</f>
        <v/>
      </c>
      <c r="S53" s="116" t="str" cm="1">
        <f t="array" aca="1" ref="S53" ca="1">IFERROR(INDEX(MPOB!$G$3:$G$1000,
SMALL(
IF((MPOB!$Q$3:$Q$1000&lt;&gt;"")*(MPOB!$Q$3:$Q$1000&lt;&gt;"Not Due"),
ROW(MPOB!$Q$3:$Q$1000)-ROW(MPOB!$Q$3)+1),
ROWS(A$2:A53))),"")</f>
        <v/>
      </c>
      <c r="T53" s="88" t="str" cm="1">
        <f t="array" aca="1" ref="T53" ca="1">IFERROR(INDEX(MPOB!$Q$3:$Q$1000,
SMALL(
IF((MPOB!$Q$3:$Q$1000&lt;&gt;"")*(MPOB!$Q$3:$Q$1000&lt;&gt;"Not Due"),
ROW(MPOB!$Q$3:$Q$1000)-ROW(MPOB!$Q$3)+1),
ROWS(A$2:A53))
),"")</f>
        <v/>
      </c>
      <c r="V53" s="115">
        <v>52</v>
      </c>
      <c r="W53" s="121" t="str" cm="1">
        <f t="array" aca="1" ref="W53" ca="1">IFERROR(INDEX(LKTN!$E$3:$E$1000,
SMALL(
IF((LKTN!$Q$3:$Q$1000&lt;&gt;"")*(LKTN!$Q$3:$Q$1000&lt;&gt;"Not Due"),
ROW(LKTN!$Q$3:$Q$1000)-ROW(LKTN!$Q$3)+1),
ROWS(A$2:A53))),"")</f>
        <v/>
      </c>
      <c r="X53" s="115" t="str" cm="1">
        <f t="array" aca="1" ref="X53" ca="1">IFERROR(INDEX(LKTN!$B$3:$B$1000,
SMALL(
IF((LKTN!$Q$3:$Q$1000&lt;&gt;"")*(LKTN!$Q$3:$Q$1000&lt;&gt;"Not Due"),
ROW(LKTN!$Q$3:$Q$1000)-ROW(LKTN!$Q$3)+1),
ROWS(A$2:A53))),"")</f>
        <v/>
      </c>
      <c r="Y53" s="115" t="str" cm="1">
        <f t="array" aca="1" ref="Y53" ca="1">IFERROR(INDEX(LKTN!$D$3:$D$1000,
SMALL(
IF((LKTN!$Q$3:$Q$1000&lt;&gt;"")*(LKTN!$Q$3:$Q$1000&lt;&gt;"Not Due"),
ROW(LKTN!$Q$3:$Q$1000)-ROW(LKTN!$Q$3)+1),
ROWS(A$2:A53))),"")</f>
        <v/>
      </c>
      <c r="Z53" s="116"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5">
        <v>52</v>
      </c>
      <c r="AK53" s="123" t="str" cm="1">
        <f t="array" aca="1" ref="AK53" ca="1">IFERROR(INDEX(ISN!$E$3:$E$1000,
SMALL(
IF((ISN!$Q$3:$Q$1000&lt;&gt;"")*(ISN!$Q$3:$Q$1000&lt;&gt;"Not Due"),
ROW(ISN!$Q$3:$Q$1000)-ROW(ISN!$Q$3)+1),
ROWS(A$2:A53))),"")</f>
        <v/>
      </c>
      <c r="AL53" s="115" t="str" cm="1">
        <f t="array" aca="1" ref="AL53" ca="1">IFERROR(INDEX(ISN!$B$3:$B$1000,
SMALL(
IF((ISN!$Q$3:$Q$1000&lt;&gt;"")*(ISN!$Q$3:$Q$1000&lt;&gt;"Not Due"),
ROW(ISN!$Q$3:$Q$1000)-ROW(ISN!$Q$3)+1),
ROWS(A$2:A53))),"")</f>
        <v/>
      </c>
      <c r="AM53" s="116" t="str" cm="1">
        <f t="array" aca="1" ref="AM53" ca="1">IFERROR(INDEX(ISN!$D$3:$D$1000,
SMALL(
IF((ISN!$Q$3:$Q$1000&lt;&gt;"")*(ISN!$Q$3:$Q$1000&lt;&gt;"Not Due"),
ROW(ISN!$Q$3:$Q$1000)-ROW(ISN!$Q$3)+1),
ROWS(A$2:A53))),"")</f>
        <v/>
      </c>
      <c r="AN53" s="116"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5">
        <v>53</v>
      </c>
      <c r="B54" s="118" t="str" cm="1">
        <f t="array" aca="1" ref="B54" ca="1">IFERROR(INDEX(FRIM!$E$3:$E$1000,
SMALL(IF(FRIM!$Q$3:$Q$1000&lt;&gt;"",
ROW(FRIM!$Q$3:$Q$1000)-ROW(FRIM!$Q$3)+1),
ROWS(A$2:A54))),"")</f>
        <v/>
      </c>
      <c r="C54" s="116" t="str" cm="1">
        <f t="array" aca="1" ref="C54" ca="1">IFERROR(INDEX(FRIM!$B$3:$B$1000,
SMALL(IF(FRIM!$Q$3:$Q$1000&lt;&gt;"",
ROW(FRIM!$Q$3:$Q$1000)-ROW(FRIM!$Q$3)+1),
ROWS(A$2:A54))),"")</f>
        <v/>
      </c>
      <c r="D54" s="116" t="str" cm="1">
        <f t="array" aca="1" ref="D54" ca="1">IFERROR(INDEX(FRIM!$D$3:$D$1000,
SMALL(IF(FRIM!$Q$3:$Q$1000&lt;&gt;"",
ROW(FRIM!$Q$3:$Q$1000)-ROW(FRIM!$Q$3)+1),
ROWS(A$2:A54))),"")</f>
        <v/>
      </c>
      <c r="E54" s="116" t="str" cm="1">
        <f t="array" aca="1" ref="E54" ca="1">IFERROR(INDEX(FRIM!$G$3:$G$1000,
SMALL(IF(FRIM!$Q$3:$Q$1000&lt;&gt;"",
ROW(FRIM!$Q$3:$Q$1000)-ROW(FRIM!$Q$3)+1),
ROWS(A$2:A54))),"")</f>
        <v/>
      </c>
      <c r="F54" s="88" t="str" cm="1">
        <f t="array" aca="1" ref="F54" ca="1">IFERROR(INDEX(FRIM!$Q$3:$Q$1000,
SMALL(IF(FRIM!$Q$3:$Q$1000&lt;&gt;"",
ROW(FRIM!$Q$3:$Q$1000)-ROW(FRIM!$Q$3)+1),
ROWS(A$2:A54))),"")</f>
        <v/>
      </c>
      <c r="H54" s="115">
        <v>53</v>
      </c>
      <c r="I54" s="119" t="str" cm="1">
        <f t="array" aca="1" ref="I54" ca="1">IFERROR(INDEX(MTIB!$E$3:$E$1000,
SMALL(
IF((MTIB!$Q$3:$Q$1000&lt;&gt;"")*(MTIB!$Q$3:$Q$1000&lt;&gt;"Not Due"),
ROW(MTIB!$Q$3:$Q$1000)-ROW(MTIB!$Q$3)+1),
ROWS(A$2:A54))),"")</f>
        <v/>
      </c>
      <c r="J54" s="115" t="str" cm="1">
        <f t="array" aca="1" ref="J54" ca="1">IFERROR(INDEX(MTIB!$B$3:$B$1000,
SMALL(
IF((MTIB!$Q$3:$Q$1000&lt;&gt;"")*(MTIB!$Q$3:$Q$1000&lt;&gt;"Not Due"),
ROW(MTIB!$Q$3:$Q$1000)-ROW(MTIB!$Q$3)+1),
ROWS(A$2:A54))),"")</f>
        <v/>
      </c>
      <c r="K54" s="115" t="str" cm="1">
        <f t="array" aca="1" ref="K54" ca="1">IFERROR(INDEX(MTIB!$D$3:$D$1000,
SMALL(
IF((MTIB!$Q$3:$Q$1000&lt;&gt;"")*(MTIB!$Q$3:$Q$1000&lt;&gt;"Not Due"),
ROW(MTIB!$Q$3:$Q$1000)-ROW(MTIB!$Q$3)+1),
ROWS(A$2:A54))),"")</f>
        <v/>
      </c>
      <c r="L54" s="116" t="str" cm="1">
        <f t="array" aca="1" ref="L54" ca="1">IFERROR(INDEX(MTIB!$G$3:$G$1000,
SMALL(
IF((MTIB!$Q$3:$Q$1000&lt;&gt;"")*(MTIB!$Q$3:$Q$1000&lt;&gt;"Not Due"),
ROW(MTIB!$Q$3:$Q$1000)-ROW(MTIB!$Q$3)+1),
ROWS(A$2:A54))),"")</f>
        <v/>
      </c>
      <c r="M54" s="88" t="str" cm="1">
        <f t="array" aca="1" ref="M54" ca="1">IFERROR(INDEX(MTIB!$Q$3:$Q$1000,
SMALL(
IF((MTIB!$Q$3:$Q$1000&lt;&gt;"")*(MTIB!$Q$3:$Q$1000&lt;&gt;"Not Due"),
ROW(MTIB!$Q$3:$Q$1000)-ROW(MTIB!$Q$3)+1),
ROWS(A$2:A54))
),"")</f>
        <v/>
      </c>
      <c r="O54" s="115">
        <v>53</v>
      </c>
      <c r="P54" s="120" t="str" cm="1">
        <f t="array" aca="1" ref="P54" ca="1">IFERROR(INDEX(MPOB!$E$3:$E$1000,
SMALL(
IF((MPOB!$Q$3:$Q$1000&lt;&gt;"")*(MPOB!$Q$3:$Q$1000&lt;&gt;"Not Due"),
ROW(MPOB!$Q$3:$Q$1000)-ROW(MPOB!$Q$3)+1),
ROWS(A$2:A54))),"")</f>
        <v/>
      </c>
      <c r="Q54" s="115" t="str" cm="1">
        <f t="array" aca="1" ref="Q54" ca="1">IFERROR(INDEX(MPOB!$B$3:$B$1000,
SMALL(
IF((MPOB!$Q$3:$Q$1000&lt;&gt;"")*(MPOB!$Q$3:$Q$1000&lt;&gt;"Not Due"),
ROW(MPOB!$Q$3:$Q$1000)-ROW(MPOB!$Q$3)+1),
ROWS(A$2:A54))),"")</f>
        <v/>
      </c>
      <c r="R54" s="115" t="str" cm="1">
        <f t="array" aca="1" ref="R54" ca="1">IFERROR(INDEX(MPOB!$D$3:$D$1000,
SMALL(
IF((MPOB!$Q$3:$Q$1000&lt;&gt;"")*(MPOB!$Q$3:$Q$1000&lt;&gt;"Not Due"),
ROW(MPOB!$Q$3:$Q$1000)-ROW(MPOB!$Q$3)+1),
ROWS(A$2:A54))),"")</f>
        <v/>
      </c>
      <c r="S54" s="116" t="str" cm="1">
        <f t="array" aca="1" ref="S54" ca="1">IFERROR(INDEX(MPOB!$G$3:$G$1000,
SMALL(
IF((MPOB!$Q$3:$Q$1000&lt;&gt;"")*(MPOB!$Q$3:$Q$1000&lt;&gt;"Not Due"),
ROW(MPOB!$Q$3:$Q$1000)-ROW(MPOB!$Q$3)+1),
ROWS(A$2:A54))),"")</f>
        <v/>
      </c>
      <c r="T54" s="88" t="str" cm="1">
        <f t="array" aca="1" ref="T54" ca="1">IFERROR(INDEX(MPOB!$Q$3:$Q$1000,
SMALL(
IF((MPOB!$Q$3:$Q$1000&lt;&gt;"")*(MPOB!$Q$3:$Q$1000&lt;&gt;"Not Due"),
ROW(MPOB!$Q$3:$Q$1000)-ROW(MPOB!$Q$3)+1),
ROWS(A$2:A54))
),"")</f>
        <v/>
      </c>
      <c r="V54" s="115">
        <v>53</v>
      </c>
      <c r="W54" s="121" t="str" cm="1">
        <f t="array" aca="1" ref="W54" ca="1">IFERROR(INDEX(LKTN!$E$3:$E$1000,
SMALL(
IF((LKTN!$Q$3:$Q$1000&lt;&gt;"")*(LKTN!$Q$3:$Q$1000&lt;&gt;"Not Due"),
ROW(LKTN!$Q$3:$Q$1000)-ROW(LKTN!$Q$3)+1),
ROWS(A$2:A54))),"")</f>
        <v/>
      </c>
      <c r="X54" s="115" t="str" cm="1">
        <f t="array" aca="1" ref="X54" ca="1">IFERROR(INDEX(LKTN!$B$3:$B$1000,
SMALL(
IF((LKTN!$Q$3:$Q$1000&lt;&gt;"")*(LKTN!$Q$3:$Q$1000&lt;&gt;"Not Due"),
ROW(LKTN!$Q$3:$Q$1000)-ROW(LKTN!$Q$3)+1),
ROWS(A$2:A54))),"")</f>
        <v/>
      </c>
      <c r="Y54" s="115" t="str" cm="1">
        <f t="array" aca="1" ref="Y54" ca="1">IFERROR(INDEX(LKTN!$D$3:$D$1000,
SMALL(
IF((LKTN!$Q$3:$Q$1000&lt;&gt;"")*(LKTN!$Q$3:$Q$1000&lt;&gt;"Not Due"),
ROW(LKTN!$Q$3:$Q$1000)-ROW(LKTN!$Q$3)+1),
ROWS(A$2:A54))),"")</f>
        <v/>
      </c>
      <c r="Z54" s="116"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5">
        <v>53</v>
      </c>
      <c r="AK54" s="123" t="str" cm="1">
        <f t="array" aca="1" ref="AK54" ca="1">IFERROR(INDEX(ISN!$E$3:$E$1000,
SMALL(
IF((ISN!$Q$3:$Q$1000&lt;&gt;"")*(ISN!$Q$3:$Q$1000&lt;&gt;"Not Due"),
ROW(ISN!$Q$3:$Q$1000)-ROW(ISN!$Q$3)+1),
ROWS(A$2:A54))),"")</f>
        <v/>
      </c>
      <c r="AL54" s="115" t="str" cm="1">
        <f t="array" aca="1" ref="AL54" ca="1">IFERROR(INDEX(ISN!$B$3:$B$1000,
SMALL(
IF((ISN!$Q$3:$Q$1000&lt;&gt;"")*(ISN!$Q$3:$Q$1000&lt;&gt;"Not Due"),
ROW(ISN!$Q$3:$Q$1000)-ROW(ISN!$Q$3)+1),
ROWS(A$2:A54))),"")</f>
        <v/>
      </c>
      <c r="AM54" s="116" t="str" cm="1">
        <f t="array" aca="1" ref="AM54" ca="1">IFERROR(INDEX(ISN!$D$3:$D$1000,
SMALL(
IF((ISN!$Q$3:$Q$1000&lt;&gt;"")*(ISN!$Q$3:$Q$1000&lt;&gt;"Not Due"),
ROW(ISN!$Q$3:$Q$1000)-ROW(ISN!$Q$3)+1),
ROWS(A$2:A54))),"")</f>
        <v/>
      </c>
      <c r="AN54" s="116"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5">
        <v>54</v>
      </c>
      <c r="B55" s="118" t="str" cm="1">
        <f t="array" aca="1" ref="B55" ca="1">IFERROR(INDEX(FRIM!$E$3:$E$1000,
SMALL(IF(FRIM!$Q$3:$Q$1000&lt;&gt;"",
ROW(FRIM!$Q$3:$Q$1000)-ROW(FRIM!$Q$3)+1),
ROWS(A$2:A55))),"")</f>
        <v/>
      </c>
      <c r="C55" s="116" t="str" cm="1">
        <f t="array" aca="1" ref="C55" ca="1">IFERROR(INDEX(FRIM!$B$3:$B$1000,
SMALL(IF(FRIM!$Q$3:$Q$1000&lt;&gt;"",
ROW(FRIM!$Q$3:$Q$1000)-ROW(FRIM!$Q$3)+1),
ROWS(A$2:A55))),"")</f>
        <v/>
      </c>
      <c r="D55" s="116" t="str" cm="1">
        <f t="array" aca="1" ref="D55" ca="1">IFERROR(INDEX(FRIM!$D$3:$D$1000,
SMALL(IF(FRIM!$Q$3:$Q$1000&lt;&gt;"",
ROW(FRIM!$Q$3:$Q$1000)-ROW(FRIM!$Q$3)+1),
ROWS(A$2:A55))),"")</f>
        <v/>
      </c>
      <c r="E55" s="116" t="str" cm="1">
        <f t="array" aca="1" ref="E55" ca="1">IFERROR(INDEX(FRIM!$G$3:$G$1000,
SMALL(IF(FRIM!$Q$3:$Q$1000&lt;&gt;"",
ROW(FRIM!$Q$3:$Q$1000)-ROW(FRIM!$Q$3)+1),
ROWS(A$2:A55))),"")</f>
        <v/>
      </c>
      <c r="F55" s="88" t="str" cm="1">
        <f t="array" aca="1" ref="F55" ca="1">IFERROR(INDEX(FRIM!$Q$3:$Q$1000,
SMALL(IF(FRIM!$Q$3:$Q$1000&lt;&gt;"",
ROW(FRIM!$Q$3:$Q$1000)-ROW(FRIM!$Q$3)+1),
ROWS(A$2:A55))),"")</f>
        <v/>
      </c>
      <c r="H55" s="115">
        <v>54</v>
      </c>
      <c r="I55" s="119" t="str" cm="1">
        <f t="array" aca="1" ref="I55" ca="1">IFERROR(INDEX(MTIB!$E$3:$E$1000,
SMALL(
IF((MTIB!$Q$3:$Q$1000&lt;&gt;"")*(MTIB!$Q$3:$Q$1000&lt;&gt;"Not Due"),
ROW(MTIB!$Q$3:$Q$1000)-ROW(MTIB!$Q$3)+1),
ROWS(A$2:A55))),"")</f>
        <v/>
      </c>
      <c r="J55" s="115" t="str" cm="1">
        <f t="array" aca="1" ref="J55" ca="1">IFERROR(INDEX(MTIB!$B$3:$B$1000,
SMALL(
IF((MTIB!$Q$3:$Q$1000&lt;&gt;"")*(MTIB!$Q$3:$Q$1000&lt;&gt;"Not Due"),
ROW(MTIB!$Q$3:$Q$1000)-ROW(MTIB!$Q$3)+1),
ROWS(A$2:A55))),"")</f>
        <v/>
      </c>
      <c r="K55" s="115" t="str" cm="1">
        <f t="array" aca="1" ref="K55" ca="1">IFERROR(INDEX(MTIB!$D$3:$D$1000,
SMALL(
IF((MTIB!$Q$3:$Q$1000&lt;&gt;"")*(MTIB!$Q$3:$Q$1000&lt;&gt;"Not Due"),
ROW(MTIB!$Q$3:$Q$1000)-ROW(MTIB!$Q$3)+1),
ROWS(A$2:A55))),"")</f>
        <v/>
      </c>
      <c r="L55" s="116" t="str" cm="1">
        <f t="array" aca="1" ref="L55" ca="1">IFERROR(INDEX(MTIB!$G$3:$G$1000,
SMALL(
IF((MTIB!$Q$3:$Q$1000&lt;&gt;"")*(MTIB!$Q$3:$Q$1000&lt;&gt;"Not Due"),
ROW(MTIB!$Q$3:$Q$1000)-ROW(MTIB!$Q$3)+1),
ROWS(A$2:A55))),"")</f>
        <v/>
      </c>
      <c r="M55" s="88" t="str" cm="1">
        <f t="array" aca="1" ref="M55" ca="1">IFERROR(INDEX(MTIB!$Q$3:$Q$1000,
SMALL(
IF((MTIB!$Q$3:$Q$1000&lt;&gt;"")*(MTIB!$Q$3:$Q$1000&lt;&gt;"Not Due"),
ROW(MTIB!$Q$3:$Q$1000)-ROW(MTIB!$Q$3)+1),
ROWS(A$2:A55))
),"")</f>
        <v/>
      </c>
      <c r="O55" s="115">
        <v>54</v>
      </c>
      <c r="P55" s="120" t="str" cm="1">
        <f t="array" aca="1" ref="P55" ca="1">IFERROR(INDEX(MPOB!$E$3:$E$1000,
SMALL(
IF((MPOB!$Q$3:$Q$1000&lt;&gt;"")*(MPOB!$Q$3:$Q$1000&lt;&gt;"Not Due"),
ROW(MPOB!$Q$3:$Q$1000)-ROW(MPOB!$Q$3)+1),
ROWS(A$2:A55))),"")</f>
        <v/>
      </c>
      <c r="Q55" s="115" t="str" cm="1">
        <f t="array" aca="1" ref="Q55" ca="1">IFERROR(INDEX(MPOB!$B$3:$B$1000,
SMALL(
IF((MPOB!$Q$3:$Q$1000&lt;&gt;"")*(MPOB!$Q$3:$Q$1000&lt;&gt;"Not Due"),
ROW(MPOB!$Q$3:$Q$1000)-ROW(MPOB!$Q$3)+1),
ROWS(A$2:A55))),"")</f>
        <v/>
      </c>
      <c r="R55" s="115" t="str" cm="1">
        <f t="array" aca="1" ref="R55" ca="1">IFERROR(INDEX(MPOB!$D$3:$D$1000,
SMALL(
IF((MPOB!$Q$3:$Q$1000&lt;&gt;"")*(MPOB!$Q$3:$Q$1000&lt;&gt;"Not Due"),
ROW(MPOB!$Q$3:$Q$1000)-ROW(MPOB!$Q$3)+1),
ROWS(A$2:A55))),"")</f>
        <v/>
      </c>
      <c r="S55" s="116" t="str" cm="1">
        <f t="array" aca="1" ref="S55" ca="1">IFERROR(INDEX(MPOB!$G$3:$G$1000,
SMALL(
IF((MPOB!$Q$3:$Q$1000&lt;&gt;"")*(MPOB!$Q$3:$Q$1000&lt;&gt;"Not Due"),
ROW(MPOB!$Q$3:$Q$1000)-ROW(MPOB!$Q$3)+1),
ROWS(A$2:A55))),"")</f>
        <v/>
      </c>
      <c r="T55" s="88" t="str" cm="1">
        <f t="array" aca="1" ref="T55" ca="1">IFERROR(INDEX(MPOB!$Q$3:$Q$1000,
SMALL(
IF((MPOB!$Q$3:$Q$1000&lt;&gt;"")*(MPOB!$Q$3:$Q$1000&lt;&gt;"Not Due"),
ROW(MPOB!$Q$3:$Q$1000)-ROW(MPOB!$Q$3)+1),
ROWS(A$2:A55))
),"")</f>
        <v/>
      </c>
      <c r="V55" s="115">
        <v>54</v>
      </c>
      <c r="W55" s="121" t="str" cm="1">
        <f t="array" aca="1" ref="W55" ca="1">IFERROR(INDEX(LKTN!$E$3:$E$1000,
SMALL(
IF((LKTN!$Q$3:$Q$1000&lt;&gt;"")*(LKTN!$Q$3:$Q$1000&lt;&gt;"Not Due"),
ROW(LKTN!$Q$3:$Q$1000)-ROW(LKTN!$Q$3)+1),
ROWS(A$2:A55))),"")</f>
        <v/>
      </c>
      <c r="X55" s="115" t="str" cm="1">
        <f t="array" aca="1" ref="X55" ca="1">IFERROR(INDEX(LKTN!$B$3:$B$1000,
SMALL(
IF((LKTN!$Q$3:$Q$1000&lt;&gt;"")*(LKTN!$Q$3:$Q$1000&lt;&gt;"Not Due"),
ROW(LKTN!$Q$3:$Q$1000)-ROW(LKTN!$Q$3)+1),
ROWS(A$2:A55))),"")</f>
        <v/>
      </c>
      <c r="Y55" s="115" t="str" cm="1">
        <f t="array" aca="1" ref="Y55" ca="1">IFERROR(INDEX(LKTN!$D$3:$D$1000,
SMALL(
IF((LKTN!$Q$3:$Q$1000&lt;&gt;"")*(LKTN!$Q$3:$Q$1000&lt;&gt;"Not Due"),
ROW(LKTN!$Q$3:$Q$1000)-ROW(LKTN!$Q$3)+1),
ROWS(A$2:A55))),"")</f>
        <v/>
      </c>
      <c r="Z55" s="116"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5">
        <v>54</v>
      </c>
      <c r="AK55" s="123" t="str" cm="1">
        <f t="array" aca="1" ref="AK55" ca="1">IFERROR(INDEX(ISN!$E$3:$E$1000,
SMALL(
IF((ISN!$Q$3:$Q$1000&lt;&gt;"")*(ISN!$Q$3:$Q$1000&lt;&gt;"Not Due"),
ROW(ISN!$Q$3:$Q$1000)-ROW(ISN!$Q$3)+1),
ROWS(A$2:A55))),"")</f>
        <v/>
      </c>
      <c r="AL55" s="115" t="str" cm="1">
        <f t="array" aca="1" ref="AL55" ca="1">IFERROR(INDEX(ISN!$B$3:$B$1000,
SMALL(
IF((ISN!$Q$3:$Q$1000&lt;&gt;"")*(ISN!$Q$3:$Q$1000&lt;&gt;"Not Due"),
ROW(ISN!$Q$3:$Q$1000)-ROW(ISN!$Q$3)+1),
ROWS(A$2:A55))),"")</f>
        <v/>
      </c>
      <c r="AM55" s="116" t="str" cm="1">
        <f t="array" aca="1" ref="AM55" ca="1">IFERROR(INDEX(ISN!$D$3:$D$1000,
SMALL(
IF((ISN!$Q$3:$Q$1000&lt;&gt;"")*(ISN!$Q$3:$Q$1000&lt;&gt;"Not Due"),
ROW(ISN!$Q$3:$Q$1000)-ROW(ISN!$Q$3)+1),
ROWS(A$2:A55))),"")</f>
        <v/>
      </c>
      <c r="AN55" s="116"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5">
        <v>55</v>
      </c>
      <c r="B56" s="118" t="str" cm="1">
        <f t="array" aca="1" ref="B56" ca="1">IFERROR(INDEX(FRIM!$E$3:$E$1000,
SMALL(IF(FRIM!$Q$3:$Q$1000&lt;&gt;"",
ROW(FRIM!$Q$3:$Q$1000)-ROW(FRIM!$Q$3)+1),
ROWS(A$2:A56))),"")</f>
        <v/>
      </c>
      <c r="C56" s="116" t="str" cm="1">
        <f t="array" aca="1" ref="C56" ca="1">IFERROR(INDEX(FRIM!$B$3:$B$1000,
SMALL(IF(FRIM!$Q$3:$Q$1000&lt;&gt;"",
ROW(FRIM!$Q$3:$Q$1000)-ROW(FRIM!$Q$3)+1),
ROWS(A$2:A56))),"")</f>
        <v/>
      </c>
      <c r="D56" s="116" t="str" cm="1">
        <f t="array" aca="1" ref="D56" ca="1">IFERROR(INDEX(FRIM!$D$3:$D$1000,
SMALL(IF(FRIM!$Q$3:$Q$1000&lt;&gt;"",
ROW(FRIM!$Q$3:$Q$1000)-ROW(FRIM!$Q$3)+1),
ROWS(A$2:A56))),"")</f>
        <v/>
      </c>
      <c r="E56" s="116" t="str" cm="1">
        <f t="array" aca="1" ref="E56" ca="1">IFERROR(INDEX(FRIM!$G$3:$G$1000,
SMALL(IF(FRIM!$Q$3:$Q$1000&lt;&gt;"",
ROW(FRIM!$Q$3:$Q$1000)-ROW(FRIM!$Q$3)+1),
ROWS(A$2:A56))),"")</f>
        <v/>
      </c>
      <c r="F56" s="88" t="str" cm="1">
        <f t="array" aca="1" ref="F56" ca="1">IFERROR(INDEX(FRIM!$Q$3:$Q$1000,
SMALL(IF(FRIM!$Q$3:$Q$1000&lt;&gt;"",
ROW(FRIM!$Q$3:$Q$1000)-ROW(FRIM!$Q$3)+1),
ROWS(A$2:A56))),"")</f>
        <v/>
      </c>
      <c r="H56" s="115">
        <v>55</v>
      </c>
      <c r="I56" s="119" t="str" cm="1">
        <f t="array" aca="1" ref="I56" ca="1">IFERROR(INDEX(MTIB!$E$3:$E$1000,
SMALL(
IF((MTIB!$Q$3:$Q$1000&lt;&gt;"")*(MTIB!$Q$3:$Q$1000&lt;&gt;"Not Due"),
ROW(MTIB!$Q$3:$Q$1000)-ROW(MTIB!$Q$3)+1),
ROWS(A$2:A56))),"")</f>
        <v/>
      </c>
      <c r="J56" s="115" t="str" cm="1">
        <f t="array" aca="1" ref="J56" ca="1">IFERROR(INDEX(MTIB!$B$3:$B$1000,
SMALL(
IF((MTIB!$Q$3:$Q$1000&lt;&gt;"")*(MTIB!$Q$3:$Q$1000&lt;&gt;"Not Due"),
ROW(MTIB!$Q$3:$Q$1000)-ROW(MTIB!$Q$3)+1),
ROWS(A$2:A56))),"")</f>
        <v/>
      </c>
      <c r="K56" s="115" t="str" cm="1">
        <f t="array" aca="1" ref="K56" ca="1">IFERROR(INDEX(MTIB!$D$3:$D$1000,
SMALL(
IF((MTIB!$Q$3:$Q$1000&lt;&gt;"")*(MTIB!$Q$3:$Q$1000&lt;&gt;"Not Due"),
ROW(MTIB!$Q$3:$Q$1000)-ROW(MTIB!$Q$3)+1),
ROWS(A$2:A56))),"")</f>
        <v/>
      </c>
      <c r="L56" s="116" t="str" cm="1">
        <f t="array" aca="1" ref="L56" ca="1">IFERROR(INDEX(MTIB!$G$3:$G$1000,
SMALL(
IF((MTIB!$Q$3:$Q$1000&lt;&gt;"")*(MTIB!$Q$3:$Q$1000&lt;&gt;"Not Due"),
ROW(MTIB!$Q$3:$Q$1000)-ROW(MTIB!$Q$3)+1),
ROWS(A$2:A56))),"")</f>
        <v/>
      </c>
      <c r="M56" s="88" t="str" cm="1">
        <f t="array" aca="1" ref="M56" ca="1">IFERROR(INDEX(MTIB!$Q$3:$Q$1000,
SMALL(
IF((MTIB!$Q$3:$Q$1000&lt;&gt;"")*(MTIB!$Q$3:$Q$1000&lt;&gt;"Not Due"),
ROW(MTIB!$Q$3:$Q$1000)-ROW(MTIB!$Q$3)+1),
ROWS(A$2:A56))
),"")</f>
        <v/>
      </c>
      <c r="O56" s="115">
        <v>55</v>
      </c>
      <c r="P56" s="120" t="str" cm="1">
        <f t="array" aca="1" ref="P56" ca="1">IFERROR(INDEX(MPOB!$E$3:$E$1000,
SMALL(
IF((MPOB!$Q$3:$Q$1000&lt;&gt;"")*(MPOB!$Q$3:$Q$1000&lt;&gt;"Not Due"),
ROW(MPOB!$Q$3:$Q$1000)-ROW(MPOB!$Q$3)+1),
ROWS(A$2:A56))),"")</f>
        <v/>
      </c>
      <c r="Q56" s="115" t="str" cm="1">
        <f t="array" aca="1" ref="Q56" ca="1">IFERROR(INDEX(MPOB!$B$3:$B$1000,
SMALL(
IF((MPOB!$Q$3:$Q$1000&lt;&gt;"")*(MPOB!$Q$3:$Q$1000&lt;&gt;"Not Due"),
ROW(MPOB!$Q$3:$Q$1000)-ROW(MPOB!$Q$3)+1),
ROWS(A$2:A56))),"")</f>
        <v/>
      </c>
      <c r="R56" s="115" t="str" cm="1">
        <f t="array" aca="1" ref="R56" ca="1">IFERROR(INDEX(MPOB!$D$3:$D$1000,
SMALL(
IF((MPOB!$Q$3:$Q$1000&lt;&gt;"")*(MPOB!$Q$3:$Q$1000&lt;&gt;"Not Due"),
ROW(MPOB!$Q$3:$Q$1000)-ROW(MPOB!$Q$3)+1),
ROWS(A$2:A56))),"")</f>
        <v/>
      </c>
      <c r="S56" s="116" t="str" cm="1">
        <f t="array" aca="1" ref="S56" ca="1">IFERROR(INDEX(MPOB!$G$3:$G$1000,
SMALL(
IF((MPOB!$Q$3:$Q$1000&lt;&gt;"")*(MPOB!$Q$3:$Q$1000&lt;&gt;"Not Due"),
ROW(MPOB!$Q$3:$Q$1000)-ROW(MPOB!$Q$3)+1),
ROWS(A$2:A56))),"")</f>
        <v/>
      </c>
      <c r="T56" s="88" t="str" cm="1">
        <f t="array" aca="1" ref="T56" ca="1">IFERROR(INDEX(MPOB!$Q$3:$Q$1000,
SMALL(
IF((MPOB!$Q$3:$Q$1000&lt;&gt;"")*(MPOB!$Q$3:$Q$1000&lt;&gt;"Not Due"),
ROW(MPOB!$Q$3:$Q$1000)-ROW(MPOB!$Q$3)+1),
ROWS(A$2:A56))
),"")</f>
        <v/>
      </c>
      <c r="V56" s="115">
        <v>55</v>
      </c>
      <c r="W56" s="121" t="str" cm="1">
        <f t="array" aca="1" ref="W56" ca="1">IFERROR(INDEX(LKTN!$E$3:$E$1000,
SMALL(
IF((LKTN!$Q$3:$Q$1000&lt;&gt;"")*(LKTN!$Q$3:$Q$1000&lt;&gt;"Not Due"),
ROW(LKTN!$Q$3:$Q$1000)-ROW(LKTN!$Q$3)+1),
ROWS(A$2:A56))),"")</f>
        <v/>
      </c>
      <c r="X56" s="115" t="str" cm="1">
        <f t="array" aca="1" ref="X56" ca="1">IFERROR(INDEX(LKTN!$B$3:$B$1000,
SMALL(
IF((LKTN!$Q$3:$Q$1000&lt;&gt;"")*(LKTN!$Q$3:$Q$1000&lt;&gt;"Not Due"),
ROW(LKTN!$Q$3:$Q$1000)-ROW(LKTN!$Q$3)+1),
ROWS(A$2:A56))),"")</f>
        <v/>
      </c>
      <c r="Y56" s="115" t="str" cm="1">
        <f t="array" aca="1" ref="Y56" ca="1">IFERROR(INDEX(LKTN!$D$3:$D$1000,
SMALL(
IF((LKTN!$Q$3:$Q$1000&lt;&gt;"")*(LKTN!$Q$3:$Q$1000&lt;&gt;"Not Due"),
ROW(LKTN!$Q$3:$Q$1000)-ROW(LKTN!$Q$3)+1),
ROWS(A$2:A56))),"")</f>
        <v/>
      </c>
      <c r="Z56" s="116"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5">
        <v>55</v>
      </c>
      <c r="AK56" s="123" t="str" cm="1">
        <f t="array" aca="1" ref="AK56" ca="1">IFERROR(INDEX(ISN!$E$3:$E$1000,
SMALL(
IF((ISN!$Q$3:$Q$1000&lt;&gt;"")*(ISN!$Q$3:$Q$1000&lt;&gt;"Not Due"),
ROW(ISN!$Q$3:$Q$1000)-ROW(ISN!$Q$3)+1),
ROWS(A$2:A56))),"")</f>
        <v/>
      </c>
      <c r="AL56" s="115" t="str" cm="1">
        <f t="array" aca="1" ref="AL56" ca="1">IFERROR(INDEX(ISN!$B$3:$B$1000,
SMALL(
IF((ISN!$Q$3:$Q$1000&lt;&gt;"")*(ISN!$Q$3:$Q$1000&lt;&gt;"Not Due"),
ROW(ISN!$Q$3:$Q$1000)-ROW(ISN!$Q$3)+1),
ROWS(A$2:A56))),"")</f>
        <v/>
      </c>
      <c r="AM56" s="116" t="str" cm="1">
        <f t="array" aca="1" ref="AM56" ca="1">IFERROR(INDEX(ISN!$D$3:$D$1000,
SMALL(
IF((ISN!$Q$3:$Q$1000&lt;&gt;"")*(ISN!$Q$3:$Q$1000&lt;&gt;"Not Due"),
ROW(ISN!$Q$3:$Q$1000)-ROW(ISN!$Q$3)+1),
ROWS(A$2:A56))),"")</f>
        <v/>
      </c>
      <c r="AN56" s="116"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5">
        <v>56</v>
      </c>
      <c r="I57" s="119" t="str" cm="1">
        <f t="array" aca="1" ref="I57" ca="1">IFERROR(INDEX(MTIB!$E$3:$E$1000,
SMALL(
IF((MTIB!$Q$3:$Q$1000&lt;&gt;"")*(MTIB!$Q$3:$Q$1000&lt;&gt;"Not Due"),
ROW(MTIB!$Q$3:$Q$1000)-ROW(MTIB!$Q$3)+1),
ROWS(A$2:A57))),"")</f>
        <v/>
      </c>
      <c r="J57" s="115" t="str" cm="1">
        <f t="array" aca="1" ref="J57" ca="1">IFERROR(INDEX(MTIB!$B$3:$B$1000,
SMALL(
IF((MTIB!$Q$3:$Q$1000&lt;&gt;"")*(MTIB!$Q$3:$Q$1000&lt;&gt;"Not Due"),
ROW(MTIB!$Q$3:$Q$1000)-ROW(MTIB!$Q$3)+1),
ROWS(A$2:A57))),"")</f>
        <v/>
      </c>
      <c r="K57" s="115" t="str" cm="1">
        <f t="array" aca="1" ref="K57" ca="1">IFERROR(INDEX(MTIB!$D$3:$D$1000,
SMALL(
IF((MTIB!$Q$3:$Q$1000&lt;&gt;"")*(MTIB!$Q$3:$Q$1000&lt;&gt;"Not Due"),
ROW(MTIB!$Q$3:$Q$1000)-ROW(MTIB!$Q$3)+1),
ROWS(A$2:A57))),"")</f>
        <v/>
      </c>
      <c r="L57" s="116" t="str" cm="1">
        <f t="array" aca="1" ref="L57" ca="1">IFERROR(INDEX(MTIB!$G$3:$G$1000,
SMALL(
IF((MTIB!$Q$3:$Q$1000&lt;&gt;"")*(MTIB!$Q$3:$Q$1000&lt;&gt;"Not Due"),
ROW(MTIB!$Q$3:$Q$1000)-ROW(MTIB!$Q$3)+1),
ROWS(A$2:A57))),"")</f>
        <v/>
      </c>
      <c r="M57" s="88" t="str" cm="1">
        <f t="array" aca="1" ref="M57" ca="1">IFERROR(INDEX(MTIB!$Q$3:$Q$1000,
SMALL(
IF((MTIB!$Q$3:$Q$1000&lt;&gt;"")*(MTIB!$Q$3:$Q$1000&lt;&gt;"Not Due"),
ROW(MTIB!$Q$3:$Q$1000)-ROW(MTIB!$Q$3)+1),
ROWS(A$2:A57))
),"")</f>
        <v/>
      </c>
      <c r="O57" s="115">
        <v>56</v>
      </c>
      <c r="P57" s="120" t="str" cm="1">
        <f t="array" aca="1" ref="P57" ca="1">IFERROR(INDEX(MPOB!$E$3:$E$1000,
SMALL(
IF((MPOB!$Q$3:$Q$1000&lt;&gt;"")*(MPOB!$Q$3:$Q$1000&lt;&gt;"Not Due"),
ROW(MPOB!$Q$3:$Q$1000)-ROW(MPOB!$Q$3)+1),
ROWS(A$2:A57))),"")</f>
        <v/>
      </c>
      <c r="Q57" s="115" t="str" cm="1">
        <f t="array" aca="1" ref="Q57" ca="1">IFERROR(INDEX(MPOB!$B$3:$B$1000,
SMALL(
IF((MPOB!$Q$3:$Q$1000&lt;&gt;"")*(MPOB!$Q$3:$Q$1000&lt;&gt;"Not Due"),
ROW(MPOB!$Q$3:$Q$1000)-ROW(MPOB!$Q$3)+1),
ROWS(A$2:A57))),"")</f>
        <v/>
      </c>
      <c r="R57" s="115" t="str" cm="1">
        <f t="array" aca="1" ref="R57" ca="1">IFERROR(INDEX(MPOB!$D$3:$D$1000,
SMALL(
IF((MPOB!$Q$3:$Q$1000&lt;&gt;"")*(MPOB!$Q$3:$Q$1000&lt;&gt;"Not Due"),
ROW(MPOB!$Q$3:$Q$1000)-ROW(MPOB!$Q$3)+1),
ROWS(A$2:A57))),"")</f>
        <v/>
      </c>
      <c r="S57" s="116" t="str" cm="1">
        <f t="array" aca="1" ref="S57" ca="1">IFERROR(INDEX(MPOB!$G$3:$G$1000,
SMALL(
IF((MPOB!$Q$3:$Q$1000&lt;&gt;"")*(MPOB!$Q$3:$Q$1000&lt;&gt;"Not Due"),
ROW(MPOB!$Q$3:$Q$1000)-ROW(MPOB!$Q$3)+1),
ROWS(A$2:A57))),"")</f>
        <v/>
      </c>
      <c r="T57" s="88" t="str" cm="1">
        <f t="array" aca="1" ref="T57" ca="1">IFERROR(INDEX(MPOB!$Q$3:$Q$1000,
SMALL(
IF((MPOB!$Q$3:$Q$1000&lt;&gt;"")*(MPOB!$Q$3:$Q$1000&lt;&gt;"Not Due"),
ROW(MPOB!$Q$3:$Q$1000)-ROW(MPOB!$Q$3)+1),
ROWS(A$2:A57))
),"")</f>
        <v/>
      </c>
      <c r="V57" s="115">
        <v>56</v>
      </c>
      <c r="W57" s="121" t="str" cm="1">
        <f t="array" aca="1" ref="W57" ca="1">IFERROR(INDEX(LKTN!$E$3:$E$1000,
SMALL(
IF((LKTN!$Q$3:$Q$1000&lt;&gt;"")*(LKTN!$Q$3:$Q$1000&lt;&gt;"Not Due"),
ROW(LKTN!$Q$3:$Q$1000)-ROW(LKTN!$Q$3)+1),
ROWS(A$2:A57))),"")</f>
        <v/>
      </c>
      <c r="X57" s="115" t="str" cm="1">
        <f t="array" aca="1" ref="X57" ca="1">IFERROR(INDEX(LKTN!$B$3:$B$1000,
SMALL(
IF((LKTN!$Q$3:$Q$1000&lt;&gt;"")*(LKTN!$Q$3:$Q$1000&lt;&gt;"Not Due"),
ROW(LKTN!$Q$3:$Q$1000)-ROW(LKTN!$Q$3)+1),
ROWS(A$2:A57))),"")</f>
        <v/>
      </c>
      <c r="Y57" s="115" t="str" cm="1">
        <f t="array" aca="1" ref="Y57" ca="1">IFERROR(INDEX(LKTN!$D$3:$D$1000,
SMALL(
IF((LKTN!$Q$3:$Q$1000&lt;&gt;"")*(LKTN!$Q$3:$Q$1000&lt;&gt;"Not Due"),
ROW(LKTN!$Q$3:$Q$1000)-ROW(LKTN!$Q$3)+1),
ROWS(A$2:A57))),"")</f>
        <v/>
      </c>
      <c r="Z57" s="116"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5">
        <v>56</v>
      </c>
      <c r="AK57" s="123" t="str" cm="1">
        <f t="array" aca="1" ref="AK57" ca="1">IFERROR(INDEX(ISN!$E$3:$E$1000,
SMALL(
IF((ISN!$Q$3:$Q$1000&lt;&gt;"")*(ISN!$Q$3:$Q$1000&lt;&gt;"Not Due"),
ROW(ISN!$Q$3:$Q$1000)-ROW(ISN!$Q$3)+1),
ROWS(A$2:A57))),"")</f>
        <v/>
      </c>
      <c r="AL57" s="115" t="str" cm="1">
        <f t="array" aca="1" ref="AL57" ca="1">IFERROR(INDEX(ISN!$B$3:$B$1000,
SMALL(
IF((ISN!$Q$3:$Q$1000&lt;&gt;"")*(ISN!$Q$3:$Q$1000&lt;&gt;"Not Due"),
ROW(ISN!$Q$3:$Q$1000)-ROW(ISN!$Q$3)+1),
ROWS(A$2:A57))),"")</f>
        <v/>
      </c>
      <c r="AM57" s="116" t="str" cm="1">
        <f t="array" aca="1" ref="AM57" ca="1">IFERROR(INDEX(ISN!$D$3:$D$1000,
SMALL(
IF((ISN!$Q$3:$Q$1000&lt;&gt;"")*(ISN!$Q$3:$Q$1000&lt;&gt;"Not Due"),
ROW(ISN!$Q$3:$Q$1000)-ROW(ISN!$Q$3)+1),
ROWS(A$2:A57))),"")</f>
        <v/>
      </c>
      <c r="AN57" s="116"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5">
        <v>57</v>
      </c>
      <c r="P58" s="120" t="str" cm="1">
        <f t="array" aca="1" ref="P58" ca="1">IFERROR(INDEX(MPOB!$E$3:$E$1000,
SMALL(
IF((MPOB!$Q$3:$Q$1000&lt;&gt;"")*(MPOB!$Q$3:$Q$1000&lt;&gt;"Not Due"),
ROW(MPOB!$Q$3:$Q$1000)-ROW(MPOB!$Q$3)+1),
ROWS(A$2:A58))),"")</f>
        <v/>
      </c>
      <c r="Q58" s="115" t="str" cm="1">
        <f t="array" aca="1" ref="Q58" ca="1">IFERROR(INDEX(MPOB!$B$3:$B$1000,
SMALL(
IF((MPOB!$Q$3:$Q$1000&lt;&gt;"")*(MPOB!$Q$3:$Q$1000&lt;&gt;"Not Due"),
ROW(MPOB!$Q$3:$Q$1000)-ROW(MPOB!$Q$3)+1),
ROWS(A$2:A58))),"")</f>
        <v/>
      </c>
      <c r="R58" s="115" t="str" cm="1">
        <f t="array" aca="1" ref="R58" ca="1">IFERROR(INDEX(MPOB!$D$3:$D$1000,
SMALL(
IF((MPOB!$Q$3:$Q$1000&lt;&gt;"")*(MPOB!$Q$3:$Q$1000&lt;&gt;"Not Due"),
ROW(MPOB!$Q$3:$Q$1000)-ROW(MPOB!$Q$3)+1),
ROWS(A$2:A58))),"")</f>
        <v/>
      </c>
      <c r="S58" s="116" t="str" cm="1">
        <f t="array" aca="1" ref="S58" ca="1">IFERROR(INDEX(MPOB!$G$3:$G$1000,
SMALL(
IF((MPOB!$Q$3:$Q$1000&lt;&gt;"")*(MPOB!$Q$3:$Q$1000&lt;&gt;"Not Due"),
ROW(MPOB!$Q$3:$Q$1000)-ROW(MPOB!$Q$3)+1),
ROWS(A$2:A58))),"")</f>
        <v/>
      </c>
      <c r="T58" s="88" t="str" cm="1">
        <f t="array" aca="1" ref="T58" ca="1">IFERROR(INDEX(MPOB!$Q$3:$Q$1000,
SMALL(
IF((MPOB!$Q$3:$Q$1000&lt;&gt;"")*(MPOB!$Q$3:$Q$1000&lt;&gt;"Not Due"),
ROW(MPOB!$Q$3:$Q$1000)-ROW(MPOB!$Q$3)+1),
ROWS(A$2:A58))
),"")</f>
        <v/>
      </c>
      <c r="V58" s="115">
        <v>57</v>
      </c>
      <c r="W58" s="121" t="str" cm="1">
        <f t="array" aca="1" ref="W58" ca="1">IFERROR(INDEX(LKTN!$E$3:$E$1000,
SMALL(
IF((LKTN!$Q$3:$Q$1000&lt;&gt;"")*(LKTN!$Q$3:$Q$1000&lt;&gt;"Not Due"),
ROW(LKTN!$Q$3:$Q$1000)-ROW(LKTN!$Q$3)+1),
ROWS(A$2:A58))),"")</f>
        <v/>
      </c>
      <c r="X58" s="115" t="str" cm="1">
        <f t="array" aca="1" ref="X58" ca="1">IFERROR(INDEX(LKTN!$B$3:$B$1000,
SMALL(
IF((LKTN!$Q$3:$Q$1000&lt;&gt;"")*(LKTN!$Q$3:$Q$1000&lt;&gt;"Not Due"),
ROW(LKTN!$Q$3:$Q$1000)-ROW(LKTN!$Q$3)+1),
ROWS(A$2:A58))),"")</f>
        <v/>
      </c>
      <c r="Y58" s="115" t="str" cm="1">
        <f t="array" aca="1" ref="Y58" ca="1">IFERROR(INDEX(LKTN!$D$3:$D$1000,
SMALL(
IF((LKTN!$Q$3:$Q$1000&lt;&gt;"")*(LKTN!$Q$3:$Q$1000&lt;&gt;"Not Due"),
ROW(LKTN!$Q$3:$Q$1000)-ROW(LKTN!$Q$3)+1),
ROWS(A$2:A58))),"")</f>
        <v/>
      </c>
      <c r="Z58" s="116"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5">
        <v>57</v>
      </c>
      <c r="AK58" s="123" t="str" cm="1">
        <f t="array" aca="1" ref="AK58" ca="1">IFERROR(INDEX(ISN!$E$3:$E$1000,
SMALL(
IF((ISN!$Q$3:$Q$1000&lt;&gt;"")*(ISN!$Q$3:$Q$1000&lt;&gt;"Not Due"),
ROW(ISN!$Q$3:$Q$1000)-ROW(ISN!$Q$3)+1),
ROWS(A$2:A58))),"")</f>
        <v/>
      </c>
      <c r="AL58" s="115" t="str" cm="1">
        <f t="array" aca="1" ref="AL58" ca="1">IFERROR(INDEX(ISN!$B$3:$B$1000,
SMALL(
IF((ISN!$Q$3:$Q$1000&lt;&gt;"")*(ISN!$Q$3:$Q$1000&lt;&gt;"Not Due"),
ROW(ISN!$Q$3:$Q$1000)-ROW(ISN!$Q$3)+1),
ROWS(A$2:A58))),"")</f>
        <v/>
      </c>
      <c r="AM58" s="116" t="str" cm="1">
        <f t="array" aca="1" ref="AM58" ca="1">IFERROR(INDEX(ISN!$D$3:$D$1000,
SMALL(
IF((ISN!$Q$3:$Q$1000&lt;&gt;"")*(ISN!$Q$3:$Q$1000&lt;&gt;"Not Due"),
ROW(ISN!$Q$3:$Q$1000)-ROW(ISN!$Q$3)+1),
ROWS(A$2:A58))),"")</f>
        <v/>
      </c>
      <c r="AN58" s="116"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5">
        <v>58</v>
      </c>
      <c r="P59" s="120" t="str" cm="1">
        <f t="array" aca="1" ref="P59" ca="1">IFERROR(INDEX(MPOB!$E$3:$E$1000,
SMALL(
IF((MPOB!$Q$3:$Q$1000&lt;&gt;"")*(MPOB!$Q$3:$Q$1000&lt;&gt;"Not Due"),
ROW(MPOB!$Q$3:$Q$1000)-ROW(MPOB!$Q$3)+1),
ROWS(A$2:A59))),"")</f>
        <v/>
      </c>
      <c r="Q59" s="115" t="str" cm="1">
        <f t="array" aca="1" ref="Q59" ca="1">IFERROR(INDEX(MPOB!$B$3:$B$1000,
SMALL(
IF((MPOB!$Q$3:$Q$1000&lt;&gt;"")*(MPOB!$Q$3:$Q$1000&lt;&gt;"Not Due"),
ROW(MPOB!$Q$3:$Q$1000)-ROW(MPOB!$Q$3)+1),
ROWS(A$2:A59))),"")</f>
        <v/>
      </c>
      <c r="R59" s="115" t="str" cm="1">
        <f t="array" aca="1" ref="R59" ca="1">IFERROR(INDEX(MPOB!$D$3:$D$1000,
SMALL(
IF((MPOB!$Q$3:$Q$1000&lt;&gt;"")*(MPOB!$Q$3:$Q$1000&lt;&gt;"Not Due"),
ROW(MPOB!$Q$3:$Q$1000)-ROW(MPOB!$Q$3)+1),
ROWS(A$2:A59))),"")</f>
        <v/>
      </c>
      <c r="S59" s="116" t="str" cm="1">
        <f t="array" aca="1" ref="S59" ca="1">IFERROR(INDEX(MPOB!$G$3:$G$1000,
SMALL(
IF((MPOB!$Q$3:$Q$1000&lt;&gt;"")*(MPOB!$Q$3:$Q$1000&lt;&gt;"Not Due"),
ROW(MPOB!$Q$3:$Q$1000)-ROW(MPOB!$Q$3)+1),
ROWS(A$2:A59))),"")</f>
        <v/>
      </c>
      <c r="T59" s="88" t="str" cm="1">
        <f t="array" aca="1" ref="T59" ca="1">IFERROR(INDEX(MPOB!$Q$3:$Q$1000,
SMALL(
IF((MPOB!$Q$3:$Q$1000&lt;&gt;"")*(MPOB!$Q$3:$Q$1000&lt;&gt;"Not Due"),
ROW(MPOB!$Q$3:$Q$1000)-ROW(MPOB!$Q$3)+1),
ROWS(A$2:A59))
),"")</f>
        <v/>
      </c>
      <c r="V59" s="115">
        <v>58</v>
      </c>
      <c r="W59" s="121" t="str" cm="1">
        <f t="array" aca="1" ref="W59" ca="1">IFERROR(INDEX(LKTN!$E$3:$E$1000,
SMALL(
IF((LKTN!$Q$3:$Q$1000&lt;&gt;"")*(LKTN!$Q$3:$Q$1000&lt;&gt;"Not Due"),
ROW(LKTN!$Q$3:$Q$1000)-ROW(LKTN!$Q$3)+1),
ROWS(A$2:A59))),"")</f>
        <v/>
      </c>
      <c r="X59" s="115" t="str" cm="1">
        <f t="array" aca="1" ref="X59" ca="1">IFERROR(INDEX(LKTN!$B$3:$B$1000,
SMALL(
IF((LKTN!$Q$3:$Q$1000&lt;&gt;"")*(LKTN!$Q$3:$Q$1000&lt;&gt;"Not Due"),
ROW(LKTN!$Q$3:$Q$1000)-ROW(LKTN!$Q$3)+1),
ROWS(A$2:A59))),"")</f>
        <v/>
      </c>
      <c r="Y59" s="115" t="str" cm="1">
        <f t="array" aca="1" ref="Y59" ca="1">IFERROR(INDEX(LKTN!$D$3:$D$1000,
SMALL(
IF((LKTN!$Q$3:$Q$1000&lt;&gt;"")*(LKTN!$Q$3:$Q$1000&lt;&gt;"Not Due"),
ROW(LKTN!$Q$3:$Q$1000)-ROW(LKTN!$Q$3)+1),
ROWS(A$2:A59))),"")</f>
        <v/>
      </c>
      <c r="Z59" s="116"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5">
        <v>58</v>
      </c>
      <c r="AK59" s="123" t="str" cm="1">
        <f t="array" aca="1" ref="AK59" ca="1">IFERROR(INDEX(ISN!$E$3:$E$1000,
SMALL(
IF((ISN!$Q$3:$Q$1000&lt;&gt;"")*(ISN!$Q$3:$Q$1000&lt;&gt;"Not Due"),
ROW(ISN!$Q$3:$Q$1000)-ROW(ISN!$Q$3)+1),
ROWS(A$2:A59))),"")</f>
        <v/>
      </c>
      <c r="AL59" s="115" t="str" cm="1">
        <f t="array" aca="1" ref="AL59" ca="1">IFERROR(INDEX(ISN!$B$3:$B$1000,
SMALL(
IF((ISN!$Q$3:$Q$1000&lt;&gt;"")*(ISN!$Q$3:$Q$1000&lt;&gt;"Not Due"),
ROW(ISN!$Q$3:$Q$1000)-ROW(ISN!$Q$3)+1),
ROWS(A$2:A59))),"")</f>
        <v/>
      </c>
      <c r="AM59" s="116" t="str" cm="1">
        <f t="array" aca="1" ref="AM59" ca="1">IFERROR(INDEX(ISN!$D$3:$D$1000,
SMALL(
IF((ISN!$Q$3:$Q$1000&lt;&gt;"")*(ISN!$Q$3:$Q$1000&lt;&gt;"Not Due"),
ROW(ISN!$Q$3:$Q$1000)-ROW(ISN!$Q$3)+1),
ROWS(A$2:A59))),"")</f>
        <v/>
      </c>
      <c r="AN59" s="116"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5">
        <v>59</v>
      </c>
      <c r="P60" s="120" t="str" cm="1">
        <f t="array" aca="1" ref="P60" ca="1">IFERROR(INDEX(MPOB!$E$3:$E$1000,
SMALL(
IF((MPOB!$Q$3:$Q$1000&lt;&gt;"")*(MPOB!$Q$3:$Q$1000&lt;&gt;"Not Due"),
ROW(MPOB!$Q$3:$Q$1000)-ROW(MPOB!$Q$3)+1),
ROWS(A$2:A60))),"")</f>
        <v/>
      </c>
      <c r="Q60" s="115" t="str" cm="1">
        <f t="array" aca="1" ref="Q60" ca="1">IFERROR(INDEX(MPOB!$B$3:$B$1000,
SMALL(
IF((MPOB!$Q$3:$Q$1000&lt;&gt;"")*(MPOB!$Q$3:$Q$1000&lt;&gt;"Not Due"),
ROW(MPOB!$Q$3:$Q$1000)-ROW(MPOB!$Q$3)+1),
ROWS(A$2:A60))),"")</f>
        <v/>
      </c>
      <c r="R60" s="115" t="str" cm="1">
        <f t="array" aca="1" ref="R60" ca="1">IFERROR(INDEX(MPOB!$D$3:$D$1000,
SMALL(
IF((MPOB!$Q$3:$Q$1000&lt;&gt;"")*(MPOB!$Q$3:$Q$1000&lt;&gt;"Not Due"),
ROW(MPOB!$Q$3:$Q$1000)-ROW(MPOB!$Q$3)+1),
ROWS(A$2:A60))),"")</f>
        <v/>
      </c>
      <c r="S60" s="116" t="str" cm="1">
        <f t="array" aca="1" ref="S60" ca="1">IFERROR(INDEX(MPOB!$G$3:$G$1000,
SMALL(
IF((MPOB!$Q$3:$Q$1000&lt;&gt;"")*(MPOB!$Q$3:$Q$1000&lt;&gt;"Not Due"),
ROW(MPOB!$Q$3:$Q$1000)-ROW(MPOB!$Q$3)+1),
ROWS(A$2:A60))),"")</f>
        <v/>
      </c>
      <c r="T60" s="88" t="str" cm="1">
        <f t="array" aca="1" ref="T60" ca="1">IFERROR(INDEX(MPOB!$Q$3:$Q$1000,
SMALL(
IF((MPOB!$Q$3:$Q$1000&lt;&gt;"")*(MPOB!$Q$3:$Q$1000&lt;&gt;"Not Due"),
ROW(MPOB!$Q$3:$Q$1000)-ROW(MPOB!$Q$3)+1),
ROWS(A$2:A60))
),"")</f>
        <v/>
      </c>
      <c r="V60" s="115">
        <v>59</v>
      </c>
      <c r="W60" s="121" t="str" cm="1">
        <f t="array" aca="1" ref="W60" ca="1">IFERROR(INDEX(LKTN!$E$3:$E$1000,
SMALL(
IF((LKTN!$Q$3:$Q$1000&lt;&gt;"")*(LKTN!$Q$3:$Q$1000&lt;&gt;"Not Due"),
ROW(LKTN!$Q$3:$Q$1000)-ROW(LKTN!$Q$3)+1),
ROWS(A$2:A60))),"")</f>
        <v/>
      </c>
      <c r="X60" s="115" t="str" cm="1">
        <f t="array" aca="1" ref="X60" ca="1">IFERROR(INDEX(LKTN!$B$3:$B$1000,
SMALL(
IF((LKTN!$Q$3:$Q$1000&lt;&gt;"")*(LKTN!$Q$3:$Q$1000&lt;&gt;"Not Due"),
ROW(LKTN!$Q$3:$Q$1000)-ROW(LKTN!$Q$3)+1),
ROWS(A$2:A60))),"")</f>
        <v/>
      </c>
      <c r="Y60" s="115" t="str" cm="1">
        <f t="array" aca="1" ref="Y60" ca="1">IFERROR(INDEX(LKTN!$D$3:$D$1000,
SMALL(
IF((LKTN!$Q$3:$Q$1000&lt;&gt;"")*(LKTN!$Q$3:$Q$1000&lt;&gt;"Not Due"),
ROW(LKTN!$Q$3:$Q$1000)-ROW(LKTN!$Q$3)+1),
ROWS(A$2:A60))),"")</f>
        <v/>
      </c>
      <c r="Z60" s="116"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5">
        <v>59</v>
      </c>
      <c r="AK60" s="123" t="str" cm="1">
        <f t="array" aca="1" ref="AK60" ca="1">IFERROR(INDEX(ISN!$E$3:$E$1000,
SMALL(
IF((ISN!$Q$3:$Q$1000&lt;&gt;"")*(ISN!$Q$3:$Q$1000&lt;&gt;"Not Due"),
ROW(ISN!$Q$3:$Q$1000)-ROW(ISN!$Q$3)+1),
ROWS(A$2:A60))),"")</f>
        <v/>
      </c>
      <c r="AL60" s="115" t="str" cm="1">
        <f t="array" aca="1" ref="AL60" ca="1">IFERROR(INDEX(ISN!$B$3:$B$1000,
SMALL(
IF((ISN!$Q$3:$Q$1000&lt;&gt;"")*(ISN!$Q$3:$Q$1000&lt;&gt;"Not Due"),
ROW(ISN!$Q$3:$Q$1000)-ROW(ISN!$Q$3)+1),
ROWS(A$2:A60))),"")</f>
        <v/>
      </c>
      <c r="AM60" s="116" t="str" cm="1">
        <f t="array" aca="1" ref="AM60" ca="1">IFERROR(INDEX(ISN!$D$3:$D$1000,
SMALL(
IF((ISN!$Q$3:$Q$1000&lt;&gt;"")*(ISN!$Q$3:$Q$1000&lt;&gt;"Not Due"),
ROW(ISN!$Q$3:$Q$1000)-ROW(ISN!$Q$3)+1),
ROWS(A$2:A60))),"")</f>
        <v/>
      </c>
      <c r="AN60" s="116"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5">
        <v>60</v>
      </c>
      <c r="P61" s="120" t="str" cm="1">
        <f t="array" aca="1" ref="P61" ca="1">IFERROR(INDEX(MPOB!$E$3:$E$1000,
SMALL(
IF((MPOB!$Q$3:$Q$1000&lt;&gt;"")*(MPOB!$Q$3:$Q$1000&lt;&gt;"Not Due"),
ROW(MPOB!$Q$3:$Q$1000)-ROW(MPOB!$Q$3)+1),
ROWS(A$2:A61))),"")</f>
        <v/>
      </c>
      <c r="Q61" s="115" t="str" cm="1">
        <f t="array" aca="1" ref="Q61" ca="1">IFERROR(INDEX(MPOB!$B$3:$B$1000,
SMALL(
IF((MPOB!$Q$3:$Q$1000&lt;&gt;"")*(MPOB!$Q$3:$Q$1000&lt;&gt;"Not Due"),
ROW(MPOB!$Q$3:$Q$1000)-ROW(MPOB!$Q$3)+1),
ROWS(A$2:A61))),"")</f>
        <v/>
      </c>
      <c r="R61" s="115" t="str" cm="1">
        <f t="array" aca="1" ref="R61" ca="1">IFERROR(INDEX(MPOB!$D$3:$D$1000,
SMALL(
IF((MPOB!$Q$3:$Q$1000&lt;&gt;"")*(MPOB!$Q$3:$Q$1000&lt;&gt;"Not Due"),
ROW(MPOB!$Q$3:$Q$1000)-ROW(MPOB!$Q$3)+1),
ROWS(A$2:A61))),"")</f>
        <v/>
      </c>
      <c r="S61" s="116" t="str" cm="1">
        <f t="array" aca="1" ref="S61" ca="1">IFERROR(INDEX(MPOB!$G$3:$G$1000,
SMALL(
IF((MPOB!$Q$3:$Q$1000&lt;&gt;"")*(MPOB!$Q$3:$Q$1000&lt;&gt;"Not Due"),
ROW(MPOB!$Q$3:$Q$1000)-ROW(MPOB!$Q$3)+1),
ROWS(A$2:A61))),"")</f>
        <v/>
      </c>
      <c r="T61" s="88" t="str" cm="1">
        <f t="array" aca="1" ref="T61" ca="1">IFERROR(INDEX(MPOB!$Q$3:$Q$1000,
SMALL(
IF((MPOB!$Q$3:$Q$1000&lt;&gt;"")*(MPOB!$Q$3:$Q$1000&lt;&gt;"Not Due"),
ROW(MPOB!$Q$3:$Q$1000)-ROW(MPOB!$Q$3)+1),
ROWS(A$2:A61))
),"")</f>
        <v/>
      </c>
      <c r="V61" s="115">
        <v>60</v>
      </c>
      <c r="W61" s="121" t="str" cm="1">
        <f t="array" aca="1" ref="W61" ca="1">IFERROR(INDEX(LKTN!$E$3:$E$1000,
SMALL(
IF((LKTN!$Q$3:$Q$1000&lt;&gt;"")*(LKTN!$Q$3:$Q$1000&lt;&gt;"Not Due"),
ROW(LKTN!$Q$3:$Q$1000)-ROW(LKTN!$Q$3)+1),
ROWS(A$2:A61))),"")</f>
        <v/>
      </c>
      <c r="X61" s="115" t="str" cm="1">
        <f t="array" aca="1" ref="X61" ca="1">IFERROR(INDEX(LKTN!$B$3:$B$1000,
SMALL(
IF((LKTN!$Q$3:$Q$1000&lt;&gt;"")*(LKTN!$Q$3:$Q$1000&lt;&gt;"Not Due"),
ROW(LKTN!$Q$3:$Q$1000)-ROW(LKTN!$Q$3)+1),
ROWS(A$2:A61))),"")</f>
        <v/>
      </c>
      <c r="Y61" s="115" t="str" cm="1">
        <f t="array" aca="1" ref="Y61" ca="1">IFERROR(INDEX(LKTN!$D$3:$D$1000,
SMALL(
IF((LKTN!$Q$3:$Q$1000&lt;&gt;"")*(LKTN!$Q$3:$Q$1000&lt;&gt;"Not Due"),
ROW(LKTN!$Q$3:$Q$1000)-ROW(LKTN!$Q$3)+1),
ROWS(A$2:A61))),"")</f>
        <v/>
      </c>
      <c r="Z61" s="116"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5">
        <v>60</v>
      </c>
      <c r="AK61" s="123" t="str" cm="1">
        <f t="array" aca="1" ref="AK61" ca="1">IFERROR(INDEX(ISN!$E$3:$E$1000,
SMALL(
IF((ISN!$Q$3:$Q$1000&lt;&gt;"")*(ISN!$Q$3:$Q$1000&lt;&gt;"Not Due"),
ROW(ISN!$Q$3:$Q$1000)-ROW(ISN!$Q$3)+1),
ROWS(A$2:A61))),"")</f>
        <v/>
      </c>
      <c r="AL61" s="115" t="str" cm="1">
        <f t="array" aca="1" ref="AL61" ca="1">IFERROR(INDEX(ISN!$B$3:$B$1000,
SMALL(
IF((ISN!$Q$3:$Q$1000&lt;&gt;"")*(ISN!$Q$3:$Q$1000&lt;&gt;"Not Due"),
ROW(ISN!$Q$3:$Q$1000)-ROW(ISN!$Q$3)+1),
ROWS(A$2:A61))),"")</f>
        <v/>
      </c>
      <c r="AM61" s="116" t="str" cm="1">
        <f t="array" aca="1" ref="AM61" ca="1">IFERROR(INDEX(ISN!$D$3:$D$1000,
SMALL(
IF((ISN!$Q$3:$Q$1000&lt;&gt;"")*(ISN!$Q$3:$Q$1000&lt;&gt;"Not Due"),
ROW(ISN!$Q$3:$Q$1000)-ROW(ISN!$Q$3)+1),
ROWS(A$2:A61))),"")</f>
        <v/>
      </c>
      <c r="AN61" s="116"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5">
        <v>61</v>
      </c>
      <c r="P62" s="120" t="str" cm="1">
        <f t="array" aca="1" ref="P62" ca="1">IFERROR(INDEX(MPOB!$E$3:$E$1000,
SMALL(
IF((MPOB!$Q$3:$Q$1000&lt;&gt;"")*(MPOB!$Q$3:$Q$1000&lt;&gt;"Not Due"),
ROW(MPOB!$Q$3:$Q$1000)-ROW(MPOB!$Q$3)+1),
ROWS(A$2:A62))),"")</f>
        <v/>
      </c>
      <c r="Q62" s="115" t="str" cm="1">
        <f t="array" aca="1" ref="Q62" ca="1">IFERROR(INDEX(MPOB!$B$3:$B$1000,
SMALL(
IF((MPOB!$Q$3:$Q$1000&lt;&gt;"")*(MPOB!$Q$3:$Q$1000&lt;&gt;"Not Due"),
ROW(MPOB!$Q$3:$Q$1000)-ROW(MPOB!$Q$3)+1),
ROWS(A$2:A62))),"")</f>
        <v/>
      </c>
      <c r="R62" s="115" t="str" cm="1">
        <f t="array" aca="1" ref="R62" ca="1">IFERROR(INDEX(MPOB!$D$3:$D$1000,
SMALL(
IF((MPOB!$Q$3:$Q$1000&lt;&gt;"")*(MPOB!$Q$3:$Q$1000&lt;&gt;"Not Due"),
ROW(MPOB!$Q$3:$Q$1000)-ROW(MPOB!$Q$3)+1),
ROWS(A$2:A62))),"")</f>
        <v/>
      </c>
      <c r="S62" s="116" t="str" cm="1">
        <f t="array" aca="1" ref="S62" ca="1">IFERROR(INDEX(MPOB!$G$3:$G$1000,
SMALL(
IF((MPOB!$Q$3:$Q$1000&lt;&gt;"")*(MPOB!$Q$3:$Q$1000&lt;&gt;"Not Due"),
ROW(MPOB!$Q$3:$Q$1000)-ROW(MPOB!$Q$3)+1),
ROWS(A$2:A62))),"")</f>
        <v/>
      </c>
      <c r="T62" s="88" t="str" cm="1">
        <f t="array" aca="1" ref="T62" ca="1">IFERROR(INDEX(MPOB!$Q$3:$Q$1000,
SMALL(
IF((MPOB!$Q$3:$Q$1000&lt;&gt;"")*(MPOB!$Q$3:$Q$1000&lt;&gt;"Not Due"),
ROW(MPOB!$Q$3:$Q$1000)-ROW(MPOB!$Q$3)+1),
ROWS(A$2:A62))
),"")</f>
        <v/>
      </c>
      <c r="V62" s="115">
        <v>61</v>
      </c>
      <c r="W62" s="121" t="str" cm="1">
        <f t="array" aca="1" ref="W62" ca="1">IFERROR(INDEX(LKTN!$E$3:$E$1000,
SMALL(
IF((LKTN!$Q$3:$Q$1000&lt;&gt;"")*(LKTN!$Q$3:$Q$1000&lt;&gt;"Not Due"),
ROW(LKTN!$Q$3:$Q$1000)-ROW(LKTN!$Q$3)+1),
ROWS(A$2:A62))),"")</f>
        <v/>
      </c>
      <c r="X62" s="115" t="str" cm="1">
        <f t="array" aca="1" ref="X62" ca="1">IFERROR(INDEX(LKTN!$B$3:$B$1000,
SMALL(
IF((LKTN!$Q$3:$Q$1000&lt;&gt;"")*(LKTN!$Q$3:$Q$1000&lt;&gt;"Not Due"),
ROW(LKTN!$Q$3:$Q$1000)-ROW(LKTN!$Q$3)+1),
ROWS(A$2:A62))),"")</f>
        <v/>
      </c>
      <c r="Y62" s="115" t="str" cm="1">
        <f t="array" aca="1" ref="Y62" ca="1">IFERROR(INDEX(LKTN!$D$3:$D$1000,
SMALL(
IF((LKTN!$Q$3:$Q$1000&lt;&gt;"")*(LKTN!$Q$3:$Q$1000&lt;&gt;"Not Due"),
ROW(LKTN!$Q$3:$Q$1000)-ROW(LKTN!$Q$3)+1),
ROWS(A$2:A62))),"")</f>
        <v/>
      </c>
      <c r="Z62" s="116"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5">
        <v>61</v>
      </c>
      <c r="AK62" s="123" t="str" cm="1">
        <f t="array" aca="1" ref="AK62" ca="1">IFERROR(INDEX(ISN!$E$3:$E$1000,
SMALL(
IF((ISN!$Q$3:$Q$1000&lt;&gt;"")*(ISN!$Q$3:$Q$1000&lt;&gt;"Not Due"),
ROW(ISN!$Q$3:$Q$1000)-ROW(ISN!$Q$3)+1),
ROWS(A$2:A62))),"")</f>
        <v/>
      </c>
      <c r="AL62" s="115" t="str" cm="1">
        <f t="array" aca="1" ref="AL62" ca="1">IFERROR(INDEX(ISN!$B$3:$B$1000,
SMALL(
IF((ISN!$Q$3:$Q$1000&lt;&gt;"")*(ISN!$Q$3:$Q$1000&lt;&gt;"Not Due"),
ROW(ISN!$Q$3:$Q$1000)-ROW(ISN!$Q$3)+1),
ROWS(A$2:A62))),"")</f>
        <v/>
      </c>
      <c r="AM62" s="116" t="str" cm="1">
        <f t="array" aca="1" ref="AM62" ca="1">IFERROR(INDEX(ISN!$D$3:$D$1000,
SMALL(
IF((ISN!$Q$3:$Q$1000&lt;&gt;"")*(ISN!$Q$3:$Q$1000&lt;&gt;"Not Due"),
ROW(ISN!$Q$3:$Q$1000)-ROW(ISN!$Q$3)+1),
ROWS(A$2:A62))),"")</f>
        <v/>
      </c>
      <c r="AN62" s="116"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5">
        <v>62</v>
      </c>
      <c r="P63" s="120" t="str" cm="1">
        <f t="array" aca="1" ref="P63" ca="1">IFERROR(INDEX(MPOB!$E$3:$E$1000,
SMALL(
IF((MPOB!$Q$3:$Q$1000&lt;&gt;"")*(MPOB!$Q$3:$Q$1000&lt;&gt;"Not Due"),
ROW(MPOB!$Q$3:$Q$1000)-ROW(MPOB!$Q$3)+1),
ROWS(A$2:A63))),"")</f>
        <v/>
      </c>
      <c r="Q63" s="115" t="str" cm="1">
        <f t="array" aca="1" ref="Q63" ca="1">IFERROR(INDEX(MPOB!$B$3:$B$1000,
SMALL(
IF((MPOB!$Q$3:$Q$1000&lt;&gt;"")*(MPOB!$Q$3:$Q$1000&lt;&gt;"Not Due"),
ROW(MPOB!$Q$3:$Q$1000)-ROW(MPOB!$Q$3)+1),
ROWS(A$2:A63))),"")</f>
        <v/>
      </c>
      <c r="R63" s="115" t="str" cm="1">
        <f t="array" aca="1" ref="R63" ca="1">IFERROR(INDEX(MPOB!$D$3:$D$1000,
SMALL(
IF((MPOB!$Q$3:$Q$1000&lt;&gt;"")*(MPOB!$Q$3:$Q$1000&lt;&gt;"Not Due"),
ROW(MPOB!$Q$3:$Q$1000)-ROW(MPOB!$Q$3)+1),
ROWS(A$2:A63))),"")</f>
        <v/>
      </c>
      <c r="S63" s="116" t="str" cm="1">
        <f t="array" aca="1" ref="S63" ca="1">IFERROR(INDEX(MPOB!$G$3:$G$1000,
SMALL(
IF((MPOB!$Q$3:$Q$1000&lt;&gt;"")*(MPOB!$Q$3:$Q$1000&lt;&gt;"Not Due"),
ROW(MPOB!$Q$3:$Q$1000)-ROW(MPOB!$Q$3)+1),
ROWS(A$2:A63))),"")</f>
        <v/>
      </c>
      <c r="T63" s="88" t="str" cm="1">
        <f t="array" aca="1" ref="T63" ca="1">IFERROR(INDEX(MPOB!$Q$3:$Q$1000,
SMALL(
IF((MPOB!$Q$3:$Q$1000&lt;&gt;"")*(MPOB!$Q$3:$Q$1000&lt;&gt;"Not Due"),
ROW(MPOB!$Q$3:$Q$1000)-ROW(MPOB!$Q$3)+1),
ROWS(A$2:A63))
),"")</f>
        <v/>
      </c>
      <c r="V63" s="115">
        <v>62</v>
      </c>
      <c r="W63" s="121" t="str" cm="1">
        <f t="array" aca="1" ref="W63" ca="1">IFERROR(INDEX(LKTN!$E$3:$E$1000,
SMALL(
IF((LKTN!$Q$3:$Q$1000&lt;&gt;"")*(LKTN!$Q$3:$Q$1000&lt;&gt;"Not Due"),
ROW(LKTN!$Q$3:$Q$1000)-ROW(LKTN!$Q$3)+1),
ROWS(A$2:A63))),"")</f>
        <v/>
      </c>
      <c r="X63" s="115" t="str" cm="1">
        <f t="array" aca="1" ref="X63" ca="1">IFERROR(INDEX(LKTN!$B$3:$B$1000,
SMALL(
IF((LKTN!$Q$3:$Q$1000&lt;&gt;"")*(LKTN!$Q$3:$Q$1000&lt;&gt;"Not Due"),
ROW(LKTN!$Q$3:$Q$1000)-ROW(LKTN!$Q$3)+1),
ROWS(A$2:A63))),"")</f>
        <v/>
      </c>
      <c r="Y63" s="115" t="str" cm="1">
        <f t="array" aca="1" ref="Y63" ca="1">IFERROR(INDEX(LKTN!$D$3:$D$1000,
SMALL(
IF((LKTN!$Q$3:$Q$1000&lt;&gt;"")*(LKTN!$Q$3:$Q$1000&lt;&gt;"Not Due"),
ROW(LKTN!$Q$3:$Q$1000)-ROW(LKTN!$Q$3)+1),
ROWS(A$2:A63))),"")</f>
        <v/>
      </c>
      <c r="Z63" s="116"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5">
        <v>62</v>
      </c>
      <c r="AK63" s="123" t="str" cm="1">
        <f t="array" aca="1" ref="AK63" ca="1">IFERROR(INDEX(ISN!$E$3:$E$1000,
SMALL(
IF((ISN!$Q$3:$Q$1000&lt;&gt;"")*(ISN!$Q$3:$Q$1000&lt;&gt;"Not Due"),
ROW(ISN!$Q$3:$Q$1000)-ROW(ISN!$Q$3)+1),
ROWS(A$2:A63))),"")</f>
        <v/>
      </c>
      <c r="AL63" s="115" t="str" cm="1">
        <f t="array" aca="1" ref="AL63" ca="1">IFERROR(INDEX(ISN!$B$3:$B$1000,
SMALL(
IF((ISN!$Q$3:$Q$1000&lt;&gt;"")*(ISN!$Q$3:$Q$1000&lt;&gt;"Not Due"),
ROW(ISN!$Q$3:$Q$1000)-ROW(ISN!$Q$3)+1),
ROWS(A$2:A63))),"")</f>
        <v/>
      </c>
      <c r="AM63" s="116" t="str" cm="1">
        <f t="array" aca="1" ref="AM63" ca="1">IFERROR(INDEX(ISN!$D$3:$D$1000,
SMALL(
IF((ISN!$Q$3:$Q$1000&lt;&gt;"")*(ISN!$Q$3:$Q$1000&lt;&gt;"Not Due"),
ROW(ISN!$Q$3:$Q$1000)-ROW(ISN!$Q$3)+1),
ROWS(A$2:A63))),"")</f>
        <v/>
      </c>
      <c r="AN63" s="116"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5">
        <v>63</v>
      </c>
      <c r="P64" s="120" t="str" cm="1">
        <f t="array" aca="1" ref="P64" ca="1">IFERROR(INDEX(MPOB!$E$3:$E$1000,
SMALL(
IF((MPOB!$Q$3:$Q$1000&lt;&gt;"")*(MPOB!$Q$3:$Q$1000&lt;&gt;"Not Due"),
ROW(MPOB!$Q$3:$Q$1000)-ROW(MPOB!$Q$3)+1),
ROWS(A$2:A64))),"")</f>
        <v/>
      </c>
      <c r="Q64" s="115" t="str" cm="1">
        <f t="array" aca="1" ref="Q64" ca="1">IFERROR(INDEX(MPOB!$B$3:$B$1000,
SMALL(
IF((MPOB!$Q$3:$Q$1000&lt;&gt;"")*(MPOB!$Q$3:$Q$1000&lt;&gt;"Not Due"),
ROW(MPOB!$Q$3:$Q$1000)-ROW(MPOB!$Q$3)+1),
ROWS(A$2:A64))),"")</f>
        <v/>
      </c>
      <c r="R64" s="115" t="str" cm="1">
        <f t="array" aca="1" ref="R64" ca="1">IFERROR(INDEX(MPOB!$D$3:$D$1000,
SMALL(
IF((MPOB!$Q$3:$Q$1000&lt;&gt;"")*(MPOB!$Q$3:$Q$1000&lt;&gt;"Not Due"),
ROW(MPOB!$Q$3:$Q$1000)-ROW(MPOB!$Q$3)+1),
ROWS(A$2:A64))),"")</f>
        <v/>
      </c>
      <c r="S64" s="116" t="str" cm="1">
        <f t="array" aca="1" ref="S64" ca="1">IFERROR(INDEX(MPOB!$G$3:$G$1000,
SMALL(
IF((MPOB!$Q$3:$Q$1000&lt;&gt;"")*(MPOB!$Q$3:$Q$1000&lt;&gt;"Not Due"),
ROW(MPOB!$Q$3:$Q$1000)-ROW(MPOB!$Q$3)+1),
ROWS(A$2:A64))),"")</f>
        <v/>
      </c>
      <c r="T64" s="88" t="str" cm="1">
        <f t="array" aca="1" ref="T64" ca="1">IFERROR(INDEX(MPOB!$Q$3:$Q$1000,
SMALL(
IF((MPOB!$Q$3:$Q$1000&lt;&gt;"")*(MPOB!$Q$3:$Q$1000&lt;&gt;"Not Due"),
ROW(MPOB!$Q$3:$Q$1000)-ROW(MPOB!$Q$3)+1),
ROWS(A$2:A64))
),"")</f>
        <v/>
      </c>
      <c r="V64" s="115">
        <v>63</v>
      </c>
      <c r="W64" s="121" t="str" cm="1">
        <f t="array" aca="1" ref="W64" ca="1">IFERROR(INDEX(LKTN!$E$3:$E$1000,
SMALL(
IF((LKTN!$Q$3:$Q$1000&lt;&gt;"")*(LKTN!$Q$3:$Q$1000&lt;&gt;"Not Due"),
ROW(LKTN!$Q$3:$Q$1000)-ROW(LKTN!$Q$3)+1),
ROWS(A$2:A64))),"")</f>
        <v/>
      </c>
      <c r="X64" s="115" t="str" cm="1">
        <f t="array" aca="1" ref="X64" ca="1">IFERROR(INDEX(LKTN!$B$3:$B$1000,
SMALL(
IF((LKTN!$Q$3:$Q$1000&lt;&gt;"")*(LKTN!$Q$3:$Q$1000&lt;&gt;"Not Due"),
ROW(LKTN!$Q$3:$Q$1000)-ROW(LKTN!$Q$3)+1),
ROWS(A$2:A64))),"")</f>
        <v/>
      </c>
      <c r="Y64" s="115" t="str" cm="1">
        <f t="array" aca="1" ref="Y64" ca="1">IFERROR(INDEX(LKTN!$D$3:$D$1000,
SMALL(
IF((LKTN!$Q$3:$Q$1000&lt;&gt;"")*(LKTN!$Q$3:$Q$1000&lt;&gt;"Not Due"),
ROW(LKTN!$Q$3:$Q$1000)-ROW(LKTN!$Q$3)+1),
ROWS(A$2:A64))),"")</f>
        <v/>
      </c>
      <c r="Z64" s="116"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5">
        <v>63</v>
      </c>
      <c r="AK64" s="123" t="str" cm="1">
        <f t="array" aca="1" ref="AK64" ca="1">IFERROR(INDEX(ISN!$E$3:$E$1000,
SMALL(
IF((ISN!$Q$3:$Q$1000&lt;&gt;"")*(ISN!$Q$3:$Q$1000&lt;&gt;"Not Due"),
ROW(ISN!$Q$3:$Q$1000)-ROW(ISN!$Q$3)+1),
ROWS(A$2:A64))),"")</f>
        <v/>
      </c>
      <c r="AL64" s="115" t="str" cm="1">
        <f t="array" aca="1" ref="AL64" ca="1">IFERROR(INDEX(ISN!$B$3:$B$1000,
SMALL(
IF((ISN!$Q$3:$Q$1000&lt;&gt;"")*(ISN!$Q$3:$Q$1000&lt;&gt;"Not Due"),
ROW(ISN!$Q$3:$Q$1000)-ROW(ISN!$Q$3)+1),
ROWS(A$2:A64))),"")</f>
        <v/>
      </c>
      <c r="AM64" s="116" t="str" cm="1">
        <f t="array" aca="1" ref="AM64" ca="1">IFERROR(INDEX(ISN!$D$3:$D$1000,
SMALL(
IF((ISN!$Q$3:$Q$1000&lt;&gt;"")*(ISN!$Q$3:$Q$1000&lt;&gt;"Not Due"),
ROW(ISN!$Q$3:$Q$1000)-ROW(ISN!$Q$3)+1),
ROWS(A$2:A64))),"")</f>
        <v/>
      </c>
      <c r="AN64" s="116"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5">
        <v>64</v>
      </c>
      <c r="P65" s="120" t="str" cm="1">
        <f t="array" aca="1" ref="P65" ca="1">IFERROR(INDEX(MPOB!$E$3:$E$1000,
SMALL(
IF((MPOB!$Q$3:$Q$1000&lt;&gt;"")*(MPOB!$Q$3:$Q$1000&lt;&gt;"Not Due"),
ROW(MPOB!$Q$3:$Q$1000)-ROW(MPOB!$Q$3)+1),
ROWS(A$2:A65))),"")</f>
        <v/>
      </c>
      <c r="Q65" s="115" t="str" cm="1">
        <f t="array" aca="1" ref="Q65" ca="1">IFERROR(INDEX(MPOB!$B$3:$B$1000,
SMALL(
IF((MPOB!$Q$3:$Q$1000&lt;&gt;"")*(MPOB!$Q$3:$Q$1000&lt;&gt;"Not Due"),
ROW(MPOB!$Q$3:$Q$1000)-ROW(MPOB!$Q$3)+1),
ROWS(A$2:A65))),"")</f>
        <v/>
      </c>
      <c r="R65" s="115" t="str" cm="1">
        <f t="array" aca="1" ref="R65" ca="1">IFERROR(INDEX(MPOB!$D$3:$D$1000,
SMALL(
IF((MPOB!$Q$3:$Q$1000&lt;&gt;"")*(MPOB!$Q$3:$Q$1000&lt;&gt;"Not Due"),
ROW(MPOB!$Q$3:$Q$1000)-ROW(MPOB!$Q$3)+1),
ROWS(A$2:A65))),"")</f>
        <v/>
      </c>
      <c r="S65" s="116" t="str" cm="1">
        <f t="array" aca="1" ref="S65" ca="1">IFERROR(INDEX(MPOB!$G$3:$G$1000,
SMALL(
IF((MPOB!$Q$3:$Q$1000&lt;&gt;"")*(MPOB!$Q$3:$Q$1000&lt;&gt;"Not Due"),
ROW(MPOB!$Q$3:$Q$1000)-ROW(MPOB!$Q$3)+1),
ROWS(A$2:A65))),"")</f>
        <v/>
      </c>
      <c r="T65" s="88" t="str" cm="1">
        <f t="array" aca="1" ref="T65" ca="1">IFERROR(INDEX(MPOB!$Q$3:$Q$1000,
SMALL(
IF((MPOB!$Q$3:$Q$1000&lt;&gt;"")*(MPOB!$Q$3:$Q$1000&lt;&gt;"Not Due"),
ROW(MPOB!$Q$3:$Q$1000)-ROW(MPOB!$Q$3)+1),
ROWS(A$2:A65))
),"")</f>
        <v/>
      </c>
      <c r="V65" s="115">
        <v>64</v>
      </c>
      <c r="W65" s="121" t="str" cm="1">
        <f t="array" aca="1" ref="W65" ca="1">IFERROR(INDEX(LKTN!$E$3:$E$1000,
SMALL(
IF((LKTN!$Q$3:$Q$1000&lt;&gt;"")*(LKTN!$Q$3:$Q$1000&lt;&gt;"Not Due"),
ROW(LKTN!$Q$3:$Q$1000)-ROW(LKTN!$Q$3)+1),
ROWS(A$2:A65))),"")</f>
        <v/>
      </c>
      <c r="X65" s="115" t="str" cm="1">
        <f t="array" aca="1" ref="X65" ca="1">IFERROR(INDEX(LKTN!$B$3:$B$1000,
SMALL(
IF((LKTN!$Q$3:$Q$1000&lt;&gt;"")*(LKTN!$Q$3:$Q$1000&lt;&gt;"Not Due"),
ROW(LKTN!$Q$3:$Q$1000)-ROW(LKTN!$Q$3)+1),
ROWS(A$2:A65))),"")</f>
        <v/>
      </c>
      <c r="Y65" s="115" t="str" cm="1">
        <f t="array" aca="1" ref="Y65" ca="1">IFERROR(INDEX(LKTN!$D$3:$D$1000,
SMALL(
IF((LKTN!$Q$3:$Q$1000&lt;&gt;"")*(LKTN!$Q$3:$Q$1000&lt;&gt;"Not Due"),
ROW(LKTN!$Q$3:$Q$1000)-ROW(LKTN!$Q$3)+1),
ROWS(A$2:A65))),"")</f>
        <v/>
      </c>
      <c r="Z65" s="116"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5">
        <v>64</v>
      </c>
      <c r="AK65" s="123" t="str" cm="1">
        <f t="array" aca="1" ref="AK65" ca="1">IFERROR(INDEX(ISN!$E$3:$E$1000,
SMALL(
IF((ISN!$Q$3:$Q$1000&lt;&gt;"")*(ISN!$Q$3:$Q$1000&lt;&gt;"Not Due"),
ROW(ISN!$Q$3:$Q$1000)-ROW(ISN!$Q$3)+1),
ROWS(A$2:A65))),"")</f>
        <v/>
      </c>
      <c r="AL65" s="115" t="str" cm="1">
        <f t="array" aca="1" ref="AL65" ca="1">IFERROR(INDEX(ISN!$B$3:$B$1000,
SMALL(
IF((ISN!$Q$3:$Q$1000&lt;&gt;"")*(ISN!$Q$3:$Q$1000&lt;&gt;"Not Due"),
ROW(ISN!$Q$3:$Q$1000)-ROW(ISN!$Q$3)+1),
ROWS(A$2:A65))),"")</f>
        <v/>
      </c>
      <c r="AM65" s="116" t="str" cm="1">
        <f t="array" aca="1" ref="AM65" ca="1">IFERROR(INDEX(ISN!$D$3:$D$1000,
SMALL(
IF((ISN!$Q$3:$Q$1000&lt;&gt;"")*(ISN!$Q$3:$Q$1000&lt;&gt;"Not Due"),
ROW(ISN!$Q$3:$Q$1000)-ROW(ISN!$Q$3)+1),
ROWS(A$2:A65))),"")</f>
        <v/>
      </c>
      <c r="AN65" s="116"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5">
        <v>65</v>
      </c>
      <c r="P66" s="120" t="str" cm="1">
        <f t="array" aca="1" ref="P66" ca="1">IFERROR(INDEX(MPOB!$E$3:$E$1000,
SMALL(
IF((MPOB!$Q$3:$Q$1000&lt;&gt;"")*(MPOB!$Q$3:$Q$1000&lt;&gt;"Not Due"),
ROW(MPOB!$Q$3:$Q$1000)-ROW(MPOB!$Q$3)+1),
ROWS(A$2:A66))),"")</f>
        <v/>
      </c>
      <c r="Q66" s="115" t="str" cm="1">
        <f t="array" aca="1" ref="Q66" ca="1">IFERROR(INDEX(MPOB!$B$3:$B$1000,
SMALL(
IF((MPOB!$Q$3:$Q$1000&lt;&gt;"")*(MPOB!$Q$3:$Q$1000&lt;&gt;"Not Due"),
ROW(MPOB!$Q$3:$Q$1000)-ROW(MPOB!$Q$3)+1),
ROWS(A$2:A66))),"")</f>
        <v/>
      </c>
      <c r="R66" s="115" t="str" cm="1">
        <f t="array" aca="1" ref="R66" ca="1">IFERROR(INDEX(MPOB!$D$3:$D$1000,
SMALL(
IF((MPOB!$Q$3:$Q$1000&lt;&gt;"")*(MPOB!$Q$3:$Q$1000&lt;&gt;"Not Due"),
ROW(MPOB!$Q$3:$Q$1000)-ROW(MPOB!$Q$3)+1),
ROWS(A$2:A66))),"")</f>
        <v/>
      </c>
      <c r="S66" s="116" t="str" cm="1">
        <f t="array" aca="1" ref="S66" ca="1">IFERROR(INDEX(MPOB!$G$3:$G$1000,
SMALL(
IF((MPOB!$Q$3:$Q$1000&lt;&gt;"")*(MPOB!$Q$3:$Q$1000&lt;&gt;"Not Due"),
ROW(MPOB!$Q$3:$Q$1000)-ROW(MPOB!$Q$3)+1),
ROWS(A$2:A66))),"")</f>
        <v/>
      </c>
      <c r="T66" s="88" t="str" cm="1">
        <f t="array" aca="1" ref="T66" ca="1">IFERROR(INDEX(MPOB!$Q$3:$Q$1000,
SMALL(
IF((MPOB!$Q$3:$Q$1000&lt;&gt;"")*(MPOB!$Q$3:$Q$1000&lt;&gt;"Not Due"),
ROW(MPOB!$Q$3:$Q$1000)-ROW(MPOB!$Q$3)+1),
ROWS(A$2:A66))
),"")</f>
        <v/>
      </c>
      <c r="V66" s="115">
        <v>65</v>
      </c>
      <c r="W66" s="121" t="str" cm="1">
        <f t="array" aca="1" ref="W66" ca="1">IFERROR(INDEX(LKTN!$E$3:$E$1000,
SMALL(
IF((LKTN!$Q$3:$Q$1000&lt;&gt;"")*(LKTN!$Q$3:$Q$1000&lt;&gt;"Not Due"),
ROW(LKTN!$Q$3:$Q$1000)-ROW(LKTN!$Q$3)+1),
ROWS(A$2:A66))),"")</f>
        <v/>
      </c>
      <c r="X66" s="115" t="str" cm="1">
        <f t="array" aca="1" ref="X66" ca="1">IFERROR(INDEX(LKTN!$B$3:$B$1000,
SMALL(
IF((LKTN!$Q$3:$Q$1000&lt;&gt;"")*(LKTN!$Q$3:$Q$1000&lt;&gt;"Not Due"),
ROW(LKTN!$Q$3:$Q$1000)-ROW(LKTN!$Q$3)+1),
ROWS(A$2:A66))),"")</f>
        <v/>
      </c>
      <c r="Y66" s="115" t="str" cm="1">
        <f t="array" aca="1" ref="Y66" ca="1">IFERROR(INDEX(LKTN!$D$3:$D$1000,
SMALL(
IF((LKTN!$Q$3:$Q$1000&lt;&gt;"")*(LKTN!$Q$3:$Q$1000&lt;&gt;"Not Due"),
ROW(LKTN!$Q$3:$Q$1000)-ROW(LKTN!$Q$3)+1),
ROWS(A$2:A66))),"")</f>
        <v/>
      </c>
      <c r="Z66" s="116"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5">
        <v>65</v>
      </c>
      <c r="AK66" s="123" t="str" cm="1">
        <f t="array" aca="1" ref="AK66" ca="1">IFERROR(INDEX(ISN!$E$3:$E$1000,
SMALL(
IF((ISN!$Q$3:$Q$1000&lt;&gt;"")*(ISN!$Q$3:$Q$1000&lt;&gt;"Not Due"),
ROW(ISN!$Q$3:$Q$1000)-ROW(ISN!$Q$3)+1),
ROWS(A$2:A66))),"")</f>
        <v/>
      </c>
      <c r="AL66" s="115" t="str" cm="1">
        <f t="array" aca="1" ref="AL66" ca="1">IFERROR(INDEX(ISN!$B$3:$B$1000,
SMALL(
IF((ISN!$Q$3:$Q$1000&lt;&gt;"")*(ISN!$Q$3:$Q$1000&lt;&gt;"Not Due"),
ROW(ISN!$Q$3:$Q$1000)-ROW(ISN!$Q$3)+1),
ROWS(A$2:A66))),"")</f>
        <v/>
      </c>
      <c r="AM66" s="116" t="str" cm="1">
        <f t="array" aca="1" ref="AM66" ca="1">IFERROR(INDEX(ISN!$D$3:$D$1000,
SMALL(
IF((ISN!$Q$3:$Q$1000&lt;&gt;"")*(ISN!$Q$3:$Q$1000&lt;&gt;"Not Due"),
ROW(ISN!$Q$3:$Q$1000)-ROW(ISN!$Q$3)+1),
ROWS(A$2:A66))),"")</f>
        <v/>
      </c>
      <c r="AN66" s="116"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5">
        <v>66</v>
      </c>
      <c r="P67" s="120" t="str" cm="1">
        <f t="array" aca="1" ref="P67" ca="1">IFERROR(INDEX(MPOB!$E$3:$E$1000,
SMALL(
IF((MPOB!$Q$3:$Q$1000&lt;&gt;"")*(MPOB!$Q$3:$Q$1000&lt;&gt;"Not Due"),
ROW(MPOB!$Q$3:$Q$1000)-ROW(MPOB!$Q$3)+1),
ROWS(A$2:A67))),"")</f>
        <v/>
      </c>
      <c r="Q67" s="115" t="str" cm="1">
        <f t="array" aca="1" ref="Q67" ca="1">IFERROR(INDEX(MPOB!$B$3:$B$1000,
SMALL(
IF((MPOB!$Q$3:$Q$1000&lt;&gt;"")*(MPOB!$Q$3:$Q$1000&lt;&gt;"Not Due"),
ROW(MPOB!$Q$3:$Q$1000)-ROW(MPOB!$Q$3)+1),
ROWS(A$2:A67))),"")</f>
        <v/>
      </c>
      <c r="R67" s="115" t="str" cm="1">
        <f t="array" aca="1" ref="R67" ca="1">IFERROR(INDEX(MPOB!$D$3:$D$1000,
SMALL(
IF((MPOB!$Q$3:$Q$1000&lt;&gt;"")*(MPOB!$Q$3:$Q$1000&lt;&gt;"Not Due"),
ROW(MPOB!$Q$3:$Q$1000)-ROW(MPOB!$Q$3)+1),
ROWS(A$2:A67))),"")</f>
        <v/>
      </c>
      <c r="S67" s="116" t="str" cm="1">
        <f t="array" aca="1" ref="S67" ca="1">IFERROR(INDEX(MPOB!$G$3:$G$1000,
SMALL(
IF((MPOB!$Q$3:$Q$1000&lt;&gt;"")*(MPOB!$Q$3:$Q$1000&lt;&gt;"Not Due"),
ROW(MPOB!$Q$3:$Q$1000)-ROW(MPOB!$Q$3)+1),
ROWS(A$2:A67))),"")</f>
        <v/>
      </c>
      <c r="T67" s="88" t="str" cm="1">
        <f t="array" aca="1" ref="T67" ca="1">IFERROR(INDEX(MPOB!$Q$3:$Q$1000,
SMALL(
IF((MPOB!$Q$3:$Q$1000&lt;&gt;"")*(MPOB!$Q$3:$Q$1000&lt;&gt;"Not Due"),
ROW(MPOB!$Q$3:$Q$1000)-ROW(MPOB!$Q$3)+1),
ROWS(A$2:A67))
),"")</f>
        <v/>
      </c>
      <c r="V67" s="115">
        <v>66</v>
      </c>
      <c r="W67" s="121" t="str" cm="1">
        <f t="array" aca="1" ref="W67" ca="1">IFERROR(INDEX(LKTN!$E$3:$E$1000,
SMALL(
IF((LKTN!$Q$3:$Q$1000&lt;&gt;"")*(LKTN!$Q$3:$Q$1000&lt;&gt;"Not Due"),
ROW(LKTN!$Q$3:$Q$1000)-ROW(LKTN!$Q$3)+1),
ROWS(A$2:A67))),"")</f>
        <v/>
      </c>
      <c r="X67" s="115" t="str" cm="1">
        <f t="array" aca="1" ref="X67" ca="1">IFERROR(INDEX(LKTN!$B$3:$B$1000,
SMALL(
IF((LKTN!$Q$3:$Q$1000&lt;&gt;"")*(LKTN!$Q$3:$Q$1000&lt;&gt;"Not Due"),
ROW(LKTN!$Q$3:$Q$1000)-ROW(LKTN!$Q$3)+1),
ROWS(A$2:A67))),"")</f>
        <v/>
      </c>
      <c r="Y67" s="115" t="str" cm="1">
        <f t="array" aca="1" ref="Y67" ca="1">IFERROR(INDEX(LKTN!$D$3:$D$1000,
SMALL(
IF((LKTN!$Q$3:$Q$1000&lt;&gt;"")*(LKTN!$Q$3:$Q$1000&lt;&gt;"Not Due"),
ROW(LKTN!$Q$3:$Q$1000)-ROW(LKTN!$Q$3)+1),
ROWS(A$2:A67))),"")</f>
        <v/>
      </c>
      <c r="Z67" s="116"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5">
        <v>66</v>
      </c>
      <c r="AK67" s="123" t="str" cm="1">
        <f t="array" aca="1" ref="AK67" ca="1">IFERROR(INDEX(ISN!$E$3:$E$1000,
SMALL(
IF((ISN!$Q$3:$Q$1000&lt;&gt;"")*(ISN!$Q$3:$Q$1000&lt;&gt;"Not Due"),
ROW(ISN!$Q$3:$Q$1000)-ROW(ISN!$Q$3)+1),
ROWS(A$2:A67))),"")</f>
        <v/>
      </c>
      <c r="AL67" s="115" t="str" cm="1">
        <f t="array" aca="1" ref="AL67" ca="1">IFERROR(INDEX(ISN!$B$3:$B$1000,
SMALL(
IF((ISN!$Q$3:$Q$1000&lt;&gt;"")*(ISN!$Q$3:$Q$1000&lt;&gt;"Not Due"),
ROW(ISN!$Q$3:$Q$1000)-ROW(ISN!$Q$3)+1),
ROWS(A$2:A67))),"")</f>
        <v/>
      </c>
      <c r="AM67" s="116" t="str" cm="1">
        <f t="array" aca="1" ref="AM67" ca="1">IFERROR(INDEX(ISN!$D$3:$D$1000,
SMALL(
IF((ISN!$Q$3:$Q$1000&lt;&gt;"")*(ISN!$Q$3:$Q$1000&lt;&gt;"Not Due"),
ROW(ISN!$Q$3:$Q$1000)-ROW(ISN!$Q$3)+1),
ROWS(A$2:A67))),"")</f>
        <v/>
      </c>
      <c r="AN67" s="116"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5">
        <v>67</v>
      </c>
      <c r="P68" s="120" t="str" cm="1">
        <f t="array" aca="1" ref="P68" ca="1">IFERROR(INDEX(MPOB!$E$3:$E$1000,
SMALL(
IF((MPOB!$Q$3:$Q$1000&lt;&gt;"")*(MPOB!$Q$3:$Q$1000&lt;&gt;"Not Due"),
ROW(MPOB!$Q$3:$Q$1000)-ROW(MPOB!$Q$3)+1),
ROWS(A$2:A68))),"")</f>
        <v/>
      </c>
      <c r="Q68" s="115" t="str" cm="1">
        <f t="array" aca="1" ref="Q68" ca="1">IFERROR(INDEX(MPOB!$B$3:$B$1000,
SMALL(
IF((MPOB!$Q$3:$Q$1000&lt;&gt;"")*(MPOB!$Q$3:$Q$1000&lt;&gt;"Not Due"),
ROW(MPOB!$Q$3:$Q$1000)-ROW(MPOB!$Q$3)+1),
ROWS(A$2:A68))),"")</f>
        <v/>
      </c>
      <c r="R68" s="115" t="str" cm="1">
        <f t="array" aca="1" ref="R68" ca="1">IFERROR(INDEX(MPOB!$D$3:$D$1000,
SMALL(
IF((MPOB!$Q$3:$Q$1000&lt;&gt;"")*(MPOB!$Q$3:$Q$1000&lt;&gt;"Not Due"),
ROW(MPOB!$Q$3:$Q$1000)-ROW(MPOB!$Q$3)+1),
ROWS(A$2:A68))),"")</f>
        <v/>
      </c>
      <c r="S68" s="116" t="str" cm="1">
        <f t="array" aca="1" ref="S68" ca="1">IFERROR(INDEX(MPOB!$G$3:$G$1000,
SMALL(
IF((MPOB!$Q$3:$Q$1000&lt;&gt;"")*(MPOB!$Q$3:$Q$1000&lt;&gt;"Not Due"),
ROW(MPOB!$Q$3:$Q$1000)-ROW(MPOB!$Q$3)+1),
ROWS(A$2:A68))),"")</f>
        <v/>
      </c>
      <c r="T68" s="88" t="str" cm="1">
        <f t="array" aca="1" ref="T68" ca="1">IFERROR(INDEX(MPOB!$Q$3:$Q$1000,
SMALL(
IF((MPOB!$Q$3:$Q$1000&lt;&gt;"")*(MPOB!$Q$3:$Q$1000&lt;&gt;"Not Due"),
ROW(MPOB!$Q$3:$Q$1000)-ROW(MPOB!$Q$3)+1),
ROWS(A$2:A68))
),"")</f>
        <v/>
      </c>
      <c r="V68" s="115">
        <v>67</v>
      </c>
      <c r="W68" s="121" t="str" cm="1">
        <f t="array" aca="1" ref="W68" ca="1">IFERROR(INDEX(LKTN!$E$3:$E$1000,
SMALL(
IF((LKTN!$Q$3:$Q$1000&lt;&gt;"")*(LKTN!$Q$3:$Q$1000&lt;&gt;"Not Due"),
ROW(LKTN!$Q$3:$Q$1000)-ROW(LKTN!$Q$3)+1),
ROWS(A$2:A68))),"")</f>
        <v/>
      </c>
      <c r="X68" s="115" t="str" cm="1">
        <f t="array" aca="1" ref="X68" ca="1">IFERROR(INDEX(LKTN!$B$3:$B$1000,
SMALL(
IF((LKTN!$Q$3:$Q$1000&lt;&gt;"")*(LKTN!$Q$3:$Q$1000&lt;&gt;"Not Due"),
ROW(LKTN!$Q$3:$Q$1000)-ROW(LKTN!$Q$3)+1),
ROWS(A$2:A68))),"")</f>
        <v/>
      </c>
      <c r="Y68" s="115" t="str" cm="1">
        <f t="array" aca="1" ref="Y68" ca="1">IFERROR(INDEX(LKTN!$D$3:$D$1000,
SMALL(
IF((LKTN!$Q$3:$Q$1000&lt;&gt;"")*(LKTN!$Q$3:$Q$1000&lt;&gt;"Not Due"),
ROW(LKTN!$Q$3:$Q$1000)-ROW(LKTN!$Q$3)+1),
ROWS(A$2:A68))),"")</f>
        <v/>
      </c>
      <c r="Z68" s="116"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5">
        <v>67</v>
      </c>
      <c r="AK68" s="123" t="str" cm="1">
        <f t="array" aca="1" ref="AK68" ca="1">IFERROR(INDEX(ISN!$E$3:$E$1000,
SMALL(
IF((ISN!$Q$3:$Q$1000&lt;&gt;"")*(ISN!$Q$3:$Q$1000&lt;&gt;"Not Due"),
ROW(ISN!$Q$3:$Q$1000)-ROW(ISN!$Q$3)+1),
ROWS(A$2:A68))),"")</f>
        <v/>
      </c>
      <c r="AL68" s="115" t="str" cm="1">
        <f t="array" aca="1" ref="AL68" ca="1">IFERROR(INDEX(ISN!$B$3:$B$1000,
SMALL(
IF((ISN!$Q$3:$Q$1000&lt;&gt;"")*(ISN!$Q$3:$Q$1000&lt;&gt;"Not Due"),
ROW(ISN!$Q$3:$Q$1000)-ROW(ISN!$Q$3)+1),
ROWS(A$2:A68))),"")</f>
        <v/>
      </c>
      <c r="AM68" s="116" t="str" cm="1">
        <f t="array" aca="1" ref="AM68" ca="1">IFERROR(INDEX(ISN!$D$3:$D$1000,
SMALL(
IF((ISN!$Q$3:$Q$1000&lt;&gt;"")*(ISN!$Q$3:$Q$1000&lt;&gt;"Not Due"),
ROW(ISN!$Q$3:$Q$1000)-ROW(ISN!$Q$3)+1),
ROWS(A$2:A68))),"")</f>
        <v/>
      </c>
      <c r="AN68" s="116"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5">
        <v>68</v>
      </c>
      <c r="P69" s="120" t="str" cm="1">
        <f t="array" aca="1" ref="P69" ca="1">IFERROR(INDEX(MPOB!$E$3:$E$1000,
SMALL(
IF((MPOB!$Q$3:$Q$1000&lt;&gt;"")*(MPOB!$Q$3:$Q$1000&lt;&gt;"Not Due"),
ROW(MPOB!$Q$3:$Q$1000)-ROW(MPOB!$Q$3)+1),
ROWS(A$2:A69))),"")</f>
        <v/>
      </c>
      <c r="Q69" s="115" t="str" cm="1">
        <f t="array" aca="1" ref="Q69" ca="1">IFERROR(INDEX(MPOB!$B$3:$B$1000,
SMALL(
IF((MPOB!$Q$3:$Q$1000&lt;&gt;"")*(MPOB!$Q$3:$Q$1000&lt;&gt;"Not Due"),
ROW(MPOB!$Q$3:$Q$1000)-ROW(MPOB!$Q$3)+1),
ROWS(A$2:A69))),"")</f>
        <v/>
      </c>
      <c r="R69" s="115" t="str" cm="1">
        <f t="array" aca="1" ref="R69" ca="1">IFERROR(INDEX(MPOB!$D$3:$D$1000,
SMALL(
IF((MPOB!$Q$3:$Q$1000&lt;&gt;"")*(MPOB!$Q$3:$Q$1000&lt;&gt;"Not Due"),
ROW(MPOB!$Q$3:$Q$1000)-ROW(MPOB!$Q$3)+1),
ROWS(A$2:A69))),"")</f>
        <v/>
      </c>
      <c r="S69" s="116" t="str" cm="1">
        <f t="array" aca="1" ref="S69" ca="1">IFERROR(INDEX(MPOB!$G$3:$G$1000,
SMALL(
IF((MPOB!$Q$3:$Q$1000&lt;&gt;"")*(MPOB!$Q$3:$Q$1000&lt;&gt;"Not Due"),
ROW(MPOB!$Q$3:$Q$1000)-ROW(MPOB!$Q$3)+1),
ROWS(A$2:A69))),"")</f>
        <v/>
      </c>
      <c r="T69" s="88" t="str" cm="1">
        <f t="array" aca="1" ref="T69" ca="1">IFERROR(INDEX(MPOB!$Q$3:$Q$1000,
SMALL(
IF((MPOB!$Q$3:$Q$1000&lt;&gt;"")*(MPOB!$Q$3:$Q$1000&lt;&gt;"Not Due"),
ROW(MPOB!$Q$3:$Q$1000)-ROW(MPOB!$Q$3)+1),
ROWS(A$2:A69))
),"")</f>
        <v/>
      </c>
      <c r="V69" s="115">
        <v>68</v>
      </c>
      <c r="W69" s="121" t="str" cm="1">
        <f t="array" aca="1" ref="W69" ca="1">IFERROR(INDEX(LKTN!$E$3:$E$1000,
SMALL(
IF((LKTN!$Q$3:$Q$1000&lt;&gt;"")*(LKTN!$Q$3:$Q$1000&lt;&gt;"Not Due"),
ROW(LKTN!$Q$3:$Q$1000)-ROW(LKTN!$Q$3)+1),
ROWS(A$2:A69))),"")</f>
        <v/>
      </c>
      <c r="X69" s="115" t="str" cm="1">
        <f t="array" aca="1" ref="X69" ca="1">IFERROR(INDEX(LKTN!$B$3:$B$1000,
SMALL(
IF((LKTN!$Q$3:$Q$1000&lt;&gt;"")*(LKTN!$Q$3:$Q$1000&lt;&gt;"Not Due"),
ROW(LKTN!$Q$3:$Q$1000)-ROW(LKTN!$Q$3)+1),
ROWS(A$2:A69))),"")</f>
        <v/>
      </c>
      <c r="Y69" s="115" t="str" cm="1">
        <f t="array" aca="1" ref="Y69" ca="1">IFERROR(INDEX(LKTN!$D$3:$D$1000,
SMALL(
IF((LKTN!$Q$3:$Q$1000&lt;&gt;"")*(LKTN!$Q$3:$Q$1000&lt;&gt;"Not Due"),
ROW(LKTN!$Q$3:$Q$1000)-ROW(LKTN!$Q$3)+1),
ROWS(A$2:A69))),"")</f>
        <v/>
      </c>
      <c r="Z69" s="116"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5">
        <v>68</v>
      </c>
      <c r="AK69" s="123" t="str" cm="1">
        <f t="array" aca="1" ref="AK69" ca="1">IFERROR(INDEX(ISN!$E$3:$E$1000,
SMALL(
IF((ISN!$Q$3:$Q$1000&lt;&gt;"")*(ISN!$Q$3:$Q$1000&lt;&gt;"Not Due"),
ROW(ISN!$Q$3:$Q$1000)-ROW(ISN!$Q$3)+1),
ROWS(A$2:A69))),"")</f>
        <v/>
      </c>
      <c r="AL69" s="115" t="str" cm="1">
        <f t="array" aca="1" ref="AL69" ca="1">IFERROR(INDEX(ISN!$B$3:$B$1000,
SMALL(
IF((ISN!$Q$3:$Q$1000&lt;&gt;"")*(ISN!$Q$3:$Q$1000&lt;&gt;"Not Due"),
ROW(ISN!$Q$3:$Q$1000)-ROW(ISN!$Q$3)+1),
ROWS(A$2:A69))),"")</f>
        <v/>
      </c>
      <c r="AM69" s="116" t="str" cm="1">
        <f t="array" aca="1" ref="AM69" ca="1">IFERROR(INDEX(ISN!$D$3:$D$1000,
SMALL(
IF((ISN!$Q$3:$Q$1000&lt;&gt;"")*(ISN!$Q$3:$Q$1000&lt;&gt;"Not Due"),
ROW(ISN!$Q$3:$Q$1000)-ROW(ISN!$Q$3)+1),
ROWS(A$2:A69))),"")</f>
        <v/>
      </c>
      <c r="AN69" s="116"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5">
        <v>69</v>
      </c>
      <c r="P70" s="120" t="str" cm="1">
        <f t="array" aca="1" ref="P70" ca="1">IFERROR(INDEX(MPOB!$E$3:$E$1000,
SMALL(
IF((MPOB!$Q$3:$Q$1000&lt;&gt;"")*(MPOB!$Q$3:$Q$1000&lt;&gt;"Not Due"),
ROW(MPOB!$Q$3:$Q$1000)-ROW(MPOB!$Q$3)+1),
ROWS(A$2:A70))),"")</f>
        <v/>
      </c>
      <c r="Q70" s="115" t="str" cm="1">
        <f t="array" aca="1" ref="Q70" ca="1">IFERROR(INDEX(MPOB!$B$3:$B$1000,
SMALL(
IF((MPOB!$Q$3:$Q$1000&lt;&gt;"")*(MPOB!$Q$3:$Q$1000&lt;&gt;"Not Due"),
ROW(MPOB!$Q$3:$Q$1000)-ROW(MPOB!$Q$3)+1),
ROWS(A$2:A70))),"")</f>
        <v/>
      </c>
      <c r="R70" s="115" t="str" cm="1">
        <f t="array" aca="1" ref="R70" ca="1">IFERROR(INDEX(MPOB!$D$3:$D$1000,
SMALL(
IF((MPOB!$Q$3:$Q$1000&lt;&gt;"")*(MPOB!$Q$3:$Q$1000&lt;&gt;"Not Due"),
ROW(MPOB!$Q$3:$Q$1000)-ROW(MPOB!$Q$3)+1),
ROWS(A$2:A70))),"")</f>
        <v/>
      </c>
      <c r="S70" s="116" t="str" cm="1">
        <f t="array" aca="1" ref="S70" ca="1">IFERROR(INDEX(MPOB!$G$3:$G$1000,
SMALL(
IF((MPOB!$Q$3:$Q$1000&lt;&gt;"")*(MPOB!$Q$3:$Q$1000&lt;&gt;"Not Due"),
ROW(MPOB!$Q$3:$Q$1000)-ROW(MPOB!$Q$3)+1),
ROWS(A$2:A70))),"")</f>
        <v/>
      </c>
      <c r="T70" s="88" t="str" cm="1">
        <f t="array" aca="1" ref="T70" ca="1">IFERROR(INDEX(MPOB!$Q$3:$Q$1000,
SMALL(
IF((MPOB!$Q$3:$Q$1000&lt;&gt;"")*(MPOB!$Q$3:$Q$1000&lt;&gt;"Not Due"),
ROW(MPOB!$Q$3:$Q$1000)-ROW(MPOB!$Q$3)+1),
ROWS(A$2:A70))
),"")</f>
        <v/>
      </c>
      <c r="V70" s="115">
        <v>69</v>
      </c>
      <c r="W70" s="121" t="str" cm="1">
        <f t="array" aca="1" ref="W70" ca="1">IFERROR(INDEX(LKTN!$E$3:$E$1000,
SMALL(
IF((LKTN!$Q$3:$Q$1000&lt;&gt;"")*(LKTN!$Q$3:$Q$1000&lt;&gt;"Not Due"),
ROW(LKTN!$Q$3:$Q$1000)-ROW(LKTN!$Q$3)+1),
ROWS(A$2:A70))),"")</f>
        <v/>
      </c>
      <c r="X70" s="115" t="str" cm="1">
        <f t="array" aca="1" ref="X70" ca="1">IFERROR(INDEX(LKTN!$B$3:$B$1000,
SMALL(
IF((LKTN!$Q$3:$Q$1000&lt;&gt;"")*(LKTN!$Q$3:$Q$1000&lt;&gt;"Not Due"),
ROW(LKTN!$Q$3:$Q$1000)-ROW(LKTN!$Q$3)+1),
ROWS(A$2:A70))),"")</f>
        <v/>
      </c>
      <c r="Y70" s="115" t="str" cm="1">
        <f t="array" aca="1" ref="Y70" ca="1">IFERROR(INDEX(LKTN!$D$3:$D$1000,
SMALL(
IF((LKTN!$Q$3:$Q$1000&lt;&gt;"")*(LKTN!$Q$3:$Q$1000&lt;&gt;"Not Due"),
ROW(LKTN!$Q$3:$Q$1000)-ROW(LKTN!$Q$3)+1),
ROWS(A$2:A70))),"")</f>
        <v/>
      </c>
      <c r="Z70" s="116"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5">
        <v>69</v>
      </c>
      <c r="AK70" s="123" t="str" cm="1">
        <f t="array" aca="1" ref="AK70" ca="1">IFERROR(INDEX(ISN!$E$3:$E$1000,
SMALL(
IF((ISN!$Q$3:$Q$1000&lt;&gt;"")*(ISN!$Q$3:$Q$1000&lt;&gt;"Not Due"),
ROW(ISN!$Q$3:$Q$1000)-ROW(ISN!$Q$3)+1),
ROWS(A$2:A70))),"")</f>
        <v/>
      </c>
      <c r="AL70" s="115" t="str" cm="1">
        <f t="array" aca="1" ref="AL70" ca="1">IFERROR(INDEX(ISN!$B$3:$B$1000,
SMALL(
IF((ISN!$Q$3:$Q$1000&lt;&gt;"")*(ISN!$Q$3:$Q$1000&lt;&gt;"Not Due"),
ROW(ISN!$Q$3:$Q$1000)-ROW(ISN!$Q$3)+1),
ROWS(A$2:A70))),"")</f>
        <v/>
      </c>
      <c r="AM70" s="116" t="str" cm="1">
        <f t="array" aca="1" ref="AM70" ca="1">IFERROR(INDEX(ISN!$D$3:$D$1000,
SMALL(
IF((ISN!$Q$3:$Q$1000&lt;&gt;"")*(ISN!$Q$3:$Q$1000&lt;&gt;"Not Due"),
ROW(ISN!$Q$3:$Q$1000)-ROW(ISN!$Q$3)+1),
ROWS(A$2:A70))),"")</f>
        <v/>
      </c>
      <c r="AN70" s="116"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5">
        <v>70</v>
      </c>
      <c r="P71" s="120" t="str" cm="1">
        <f t="array" aca="1" ref="P71" ca="1">IFERROR(INDEX(MPOB!$E$3:$E$1000,
SMALL(
IF((MPOB!$Q$3:$Q$1000&lt;&gt;"")*(MPOB!$Q$3:$Q$1000&lt;&gt;"Not Due"),
ROW(MPOB!$Q$3:$Q$1000)-ROW(MPOB!$Q$3)+1),
ROWS(A$2:A71))),"")</f>
        <v/>
      </c>
      <c r="Q71" s="115" t="str" cm="1">
        <f t="array" aca="1" ref="Q71" ca="1">IFERROR(INDEX(MPOB!$B$3:$B$1000,
SMALL(
IF((MPOB!$Q$3:$Q$1000&lt;&gt;"")*(MPOB!$Q$3:$Q$1000&lt;&gt;"Not Due"),
ROW(MPOB!$Q$3:$Q$1000)-ROW(MPOB!$Q$3)+1),
ROWS(A$2:A71))),"")</f>
        <v/>
      </c>
      <c r="R71" s="115" t="str" cm="1">
        <f t="array" aca="1" ref="R71" ca="1">IFERROR(INDEX(MPOB!$D$3:$D$1000,
SMALL(
IF((MPOB!$Q$3:$Q$1000&lt;&gt;"")*(MPOB!$Q$3:$Q$1000&lt;&gt;"Not Due"),
ROW(MPOB!$Q$3:$Q$1000)-ROW(MPOB!$Q$3)+1),
ROWS(A$2:A71))),"")</f>
        <v/>
      </c>
      <c r="S71" s="116" t="str" cm="1">
        <f t="array" aca="1" ref="S71" ca="1">IFERROR(INDEX(MPOB!$G$3:$G$1000,
SMALL(
IF((MPOB!$Q$3:$Q$1000&lt;&gt;"")*(MPOB!$Q$3:$Q$1000&lt;&gt;"Not Due"),
ROW(MPOB!$Q$3:$Q$1000)-ROW(MPOB!$Q$3)+1),
ROWS(A$2:A71))),"")</f>
        <v/>
      </c>
      <c r="T71" s="88" t="str" cm="1">
        <f t="array" aca="1" ref="T71" ca="1">IFERROR(INDEX(MPOB!$Q$3:$Q$1000,
SMALL(
IF((MPOB!$Q$3:$Q$1000&lt;&gt;"")*(MPOB!$Q$3:$Q$1000&lt;&gt;"Not Due"),
ROW(MPOB!$Q$3:$Q$1000)-ROW(MPOB!$Q$3)+1),
ROWS(A$2:A71))
),"")</f>
        <v/>
      </c>
      <c r="V71" s="115">
        <v>70</v>
      </c>
      <c r="W71" s="121" t="str" cm="1">
        <f t="array" aca="1" ref="W71" ca="1">IFERROR(INDEX(LKTN!$E$3:$E$1000,
SMALL(
IF((LKTN!$Q$3:$Q$1000&lt;&gt;"")*(LKTN!$Q$3:$Q$1000&lt;&gt;"Not Due"),
ROW(LKTN!$Q$3:$Q$1000)-ROW(LKTN!$Q$3)+1),
ROWS(A$2:A71))),"")</f>
        <v/>
      </c>
      <c r="X71" s="115" t="str" cm="1">
        <f t="array" aca="1" ref="X71" ca="1">IFERROR(INDEX(LKTN!$B$3:$B$1000,
SMALL(
IF((LKTN!$Q$3:$Q$1000&lt;&gt;"")*(LKTN!$Q$3:$Q$1000&lt;&gt;"Not Due"),
ROW(LKTN!$Q$3:$Q$1000)-ROW(LKTN!$Q$3)+1),
ROWS(A$2:A71))),"")</f>
        <v/>
      </c>
      <c r="Y71" s="115" t="str" cm="1">
        <f t="array" aca="1" ref="Y71" ca="1">IFERROR(INDEX(LKTN!$D$3:$D$1000,
SMALL(
IF((LKTN!$Q$3:$Q$1000&lt;&gt;"")*(LKTN!$Q$3:$Q$1000&lt;&gt;"Not Due"),
ROW(LKTN!$Q$3:$Q$1000)-ROW(LKTN!$Q$3)+1),
ROWS(A$2:A71))),"")</f>
        <v/>
      </c>
      <c r="Z71" s="116"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5">
        <v>70</v>
      </c>
      <c r="AK71" s="123" t="str" cm="1">
        <f t="array" aca="1" ref="AK71" ca="1">IFERROR(INDEX(ISN!$E$3:$E$1000,
SMALL(
IF((ISN!$Q$3:$Q$1000&lt;&gt;"")*(ISN!$Q$3:$Q$1000&lt;&gt;"Not Due"),
ROW(ISN!$Q$3:$Q$1000)-ROW(ISN!$Q$3)+1),
ROWS(A$2:A71))),"")</f>
        <v/>
      </c>
      <c r="AL71" s="115" t="str" cm="1">
        <f t="array" aca="1" ref="AL71" ca="1">IFERROR(INDEX(ISN!$B$3:$B$1000,
SMALL(
IF((ISN!$Q$3:$Q$1000&lt;&gt;"")*(ISN!$Q$3:$Q$1000&lt;&gt;"Not Due"),
ROW(ISN!$Q$3:$Q$1000)-ROW(ISN!$Q$3)+1),
ROWS(A$2:A71))),"")</f>
        <v/>
      </c>
      <c r="AM71" s="116" t="str" cm="1">
        <f t="array" aca="1" ref="AM71" ca="1">IFERROR(INDEX(ISN!$D$3:$D$1000,
SMALL(
IF((ISN!$Q$3:$Q$1000&lt;&gt;"")*(ISN!$Q$3:$Q$1000&lt;&gt;"Not Due"),
ROW(ISN!$Q$3:$Q$1000)-ROW(ISN!$Q$3)+1),
ROWS(A$2:A71))),"")</f>
        <v/>
      </c>
      <c r="AN71" s="116"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5">
        <v>71</v>
      </c>
      <c r="P72" s="120" t="str" cm="1">
        <f t="array" aca="1" ref="P72" ca="1">IFERROR(INDEX(MPOB!$E$3:$E$1000,
SMALL(
IF((MPOB!$Q$3:$Q$1000&lt;&gt;"")*(MPOB!$Q$3:$Q$1000&lt;&gt;"Not Due"),
ROW(MPOB!$Q$3:$Q$1000)-ROW(MPOB!$Q$3)+1),
ROWS(A$2:A72))),"")</f>
        <v/>
      </c>
      <c r="Q72" s="115" t="str" cm="1">
        <f t="array" aca="1" ref="Q72" ca="1">IFERROR(INDEX(MPOB!$B$3:$B$1000,
SMALL(
IF((MPOB!$Q$3:$Q$1000&lt;&gt;"")*(MPOB!$Q$3:$Q$1000&lt;&gt;"Not Due"),
ROW(MPOB!$Q$3:$Q$1000)-ROW(MPOB!$Q$3)+1),
ROWS(A$2:A72))),"")</f>
        <v/>
      </c>
      <c r="R72" s="115" t="str" cm="1">
        <f t="array" aca="1" ref="R72" ca="1">IFERROR(INDEX(MPOB!$D$3:$D$1000,
SMALL(
IF((MPOB!$Q$3:$Q$1000&lt;&gt;"")*(MPOB!$Q$3:$Q$1000&lt;&gt;"Not Due"),
ROW(MPOB!$Q$3:$Q$1000)-ROW(MPOB!$Q$3)+1),
ROWS(A$2:A72))),"")</f>
        <v/>
      </c>
      <c r="S72" s="116" t="str" cm="1">
        <f t="array" aca="1" ref="S72" ca="1">IFERROR(INDEX(MPOB!$G$3:$G$1000,
SMALL(
IF((MPOB!$Q$3:$Q$1000&lt;&gt;"")*(MPOB!$Q$3:$Q$1000&lt;&gt;"Not Due"),
ROW(MPOB!$Q$3:$Q$1000)-ROW(MPOB!$Q$3)+1),
ROWS(A$2:A72))),"")</f>
        <v/>
      </c>
      <c r="T72" s="88" t="str" cm="1">
        <f t="array" aca="1" ref="T72" ca="1">IFERROR(INDEX(MPOB!$Q$3:$Q$1000,
SMALL(
IF((MPOB!$Q$3:$Q$1000&lt;&gt;"")*(MPOB!$Q$3:$Q$1000&lt;&gt;"Not Due"),
ROW(MPOB!$Q$3:$Q$1000)-ROW(MPOB!$Q$3)+1),
ROWS(A$2:A72))
),"")</f>
        <v/>
      </c>
      <c r="V72" s="115">
        <v>71</v>
      </c>
      <c r="W72" s="121" t="str" cm="1">
        <f t="array" aca="1" ref="W72" ca="1">IFERROR(INDEX(LKTN!$E$3:$E$1000,
SMALL(
IF((LKTN!$Q$3:$Q$1000&lt;&gt;"")*(LKTN!$Q$3:$Q$1000&lt;&gt;"Not Due"),
ROW(LKTN!$Q$3:$Q$1000)-ROW(LKTN!$Q$3)+1),
ROWS(A$2:A72))),"")</f>
        <v/>
      </c>
      <c r="X72" s="115" t="str" cm="1">
        <f t="array" aca="1" ref="X72" ca="1">IFERROR(INDEX(LKTN!$B$3:$B$1000,
SMALL(
IF((LKTN!$Q$3:$Q$1000&lt;&gt;"")*(LKTN!$Q$3:$Q$1000&lt;&gt;"Not Due"),
ROW(LKTN!$Q$3:$Q$1000)-ROW(LKTN!$Q$3)+1),
ROWS(A$2:A72))),"")</f>
        <v/>
      </c>
      <c r="Y72" s="115" t="str" cm="1">
        <f t="array" aca="1" ref="Y72" ca="1">IFERROR(INDEX(LKTN!$D$3:$D$1000,
SMALL(
IF((LKTN!$Q$3:$Q$1000&lt;&gt;"")*(LKTN!$Q$3:$Q$1000&lt;&gt;"Not Due"),
ROW(LKTN!$Q$3:$Q$1000)-ROW(LKTN!$Q$3)+1),
ROWS(A$2:A72))),"")</f>
        <v/>
      </c>
      <c r="Z72" s="116"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5">
        <v>71</v>
      </c>
      <c r="AK72" s="123" t="str" cm="1">
        <f t="array" aca="1" ref="AK72" ca="1">IFERROR(INDEX(ISN!$E$3:$E$1000,
SMALL(
IF((ISN!$Q$3:$Q$1000&lt;&gt;"")*(ISN!$Q$3:$Q$1000&lt;&gt;"Not Due"),
ROW(ISN!$Q$3:$Q$1000)-ROW(ISN!$Q$3)+1),
ROWS(A$2:A72))),"")</f>
        <v/>
      </c>
      <c r="AL72" s="115" t="str" cm="1">
        <f t="array" aca="1" ref="AL72" ca="1">IFERROR(INDEX(ISN!$B$3:$B$1000,
SMALL(
IF((ISN!$Q$3:$Q$1000&lt;&gt;"")*(ISN!$Q$3:$Q$1000&lt;&gt;"Not Due"),
ROW(ISN!$Q$3:$Q$1000)-ROW(ISN!$Q$3)+1),
ROWS(A$2:A72))),"")</f>
        <v/>
      </c>
      <c r="AM72" s="116" t="str" cm="1">
        <f t="array" aca="1" ref="AM72" ca="1">IFERROR(INDEX(ISN!$D$3:$D$1000,
SMALL(
IF((ISN!$Q$3:$Q$1000&lt;&gt;"")*(ISN!$Q$3:$Q$1000&lt;&gt;"Not Due"),
ROW(ISN!$Q$3:$Q$1000)-ROW(ISN!$Q$3)+1),
ROWS(A$2:A72))),"")</f>
        <v/>
      </c>
      <c r="AN72" s="116"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5">
        <v>72</v>
      </c>
      <c r="P73" s="120" t="str" cm="1">
        <f t="array" aca="1" ref="P73" ca="1">IFERROR(INDEX(MPOB!$E$3:$E$1000,
SMALL(
IF((MPOB!$Q$3:$Q$1000&lt;&gt;"")*(MPOB!$Q$3:$Q$1000&lt;&gt;"Not Due"),
ROW(MPOB!$Q$3:$Q$1000)-ROW(MPOB!$Q$3)+1),
ROWS(A$2:A73))),"")</f>
        <v/>
      </c>
      <c r="Q73" s="115" t="str" cm="1">
        <f t="array" aca="1" ref="Q73" ca="1">IFERROR(INDEX(MPOB!$B$3:$B$1000,
SMALL(
IF((MPOB!$Q$3:$Q$1000&lt;&gt;"")*(MPOB!$Q$3:$Q$1000&lt;&gt;"Not Due"),
ROW(MPOB!$Q$3:$Q$1000)-ROW(MPOB!$Q$3)+1),
ROWS(A$2:A73))),"")</f>
        <v/>
      </c>
      <c r="R73" s="115" t="str" cm="1">
        <f t="array" aca="1" ref="R73" ca="1">IFERROR(INDEX(MPOB!$D$3:$D$1000,
SMALL(
IF((MPOB!$Q$3:$Q$1000&lt;&gt;"")*(MPOB!$Q$3:$Q$1000&lt;&gt;"Not Due"),
ROW(MPOB!$Q$3:$Q$1000)-ROW(MPOB!$Q$3)+1),
ROWS(A$2:A73))),"")</f>
        <v/>
      </c>
      <c r="S73" s="116" t="str" cm="1">
        <f t="array" aca="1" ref="S73" ca="1">IFERROR(INDEX(MPOB!$G$3:$G$1000,
SMALL(
IF((MPOB!$Q$3:$Q$1000&lt;&gt;"")*(MPOB!$Q$3:$Q$1000&lt;&gt;"Not Due"),
ROW(MPOB!$Q$3:$Q$1000)-ROW(MPOB!$Q$3)+1),
ROWS(A$2:A73))),"")</f>
        <v/>
      </c>
      <c r="T73" s="88" t="str" cm="1">
        <f t="array" aca="1" ref="T73" ca="1">IFERROR(INDEX(MPOB!$Q$3:$Q$1000,
SMALL(
IF((MPOB!$Q$3:$Q$1000&lt;&gt;"")*(MPOB!$Q$3:$Q$1000&lt;&gt;"Not Due"),
ROW(MPOB!$Q$3:$Q$1000)-ROW(MPOB!$Q$3)+1),
ROWS(A$2:A73))
),"")</f>
        <v/>
      </c>
      <c r="V73" s="115">
        <v>72</v>
      </c>
      <c r="W73" s="121" t="str" cm="1">
        <f t="array" aca="1" ref="W73" ca="1">IFERROR(INDEX(LKTN!$E$3:$E$1000,
SMALL(
IF((LKTN!$Q$3:$Q$1000&lt;&gt;"")*(LKTN!$Q$3:$Q$1000&lt;&gt;"Not Due"),
ROW(LKTN!$Q$3:$Q$1000)-ROW(LKTN!$Q$3)+1),
ROWS(A$2:A73))),"")</f>
        <v/>
      </c>
      <c r="X73" s="115" t="str" cm="1">
        <f t="array" aca="1" ref="X73" ca="1">IFERROR(INDEX(LKTN!$B$3:$B$1000,
SMALL(
IF((LKTN!$Q$3:$Q$1000&lt;&gt;"")*(LKTN!$Q$3:$Q$1000&lt;&gt;"Not Due"),
ROW(LKTN!$Q$3:$Q$1000)-ROW(LKTN!$Q$3)+1),
ROWS(A$2:A73))),"")</f>
        <v/>
      </c>
      <c r="Y73" s="115" t="str" cm="1">
        <f t="array" aca="1" ref="Y73" ca="1">IFERROR(INDEX(LKTN!$D$3:$D$1000,
SMALL(
IF((LKTN!$Q$3:$Q$1000&lt;&gt;"")*(LKTN!$Q$3:$Q$1000&lt;&gt;"Not Due"),
ROW(LKTN!$Q$3:$Q$1000)-ROW(LKTN!$Q$3)+1),
ROWS(A$2:A73))),"")</f>
        <v/>
      </c>
      <c r="Z73" s="116"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5">
        <v>72</v>
      </c>
      <c r="AK73" s="123" t="str" cm="1">
        <f t="array" aca="1" ref="AK73" ca="1">IFERROR(INDEX(ISN!$E$3:$E$1000,
SMALL(
IF((ISN!$Q$3:$Q$1000&lt;&gt;"")*(ISN!$Q$3:$Q$1000&lt;&gt;"Not Due"),
ROW(ISN!$Q$3:$Q$1000)-ROW(ISN!$Q$3)+1),
ROWS(A$2:A73))),"")</f>
        <v/>
      </c>
      <c r="AL73" s="115" t="str" cm="1">
        <f t="array" aca="1" ref="AL73" ca="1">IFERROR(INDEX(ISN!$B$3:$B$1000,
SMALL(
IF((ISN!$Q$3:$Q$1000&lt;&gt;"")*(ISN!$Q$3:$Q$1000&lt;&gt;"Not Due"),
ROW(ISN!$Q$3:$Q$1000)-ROW(ISN!$Q$3)+1),
ROWS(A$2:A73))),"")</f>
        <v/>
      </c>
      <c r="AM73" s="116" t="str" cm="1">
        <f t="array" aca="1" ref="AM73" ca="1">IFERROR(INDEX(ISN!$D$3:$D$1000,
SMALL(
IF((ISN!$Q$3:$Q$1000&lt;&gt;"")*(ISN!$Q$3:$Q$1000&lt;&gt;"Not Due"),
ROW(ISN!$Q$3:$Q$1000)-ROW(ISN!$Q$3)+1),
ROWS(A$2:A73))),"")</f>
        <v/>
      </c>
      <c r="AN73" s="116"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5">
        <v>73</v>
      </c>
      <c r="P74" s="120" t="str" cm="1">
        <f t="array" aca="1" ref="P74" ca="1">IFERROR(INDEX(MPOB!$E$3:$E$1000,
SMALL(
IF((MPOB!$Q$3:$Q$1000&lt;&gt;"")*(MPOB!$Q$3:$Q$1000&lt;&gt;"Not Due"),
ROW(MPOB!$Q$3:$Q$1000)-ROW(MPOB!$Q$3)+1),
ROWS(A$2:A74))),"")</f>
        <v/>
      </c>
      <c r="Q74" s="115" t="str" cm="1">
        <f t="array" aca="1" ref="Q74" ca="1">IFERROR(INDEX(MPOB!$B$3:$B$1000,
SMALL(
IF((MPOB!$Q$3:$Q$1000&lt;&gt;"")*(MPOB!$Q$3:$Q$1000&lt;&gt;"Not Due"),
ROW(MPOB!$Q$3:$Q$1000)-ROW(MPOB!$Q$3)+1),
ROWS(A$2:A74))),"")</f>
        <v/>
      </c>
      <c r="R74" s="115" t="str" cm="1">
        <f t="array" aca="1" ref="R74" ca="1">IFERROR(INDEX(MPOB!$D$3:$D$1000,
SMALL(
IF((MPOB!$Q$3:$Q$1000&lt;&gt;"")*(MPOB!$Q$3:$Q$1000&lt;&gt;"Not Due"),
ROW(MPOB!$Q$3:$Q$1000)-ROW(MPOB!$Q$3)+1),
ROWS(A$2:A74))),"")</f>
        <v/>
      </c>
      <c r="S74" s="116" t="str" cm="1">
        <f t="array" aca="1" ref="S74" ca="1">IFERROR(INDEX(MPOB!$G$3:$G$1000,
SMALL(
IF((MPOB!$Q$3:$Q$1000&lt;&gt;"")*(MPOB!$Q$3:$Q$1000&lt;&gt;"Not Due"),
ROW(MPOB!$Q$3:$Q$1000)-ROW(MPOB!$Q$3)+1),
ROWS(A$2:A74))),"")</f>
        <v/>
      </c>
      <c r="T74" s="88" t="str" cm="1">
        <f t="array" aca="1" ref="T74" ca="1">IFERROR(INDEX(MPOB!$Q$3:$Q$1000,
SMALL(
IF((MPOB!$Q$3:$Q$1000&lt;&gt;"")*(MPOB!$Q$3:$Q$1000&lt;&gt;"Not Due"),
ROW(MPOB!$Q$3:$Q$1000)-ROW(MPOB!$Q$3)+1),
ROWS(A$2:A74))
),"")</f>
        <v/>
      </c>
      <c r="V74" s="115">
        <v>73</v>
      </c>
      <c r="W74" s="121" t="str" cm="1">
        <f t="array" aca="1" ref="W74" ca="1">IFERROR(INDEX(LKTN!$E$3:$E$1000,
SMALL(
IF((LKTN!$Q$3:$Q$1000&lt;&gt;"")*(LKTN!$Q$3:$Q$1000&lt;&gt;"Not Due"),
ROW(LKTN!$Q$3:$Q$1000)-ROW(LKTN!$Q$3)+1),
ROWS(A$2:A74))),"")</f>
        <v/>
      </c>
      <c r="X74" s="115" t="str" cm="1">
        <f t="array" aca="1" ref="X74" ca="1">IFERROR(INDEX(LKTN!$B$3:$B$1000,
SMALL(
IF((LKTN!$Q$3:$Q$1000&lt;&gt;"")*(LKTN!$Q$3:$Q$1000&lt;&gt;"Not Due"),
ROW(LKTN!$Q$3:$Q$1000)-ROW(LKTN!$Q$3)+1),
ROWS(A$2:A74))),"")</f>
        <v/>
      </c>
      <c r="Y74" s="115" t="str" cm="1">
        <f t="array" aca="1" ref="Y74" ca="1">IFERROR(INDEX(LKTN!$D$3:$D$1000,
SMALL(
IF((LKTN!$Q$3:$Q$1000&lt;&gt;"")*(LKTN!$Q$3:$Q$1000&lt;&gt;"Not Due"),
ROW(LKTN!$Q$3:$Q$1000)-ROW(LKTN!$Q$3)+1),
ROWS(A$2:A74))),"")</f>
        <v/>
      </c>
      <c r="Z74" s="116"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5">
        <v>74</v>
      </c>
      <c r="P75" s="120" t="str" cm="1">
        <f t="array" aca="1" ref="P75" ca="1">IFERROR(INDEX(MPOB!$E$3:$E$1000,
SMALL(
IF((MPOB!$Q$3:$Q$1000&lt;&gt;"")*(MPOB!$Q$3:$Q$1000&lt;&gt;"Not Due"),
ROW(MPOB!$Q$3:$Q$1000)-ROW(MPOB!$Q$3)+1),
ROWS(A$2:A75))),"")</f>
        <v/>
      </c>
      <c r="Q75" s="115" t="str" cm="1">
        <f t="array" aca="1" ref="Q75" ca="1">IFERROR(INDEX(MPOB!$B$3:$B$1000,
SMALL(
IF((MPOB!$Q$3:$Q$1000&lt;&gt;"")*(MPOB!$Q$3:$Q$1000&lt;&gt;"Not Due"),
ROW(MPOB!$Q$3:$Q$1000)-ROW(MPOB!$Q$3)+1),
ROWS(A$2:A75))),"")</f>
        <v/>
      </c>
      <c r="R75" s="115" t="str" cm="1">
        <f t="array" aca="1" ref="R75" ca="1">IFERROR(INDEX(MPOB!$D$3:$D$1000,
SMALL(
IF((MPOB!$Q$3:$Q$1000&lt;&gt;"")*(MPOB!$Q$3:$Q$1000&lt;&gt;"Not Due"),
ROW(MPOB!$Q$3:$Q$1000)-ROW(MPOB!$Q$3)+1),
ROWS(A$2:A75))),"")</f>
        <v/>
      </c>
      <c r="S75" s="116" t="str" cm="1">
        <f t="array" aca="1" ref="S75" ca="1">IFERROR(INDEX(MPOB!$G$3:$G$1000,
SMALL(
IF((MPOB!$Q$3:$Q$1000&lt;&gt;"")*(MPOB!$Q$3:$Q$1000&lt;&gt;"Not Due"),
ROW(MPOB!$Q$3:$Q$1000)-ROW(MPOB!$Q$3)+1),
ROWS(A$2:A75))),"")</f>
        <v/>
      </c>
      <c r="T75" s="88" t="str" cm="1">
        <f t="array" aca="1" ref="T75" ca="1">IFERROR(INDEX(MPOB!$Q$3:$Q$1000,
SMALL(
IF((MPOB!$Q$3:$Q$1000&lt;&gt;"")*(MPOB!$Q$3:$Q$1000&lt;&gt;"Not Due"),
ROW(MPOB!$Q$3:$Q$1000)-ROW(MPOB!$Q$3)+1),
ROWS(A$2:A75))
),"")</f>
        <v/>
      </c>
      <c r="V75" s="115">
        <v>74</v>
      </c>
      <c r="W75" s="121" t="str" cm="1">
        <f t="array" aca="1" ref="W75" ca="1">IFERROR(INDEX(LKTN!$E$3:$E$1000,
SMALL(
IF((LKTN!$Q$3:$Q$1000&lt;&gt;"")*(LKTN!$Q$3:$Q$1000&lt;&gt;"Not Due"),
ROW(LKTN!$Q$3:$Q$1000)-ROW(LKTN!$Q$3)+1),
ROWS(A$2:A75))),"")</f>
        <v/>
      </c>
      <c r="X75" s="115" t="str" cm="1">
        <f t="array" aca="1" ref="X75" ca="1">IFERROR(INDEX(LKTN!$B$3:$B$1000,
SMALL(
IF((LKTN!$Q$3:$Q$1000&lt;&gt;"")*(LKTN!$Q$3:$Q$1000&lt;&gt;"Not Due"),
ROW(LKTN!$Q$3:$Q$1000)-ROW(LKTN!$Q$3)+1),
ROWS(A$2:A75))),"")</f>
        <v/>
      </c>
      <c r="Y75" s="115" t="str" cm="1">
        <f t="array" aca="1" ref="Y75" ca="1">IFERROR(INDEX(LKTN!$D$3:$D$1000,
SMALL(
IF((LKTN!$Q$3:$Q$1000&lt;&gt;"")*(LKTN!$Q$3:$Q$1000&lt;&gt;"Not Due"),
ROW(LKTN!$Q$3:$Q$1000)-ROW(LKTN!$Q$3)+1),
ROWS(A$2:A75))),"")</f>
        <v/>
      </c>
      <c r="Z75" s="116"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5">
        <v>75</v>
      </c>
      <c r="P76" s="120" t="str" cm="1">
        <f t="array" aca="1" ref="P76" ca="1">IFERROR(INDEX(MPOB!$E$3:$E$1000,
SMALL(
IF((MPOB!$Q$3:$Q$1000&lt;&gt;"")*(MPOB!$Q$3:$Q$1000&lt;&gt;"Not Due"),
ROW(MPOB!$Q$3:$Q$1000)-ROW(MPOB!$Q$3)+1),
ROWS(A$2:A76))),"")</f>
        <v/>
      </c>
      <c r="Q76" s="115" t="str" cm="1">
        <f t="array" aca="1" ref="Q76" ca="1">IFERROR(INDEX(MPOB!$B$3:$B$1000,
SMALL(
IF((MPOB!$Q$3:$Q$1000&lt;&gt;"")*(MPOB!$Q$3:$Q$1000&lt;&gt;"Not Due"),
ROW(MPOB!$Q$3:$Q$1000)-ROW(MPOB!$Q$3)+1),
ROWS(A$2:A76))),"")</f>
        <v/>
      </c>
      <c r="R76" s="115" t="str" cm="1">
        <f t="array" aca="1" ref="R76" ca="1">IFERROR(INDEX(MPOB!$D$3:$D$1000,
SMALL(
IF((MPOB!$Q$3:$Q$1000&lt;&gt;"")*(MPOB!$Q$3:$Q$1000&lt;&gt;"Not Due"),
ROW(MPOB!$Q$3:$Q$1000)-ROW(MPOB!$Q$3)+1),
ROWS(A$2:A76))),"")</f>
        <v/>
      </c>
      <c r="S76" s="116" t="str" cm="1">
        <f t="array" aca="1" ref="S76" ca="1">IFERROR(INDEX(MPOB!$G$3:$G$1000,
SMALL(
IF((MPOB!$Q$3:$Q$1000&lt;&gt;"")*(MPOB!$Q$3:$Q$1000&lt;&gt;"Not Due"),
ROW(MPOB!$Q$3:$Q$1000)-ROW(MPOB!$Q$3)+1),
ROWS(A$2:A76))),"")</f>
        <v/>
      </c>
      <c r="T76" s="88" t="str" cm="1">
        <f t="array" aca="1" ref="T76" ca="1">IFERROR(INDEX(MPOB!$Q$3:$Q$1000,
SMALL(
IF((MPOB!$Q$3:$Q$1000&lt;&gt;"")*(MPOB!$Q$3:$Q$1000&lt;&gt;"Not Due"),
ROW(MPOB!$Q$3:$Q$1000)-ROW(MPOB!$Q$3)+1),
ROWS(A$2:A76))
),"")</f>
        <v/>
      </c>
      <c r="V76" s="115">
        <v>75</v>
      </c>
      <c r="W76" s="121" t="str" cm="1">
        <f t="array" aca="1" ref="W76" ca="1">IFERROR(INDEX(LKTN!$E$3:$E$1000,
SMALL(
IF((LKTN!$Q$3:$Q$1000&lt;&gt;"")*(LKTN!$Q$3:$Q$1000&lt;&gt;"Not Due"),
ROW(LKTN!$Q$3:$Q$1000)-ROW(LKTN!$Q$3)+1),
ROWS(A$2:A76))),"")</f>
        <v/>
      </c>
      <c r="X76" s="115" t="str" cm="1">
        <f t="array" aca="1" ref="X76" ca="1">IFERROR(INDEX(LKTN!$B$3:$B$1000,
SMALL(
IF((LKTN!$Q$3:$Q$1000&lt;&gt;"")*(LKTN!$Q$3:$Q$1000&lt;&gt;"Not Due"),
ROW(LKTN!$Q$3:$Q$1000)-ROW(LKTN!$Q$3)+1),
ROWS(A$2:A76))),"")</f>
        <v/>
      </c>
      <c r="Y76" s="115" t="str" cm="1">
        <f t="array" aca="1" ref="Y76" ca="1">IFERROR(INDEX(LKTN!$D$3:$D$1000,
SMALL(
IF((LKTN!$Q$3:$Q$1000&lt;&gt;"")*(LKTN!$Q$3:$Q$1000&lt;&gt;"Not Due"),
ROW(LKTN!$Q$3:$Q$1000)-ROW(LKTN!$Q$3)+1),
ROWS(A$2:A76))),"")</f>
        <v/>
      </c>
      <c r="Z76" s="116"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5">
        <v>76</v>
      </c>
      <c r="P77" s="120" t="str" cm="1">
        <f t="array" aca="1" ref="P77" ca="1">IFERROR(INDEX(MPOB!$E$3:$E$1000,
SMALL(
IF((MPOB!$Q$3:$Q$1000&lt;&gt;"")*(MPOB!$Q$3:$Q$1000&lt;&gt;"Not Due"),
ROW(MPOB!$Q$3:$Q$1000)-ROW(MPOB!$Q$3)+1),
ROWS(A$2:A77))),"")</f>
        <v/>
      </c>
      <c r="Q77" s="115" t="str" cm="1">
        <f t="array" aca="1" ref="Q77" ca="1">IFERROR(INDEX(MPOB!$B$3:$B$1000,
SMALL(
IF((MPOB!$Q$3:$Q$1000&lt;&gt;"")*(MPOB!$Q$3:$Q$1000&lt;&gt;"Not Due"),
ROW(MPOB!$Q$3:$Q$1000)-ROW(MPOB!$Q$3)+1),
ROWS(A$2:A77))),"")</f>
        <v/>
      </c>
      <c r="R77" s="115" t="str" cm="1">
        <f t="array" aca="1" ref="R77" ca="1">IFERROR(INDEX(MPOB!$D$3:$D$1000,
SMALL(
IF((MPOB!$Q$3:$Q$1000&lt;&gt;"")*(MPOB!$Q$3:$Q$1000&lt;&gt;"Not Due"),
ROW(MPOB!$Q$3:$Q$1000)-ROW(MPOB!$Q$3)+1),
ROWS(A$2:A77))),"")</f>
        <v/>
      </c>
      <c r="S77" s="116" t="str" cm="1">
        <f t="array" aca="1" ref="S77" ca="1">IFERROR(INDEX(MPOB!$G$3:$G$1000,
SMALL(
IF((MPOB!$Q$3:$Q$1000&lt;&gt;"")*(MPOB!$Q$3:$Q$1000&lt;&gt;"Not Due"),
ROW(MPOB!$Q$3:$Q$1000)-ROW(MPOB!$Q$3)+1),
ROWS(A$2:A77))),"")</f>
        <v/>
      </c>
      <c r="T77" s="88" t="str" cm="1">
        <f t="array" aca="1" ref="T77" ca="1">IFERROR(INDEX(MPOB!$Q$3:$Q$1000,
SMALL(
IF((MPOB!$Q$3:$Q$1000&lt;&gt;"")*(MPOB!$Q$3:$Q$1000&lt;&gt;"Not Due"),
ROW(MPOB!$Q$3:$Q$1000)-ROW(MPOB!$Q$3)+1),
ROWS(A$2:A77))
),"")</f>
        <v/>
      </c>
      <c r="V77" s="115">
        <v>76</v>
      </c>
      <c r="W77" s="121" t="str" cm="1">
        <f t="array" aca="1" ref="W77" ca="1">IFERROR(INDEX(LKTN!$E$3:$E$1000,
SMALL(
IF((LKTN!$Q$3:$Q$1000&lt;&gt;"")*(LKTN!$Q$3:$Q$1000&lt;&gt;"Not Due"),
ROW(LKTN!$Q$3:$Q$1000)-ROW(LKTN!$Q$3)+1),
ROWS(A$2:A77))),"")</f>
        <v/>
      </c>
      <c r="X77" s="115" t="str" cm="1">
        <f t="array" aca="1" ref="X77" ca="1">IFERROR(INDEX(LKTN!$B$3:$B$1000,
SMALL(
IF((LKTN!$Q$3:$Q$1000&lt;&gt;"")*(LKTN!$Q$3:$Q$1000&lt;&gt;"Not Due"),
ROW(LKTN!$Q$3:$Q$1000)-ROW(LKTN!$Q$3)+1),
ROWS(A$2:A77))),"")</f>
        <v/>
      </c>
      <c r="Y77" s="115" t="str" cm="1">
        <f t="array" aca="1" ref="Y77" ca="1">IFERROR(INDEX(LKTN!$D$3:$D$1000,
SMALL(
IF((LKTN!$Q$3:$Q$1000&lt;&gt;"")*(LKTN!$Q$3:$Q$1000&lt;&gt;"Not Due"),
ROW(LKTN!$Q$3:$Q$1000)-ROW(LKTN!$Q$3)+1),
ROWS(A$2:A77))),"")</f>
        <v/>
      </c>
      <c r="Z77" s="116"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5">
        <v>77</v>
      </c>
      <c r="P78" s="120" t="str" cm="1">
        <f t="array" aca="1" ref="P78" ca="1">IFERROR(INDEX(MPOB!$E$3:$E$1000,
SMALL(
IF((MPOB!$Q$3:$Q$1000&lt;&gt;"")*(MPOB!$Q$3:$Q$1000&lt;&gt;"Not Due"),
ROW(MPOB!$Q$3:$Q$1000)-ROW(MPOB!$Q$3)+1),
ROWS(A$2:A78))),"")</f>
        <v/>
      </c>
      <c r="Q78" s="115" t="str" cm="1">
        <f t="array" aca="1" ref="Q78" ca="1">IFERROR(INDEX(MPOB!$B$3:$B$1000,
SMALL(
IF((MPOB!$Q$3:$Q$1000&lt;&gt;"")*(MPOB!$Q$3:$Q$1000&lt;&gt;"Not Due"),
ROW(MPOB!$Q$3:$Q$1000)-ROW(MPOB!$Q$3)+1),
ROWS(A$2:A78))),"")</f>
        <v/>
      </c>
      <c r="R78" s="115" t="str" cm="1">
        <f t="array" aca="1" ref="R78" ca="1">IFERROR(INDEX(MPOB!$D$3:$D$1000,
SMALL(
IF((MPOB!$Q$3:$Q$1000&lt;&gt;"")*(MPOB!$Q$3:$Q$1000&lt;&gt;"Not Due"),
ROW(MPOB!$Q$3:$Q$1000)-ROW(MPOB!$Q$3)+1),
ROWS(A$2:A78))),"")</f>
        <v/>
      </c>
      <c r="S78" s="116" t="str" cm="1">
        <f t="array" aca="1" ref="S78" ca="1">IFERROR(INDEX(MPOB!$G$3:$G$1000,
SMALL(
IF((MPOB!$Q$3:$Q$1000&lt;&gt;"")*(MPOB!$Q$3:$Q$1000&lt;&gt;"Not Due"),
ROW(MPOB!$Q$3:$Q$1000)-ROW(MPOB!$Q$3)+1),
ROWS(A$2:A78))),"")</f>
        <v/>
      </c>
      <c r="T78" s="88" t="str" cm="1">
        <f t="array" aca="1" ref="T78" ca="1">IFERROR(INDEX(MPOB!$Q$3:$Q$1000,
SMALL(
IF((MPOB!$Q$3:$Q$1000&lt;&gt;"")*(MPOB!$Q$3:$Q$1000&lt;&gt;"Not Due"),
ROW(MPOB!$Q$3:$Q$1000)-ROW(MPOB!$Q$3)+1),
ROWS(A$2:A78))
),"")</f>
        <v/>
      </c>
    </row>
    <row r="79" spans="15:41" x14ac:dyDescent="0.3">
      <c r="O79" s="115">
        <v>78</v>
      </c>
      <c r="P79" s="120" t="str" cm="1">
        <f t="array" aca="1" ref="P79" ca="1">IFERROR(INDEX(MPOB!$E$3:$E$1000,
SMALL(
IF((MPOB!$Q$3:$Q$1000&lt;&gt;"")*(MPOB!$Q$3:$Q$1000&lt;&gt;"Not Due"),
ROW(MPOB!$Q$3:$Q$1000)-ROW(MPOB!$Q$3)+1),
ROWS(A$2:A79))),"")</f>
        <v/>
      </c>
      <c r="Q79" s="115" t="str" cm="1">
        <f t="array" aca="1" ref="Q79" ca="1">IFERROR(INDEX(MPOB!$B$3:$B$1000,
SMALL(
IF((MPOB!$Q$3:$Q$1000&lt;&gt;"")*(MPOB!$Q$3:$Q$1000&lt;&gt;"Not Due"),
ROW(MPOB!$Q$3:$Q$1000)-ROW(MPOB!$Q$3)+1),
ROWS(A$2:A79))),"")</f>
        <v/>
      </c>
      <c r="R79" s="115" t="str" cm="1">
        <f t="array" aca="1" ref="R79" ca="1">IFERROR(INDEX(MPOB!$D$3:$D$1000,
SMALL(
IF((MPOB!$Q$3:$Q$1000&lt;&gt;"")*(MPOB!$Q$3:$Q$1000&lt;&gt;"Not Due"),
ROW(MPOB!$Q$3:$Q$1000)-ROW(MPOB!$Q$3)+1),
ROWS(A$2:A79))),"")</f>
        <v/>
      </c>
      <c r="S79" s="116" t="str" cm="1">
        <f t="array" aca="1" ref="S79" ca="1">IFERROR(INDEX(MPOB!$G$3:$G$1000,
SMALL(
IF((MPOB!$Q$3:$Q$1000&lt;&gt;"")*(MPOB!$Q$3:$Q$1000&lt;&gt;"Not Due"),
ROW(MPOB!$Q$3:$Q$1000)-ROW(MPOB!$Q$3)+1),
ROWS(A$2:A79))),"")</f>
        <v/>
      </c>
      <c r="T79" s="88" t="str" cm="1">
        <f t="array" aca="1" ref="T79" ca="1">IFERROR(INDEX(MPOB!$Q$3:$Q$1000,
SMALL(
IF((MPOB!$Q$3:$Q$1000&lt;&gt;"")*(MPOB!$Q$3:$Q$1000&lt;&gt;"Not Due"),
ROW(MPOB!$Q$3:$Q$1000)-ROW(MPOB!$Q$3)+1),
ROWS(A$2:A79))
),"")</f>
        <v/>
      </c>
    </row>
    <row r="80" spans="15:41" x14ac:dyDescent="0.3">
      <c r="O80" s="115">
        <v>79</v>
      </c>
      <c r="P80" s="120" t="str" cm="1">
        <f t="array" aca="1" ref="P80" ca="1">IFERROR(INDEX(MPOB!$E$3:$E$1000,
SMALL(
IF((MPOB!$Q$3:$Q$1000&lt;&gt;"")*(MPOB!$Q$3:$Q$1000&lt;&gt;"Not Due"),
ROW(MPOB!$Q$3:$Q$1000)-ROW(MPOB!$Q$3)+1),
ROWS(A$2:A80))),"")</f>
        <v/>
      </c>
      <c r="Q80" s="115" t="str" cm="1">
        <f t="array" aca="1" ref="Q80" ca="1">IFERROR(INDEX(MPOB!$B$3:$B$1000,
SMALL(
IF((MPOB!$Q$3:$Q$1000&lt;&gt;"")*(MPOB!$Q$3:$Q$1000&lt;&gt;"Not Due"),
ROW(MPOB!$Q$3:$Q$1000)-ROW(MPOB!$Q$3)+1),
ROWS(A$2:A80))),"")</f>
        <v/>
      </c>
      <c r="R80" s="115" t="str" cm="1">
        <f t="array" aca="1" ref="R80" ca="1">IFERROR(INDEX(MPOB!$D$3:$D$1000,
SMALL(
IF((MPOB!$Q$3:$Q$1000&lt;&gt;"")*(MPOB!$Q$3:$Q$1000&lt;&gt;"Not Due"),
ROW(MPOB!$Q$3:$Q$1000)-ROW(MPOB!$Q$3)+1),
ROWS(A$2:A80))),"")</f>
        <v/>
      </c>
      <c r="S80" s="116" t="str" cm="1">
        <f t="array" aca="1" ref="S80" ca="1">IFERROR(INDEX(MPOB!$G$3:$G$1000,
SMALL(
IF((MPOB!$Q$3:$Q$1000&lt;&gt;"")*(MPOB!$Q$3:$Q$1000&lt;&gt;"Not Due"),
ROW(MPOB!$Q$3:$Q$1000)-ROW(MPOB!$Q$3)+1),
ROWS(A$2:A80))),"")</f>
        <v/>
      </c>
      <c r="T80" s="88" t="str" cm="1">
        <f t="array" aca="1" ref="T80" ca="1">IFERROR(INDEX(MPOB!$Q$3:$Q$1000,
SMALL(
IF((MPOB!$Q$3:$Q$1000&lt;&gt;"")*(MPOB!$Q$3:$Q$1000&lt;&gt;"Not Due"),
ROW(MPOB!$Q$3:$Q$1000)-ROW(MPOB!$Q$3)+1),
ROWS(A$2:A80))
),"")</f>
        <v/>
      </c>
    </row>
    <row r="81" spans="15:20" x14ac:dyDescent="0.3">
      <c r="O81" s="115">
        <v>80</v>
      </c>
      <c r="P81" s="120" t="str" cm="1">
        <f t="array" aca="1" ref="P81" ca="1">IFERROR(INDEX(MPOB!$E$3:$E$1000,
SMALL(
IF((MPOB!$Q$3:$Q$1000&lt;&gt;"")*(MPOB!$Q$3:$Q$1000&lt;&gt;"Not Due"),
ROW(MPOB!$Q$3:$Q$1000)-ROW(MPOB!$Q$3)+1),
ROWS(A$2:A81))),"")</f>
        <v/>
      </c>
      <c r="Q81" s="115" t="str" cm="1">
        <f t="array" aca="1" ref="Q81" ca="1">IFERROR(INDEX(MPOB!$B$3:$B$1000,
SMALL(
IF((MPOB!$Q$3:$Q$1000&lt;&gt;"")*(MPOB!$Q$3:$Q$1000&lt;&gt;"Not Due"),
ROW(MPOB!$Q$3:$Q$1000)-ROW(MPOB!$Q$3)+1),
ROWS(A$2:A81))),"")</f>
        <v/>
      </c>
      <c r="R81" s="115" t="str" cm="1">
        <f t="array" aca="1" ref="R81" ca="1">IFERROR(INDEX(MPOB!$D$3:$D$1000,
SMALL(
IF((MPOB!$Q$3:$Q$1000&lt;&gt;"")*(MPOB!$Q$3:$Q$1000&lt;&gt;"Not Due"),
ROW(MPOB!$Q$3:$Q$1000)-ROW(MPOB!$Q$3)+1),
ROWS(A$2:A81))),"")</f>
        <v/>
      </c>
      <c r="S81" s="116" t="str" cm="1">
        <f t="array" aca="1" ref="S81" ca="1">IFERROR(INDEX(MPOB!$G$3:$G$1000,
SMALL(
IF((MPOB!$Q$3:$Q$1000&lt;&gt;"")*(MPOB!$Q$3:$Q$1000&lt;&gt;"Not Due"),
ROW(MPOB!$Q$3:$Q$1000)-ROW(MPOB!$Q$3)+1),
ROWS(A$2:A81))),"")</f>
        <v/>
      </c>
      <c r="T81" s="88" t="str" cm="1">
        <f t="array" aca="1" ref="T81" ca="1">IFERROR(INDEX(MPOB!$Q$3:$Q$1000,
SMALL(
IF((MPOB!$Q$3:$Q$1000&lt;&gt;"")*(MPOB!$Q$3:$Q$1000&lt;&gt;"Not Due"),
ROW(MPOB!$Q$3:$Q$1000)-ROW(MPOB!$Q$3)+1),
ROWS(A$2:A81))
),"")</f>
        <v/>
      </c>
    </row>
    <row r="82" spans="15:20" x14ac:dyDescent="0.3">
      <c r="O82" s="115">
        <v>81</v>
      </c>
      <c r="P82" s="120" t="str" cm="1">
        <f t="array" aca="1" ref="P82" ca="1">IFERROR(INDEX(MPOB!$E$3:$E$1000,
SMALL(
IF((MPOB!$Q$3:$Q$1000&lt;&gt;"")*(MPOB!$Q$3:$Q$1000&lt;&gt;"Not Due"),
ROW(MPOB!$Q$3:$Q$1000)-ROW(MPOB!$Q$3)+1),
ROWS(A$2:A82))),"")</f>
        <v/>
      </c>
      <c r="Q82" s="115" t="str" cm="1">
        <f t="array" aca="1" ref="Q82" ca="1">IFERROR(INDEX(MPOB!$B$3:$B$1000,
SMALL(
IF((MPOB!$Q$3:$Q$1000&lt;&gt;"")*(MPOB!$Q$3:$Q$1000&lt;&gt;"Not Due"),
ROW(MPOB!$Q$3:$Q$1000)-ROW(MPOB!$Q$3)+1),
ROWS(A$2:A82))),"")</f>
        <v/>
      </c>
      <c r="R82" s="115" t="str" cm="1">
        <f t="array" aca="1" ref="R82" ca="1">IFERROR(INDEX(MPOB!$D$3:$D$1000,
SMALL(
IF((MPOB!$Q$3:$Q$1000&lt;&gt;"")*(MPOB!$Q$3:$Q$1000&lt;&gt;"Not Due"),
ROW(MPOB!$Q$3:$Q$1000)-ROW(MPOB!$Q$3)+1),
ROWS(A$2:A82))),"")</f>
        <v/>
      </c>
      <c r="S82" s="116" t="str" cm="1">
        <f t="array" aca="1" ref="S82" ca="1">IFERROR(INDEX(MPOB!$G$3:$G$1000,
SMALL(
IF((MPOB!$Q$3:$Q$1000&lt;&gt;"")*(MPOB!$Q$3:$Q$1000&lt;&gt;"Not Due"),
ROW(MPOB!$Q$3:$Q$1000)-ROW(MPOB!$Q$3)+1),
ROWS(A$2:A82))),"")</f>
        <v/>
      </c>
      <c r="T82" s="88" t="str" cm="1">
        <f t="array" aca="1" ref="T82" ca="1">IFERROR(INDEX(MPOB!$Q$3:$Q$1000,
SMALL(
IF((MPOB!$Q$3:$Q$1000&lt;&gt;"")*(MPOB!$Q$3:$Q$1000&lt;&gt;"Not Due"),
ROW(MPOB!$Q$3:$Q$1000)-ROW(MPOB!$Q$3)+1),
ROWS(A$2:A82))
),"")</f>
        <v/>
      </c>
    </row>
    <row r="83" spans="15:20" x14ac:dyDescent="0.3">
      <c r="O83" s="115">
        <v>82</v>
      </c>
      <c r="P83" s="120" t="str" cm="1">
        <f t="array" aca="1" ref="P83" ca="1">IFERROR(INDEX(MPOB!$E$3:$E$1000,
SMALL(
IF((MPOB!$Q$3:$Q$1000&lt;&gt;"")*(MPOB!$Q$3:$Q$1000&lt;&gt;"Not Due"),
ROW(MPOB!$Q$3:$Q$1000)-ROW(MPOB!$Q$3)+1),
ROWS(A$2:A83))),"")</f>
        <v/>
      </c>
      <c r="Q83" s="115" t="str" cm="1">
        <f t="array" aca="1" ref="Q83" ca="1">IFERROR(INDEX(MPOB!$B$3:$B$1000,
SMALL(
IF((MPOB!$Q$3:$Q$1000&lt;&gt;"")*(MPOB!$Q$3:$Q$1000&lt;&gt;"Not Due"),
ROW(MPOB!$Q$3:$Q$1000)-ROW(MPOB!$Q$3)+1),
ROWS(A$2:A83))),"")</f>
        <v/>
      </c>
      <c r="R83" s="115" t="str" cm="1">
        <f t="array" aca="1" ref="R83" ca="1">IFERROR(INDEX(MPOB!$D$3:$D$1000,
SMALL(
IF((MPOB!$Q$3:$Q$1000&lt;&gt;"")*(MPOB!$Q$3:$Q$1000&lt;&gt;"Not Due"),
ROW(MPOB!$Q$3:$Q$1000)-ROW(MPOB!$Q$3)+1),
ROWS(A$2:A83))),"")</f>
        <v/>
      </c>
      <c r="S83" s="116" t="str" cm="1">
        <f t="array" aca="1" ref="S83" ca="1">IFERROR(INDEX(MPOB!$G$3:$G$1000,
SMALL(
IF((MPOB!$Q$3:$Q$1000&lt;&gt;"")*(MPOB!$Q$3:$Q$1000&lt;&gt;"Not Due"),
ROW(MPOB!$Q$3:$Q$1000)-ROW(MPOB!$Q$3)+1),
ROWS(A$2:A83))),"")</f>
        <v/>
      </c>
      <c r="T83" s="88" t="str" cm="1">
        <f t="array" aca="1" ref="T83" ca="1">IFERROR(INDEX(MPOB!$Q$3:$Q$1000,
SMALL(
IF((MPOB!$Q$3:$Q$1000&lt;&gt;"")*(MPOB!$Q$3:$Q$1000&lt;&gt;"Not Due"),
ROW(MPOB!$Q$3:$Q$1000)-ROW(MPOB!$Q$3)+1),
ROWS(A$2:A83))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workbookViewId="0">
      <selection activeCell="F30" sqref="F30"/>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3">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3">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3">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3">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3">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3">
        <v>6</v>
      </c>
      <c r="B8" s="93" t="s">
        <v>1268</v>
      </c>
      <c r="C8" s="93" t="s">
        <v>70</v>
      </c>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-25</v>
      </c>
      <c r="P8" s="78">
        <f t="shared" ca="1" si="1"/>
        <v>25</v>
      </c>
      <c r="Q8" s="62" t="str">
        <f t="shared" ca="1" si="0"/>
        <v>1-30 Days</v>
      </c>
    </row>
    <row r="9" spans="1:17" ht="41.4" x14ac:dyDescent="0.3">
      <c r="A9" s="93">
        <v>7</v>
      </c>
      <c r="B9" s="93" t="s">
        <v>1271</v>
      </c>
      <c r="C9" s="93" t="s">
        <v>70</v>
      </c>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-25</v>
      </c>
      <c r="P9" s="78">
        <f t="shared" ca="1" si="1"/>
        <v>25</v>
      </c>
      <c r="Q9" s="62" t="str">
        <f t="shared" ca="1" si="0"/>
        <v>1-30 Days</v>
      </c>
    </row>
    <row r="10" spans="1:17" ht="27.6" x14ac:dyDescent="0.3">
      <c r="A10" s="93">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3">
        <v>9</v>
      </c>
      <c r="B11" s="93" t="s">
        <v>1276</v>
      </c>
      <c r="C11" s="93" t="s">
        <v>70</v>
      </c>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-25</v>
      </c>
      <c r="P11" s="78">
        <f t="shared" ca="1" si="1"/>
        <v>25</v>
      </c>
      <c r="Q11" s="62" t="str">
        <f t="shared" ca="1" si="0"/>
        <v>1-30 Days</v>
      </c>
    </row>
    <row r="12" spans="1:17" ht="27.6" x14ac:dyDescent="0.3">
      <c r="A12" s="93">
        <v>10</v>
      </c>
      <c r="B12" s="93" t="s">
        <v>1279</v>
      </c>
      <c r="C12" s="93" t="s">
        <v>70</v>
      </c>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-25</v>
      </c>
      <c r="P12" s="78">
        <f t="shared" ca="1" si="1"/>
        <v>25</v>
      </c>
      <c r="Q12" s="62" t="str">
        <f t="shared" ca="1" si="0"/>
        <v>1-30 Days</v>
      </c>
    </row>
    <row r="13" spans="1:17" ht="27.6" x14ac:dyDescent="0.3">
      <c r="A13" s="93">
        <v>11</v>
      </c>
      <c r="B13" s="93" t="s">
        <v>1281</v>
      </c>
      <c r="C13" s="93" t="s">
        <v>70</v>
      </c>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-25</v>
      </c>
      <c r="P13" s="78">
        <f t="shared" ca="1" si="1"/>
        <v>25</v>
      </c>
      <c r="Q13" s="62" t="str">
        <f ca="1">IF(P13="","",
IF(P13&lt;=0,"Not Due",
IF(P13&lt;=30,"1-30 Days",
IF(P13&lt;=60,"31-60 Days",
"&gt;60 Days"))))</f>
        <v>1-30 Days</v>
      </c>
    </row>
    <row r="14" spans="1:17" ht="41.4" x14ac:dyDescent="0.3">
      <c r="A14" s="93">
        <v>12</v>
      </c>
      <c r="B14" s="93" t="s">
        <v>1283</v>
      </c>
      <c r="C14" s="93" t="s">
        <v>70</v>
      </c>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-25</v>
      </c>
      <c r="P14" s="78">
        <f t="shared" ca="1" si="1"/>
        <v>25</v>
      </c>
      <c r="Q14" s="62" t="str">
        <f t="shared" ref="Q14:Q15" ca="1" si="2">IF(P14="","",
IF(P14&lt;=0,"Not Due",
IF(P14&lt;=30,"1-30 Days",
IF(P14&lt;=60,"31-60 Days",
"&gt;60 Days"))))</f>
        <v>1-30 Days</v>
      </c>
    </row>
    <row r="15" spans="1:17" ht="27.6" x14ac:dyDescent="0.3">
      <c r="A15" s="93">
        <v>13</v>
      </c>
      <c r="B15" s="93" t="s">
        <v>1286</v>
      </c>
      <c r="C15" s="93" t="s">
        <v>70</v>
      </c>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-25</v>
      </c>
      <c r="P15" s="78">
        <f t="shared" ca="1" si="1"/>
        <v>25</v>
      </c>
      <c r="Q15" s="62" t="str">
        <f t="shared" ca="1" si="2"/>
        <v>1-30 Days</v>
      </c>
    </row>
    <row r="16" spans="1:17" x14ac:dyDescent="0.3">
      <c r="A16" s="93">
        <v>14</v>
      </c>
      <c r="B16" s="93" t="s">
        <v>1288</v>
      </c>
      <c r="C16" s="93" t="s">
        <v>70</v>
      </c>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-25</v>
      </c>
      <c r="P16" s="78">
        <f t="shared" ca="1" si="1"/>
        <v>25</v>
      </c>
      <c r="Q16" s="62" t="str">
        <f t="shared" ref="Q16:Q79" ca="1" si="3">IF(P16="","",
IF(P16&lt;=30,"1-30 Days",
IF(AND(P16&gt;=31,P16&lt;=60),"31-60 Days",
"&gt;60 Days")))</f>
        <v>1-30 Days</v>
      </c>
    </row>
    <row r="17" spans="1:17" ht="27.6" x14ac:dyDescent="0.3">
      <c r="A17" s="93">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3">
        <v>16</v>
      </c>
      <c r="B18" s="93" t="s">
        <v>1293</v>
      </c>
      <c r="C18" s="93" t="s">
        <v>70</v>
      </c>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-25</v>
      </c>
      <c r="P18" s="78">
        <f t="shared" ca="1" si="1"/>
        <v>25</v>
      </c>
      <c r="Q18" s="62" t="str">
        <f t="shared" ca="1" si="3"/>
        <v>1-30 Days</v>
      </c>
    </row>
    <row r="19" spans="1:17" ht="27.6" x14ac:dyDescent="0.3">
      <c r="A19" s="93">
        <v>17</v>
      </c>
      <c r="B19" s="93" t="s">
        <v>1294</v>
      </c>
      <c r="C19" s="93" t="s">
        <v>70</v>
      </c>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-25</v>
      </c>
      <c r="P19" s="78">
        <f t="shared" ca="1" si="1"/>
        <v>25</v>
      </c>
      <c r="Q19" s="62" t="str">
        <f t="shared" ca="1" si="3"/>
        <v>1-30 Days</v>
      </c>
    </row>
    <row r="20" spans="1:17" ht="55.2" x14ac:dyDescent="0.3">
      <c r="A20" s="93">
        <v>18</v>
      </c>
      <c r="B20" s="93" t="s">
        <v>1296</v>
      </c>
      <c r="C20" s="93" t="s">
        <v>70</v>
      </c>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-25</v>
      </c>
      <c r="P20" s="78">
        <f t="shared" ca="1" si="1"/>
        <v>25</v>
      </c>
      <c r="Q20" s="62" t="str">
        <f t="shared" ca="1" si="3"/>
        <v>1-30 Days</v>
      </c>
    </row>
    <row r="21" spans="1:17" ht="179.4" x14ac:dyDescent="0.3">
      <c r="A21" s="93">
        <v>19</v>
      </c>
      <c r="B21" s="93" t="s">
        <v>1298</v>
      </c>
      <c r="C21" s="93" t="s">
        <v>70</v>
      </c>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-25</v>
      </c>
      <c r="P21" s="78">
        <f t="shared" ca="1" si="1"/>
        <v>25</v>
      </c>
      <c r="Q21" s="62" t="str">
        <f t="shared" ca="1" si="3"/>
        <v>1-30 Days</v>
      </c>
    </row>
    <row r="22" spans="1:17" ht="41.4" x14ac:dyDescent="0.3">
      <c r="A22" s="93">
        <v>20</v>
      </c>
      <c r="B22" s="93" t="s">
        <v>1301</v>
      </c>
      <c r="C22" s="93" t="s">
        <v>70</v>
      </c>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-25</v>
      </c>
      <c r="P22" s="78">
        <f t="shared" ca="1" si="1"/>
        <v>25</v>
      </c>
      <c r="Q22" s="62" t="str">
        <f t="shared" ca="1" si="3"/>
        <v>1-30 Days</v>
      </c>
    </row>
    <row r="23" spans="1:17" ht="41.4" x14ac:dyDescent="0.3">
      <c r="A23" s="93">
        <v>21</v>
      </c>
      <c r="B23" s="93" t="s">
        <v>1304</v>
      </c>
      <c r="C23" s="93" t="s">
        <v>70</v>
      </c>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-25</v>
      </c>
      <c r="P23" s="78">
        <f t="shared" ca="1" si="1"/>
        <v>25</v>
      </c>
      <c r="Q23" s="62" t="str">
        <f t="shared" ca="1" si="3"/>
        <v>1-30 Days</v>
      </c>
    </row>
    <row r="24" spans="1:17" ht="41.4" x14ac:dyDescent="0.3">
      <c r="A24" s="93">
        <v>22</v>
      </c>
      <c r="B24" s="93" t="s">
        <v>1306</v>
      </c>
      <c r="C24" s="93" t="s">
        <v>70</v>
      </c>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-25</v>
      </c>
      <c r="P24" s="78">
        <f t="shared" ca="1" si="1"/>
        <v>25</v>
      </c>
      <c r="Q24" s="62" t="str">
        <f t="shared" ca="1" si="3"/>
        <v>1-30 Days</v>
      </c>
    </row>
    <row r="25" spans="1:17" ht="110.4" x14ac:dyDescent="0.3">
      <c r="A25" s="93">
        <v>23</v>
      </c>
      <c r="B25" s="93" t="s">
        <v>1308</v>
      </c>
      <c r="C25" s="93" t="s">
        <v>70</v>
      </c>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-25</v>
      </c>
      <c r="P25" s="78">
        <f t="shared" ca="1" si="1"/>
        <v>25</v>
      </c>
      <c r="Q25" s="62" t="str">
        <f t="shared" ca="1" si="3"/>
        <v>1-30 Days</v>
      </c>
    </row>
    <row r="26" spans="1:17" ht="41.4" x14ac:dyDescent="0.3">
      <c r="A26" s="93">
        <v>24</v>
      </c>
      <c r="B26" s="93" t="s">
        <v>1311</v>
      </c>
      <c r="C26" s="93" t="s">
        <v>70</v>
      </c>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-25</v>
      </c>
      <c r="P26" s="78">
        <f t="shared" ca="1" si="1"/>
        <v>25</v>
      </c>
      <c r="Q26" s="62" t="str">
        <f t="shared" ca="1" si="3"/>
        <v>1-30 Days</v>
      </c>
    </row>
    <row r="27" spans="1:17" ht="27.6" x14ac:dyDescent="0.3">
      <c r="A27" s="93">
        <v>25</v>
      </c>
      <c r="B27" s="93" t="s">
        <v>1313</v>
      </c>
      <c r="C27" s="93" t="s">
        <v>70</v>
      </c>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-25</v>
      </c>
      <c r="P27" s="78">
        <f t="shared" ca="1" si="1"/>
        <v>25</v>
      </c>
      <c r="Q27" s="62" t="str">
        <f t="shared" ca="1" si="3"/>
        <v>1-30 Days</v>
      </c>
    </row>
    <row r="28" spans="1:17" ht="27.6" x14ac:dyDescent="0.3">
      <c r="A28" s="93">
        <v>26</v>
      </c>
      <c r="B28" s="93" t="s">
        <v>1315</v>
      </c>
      <c r="C28" s="93" t="s">
        <v>70</v>
      </c>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-25</v>
      </c>
      <c r="P28" s="78">
        <f t="shared" ca="1" si="1"/>
        <v>25</v>
      </c>
      <c r="Q28" s="62" t="str">
        <f t="shared" ca="1" si="3"/>
        <v>1-30 Days</v>
      </c>
    </row>
    <row r="29" spans="1:17" ht="55.2" x14ac:dyDescent="0.3">
      <c r="A29" s="93">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3">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3">
        <v>29</v>
      </c>
      <c r="B31" s="93" t="s">
        <v>1323</v>
      </c>
      <c r="C31" s="93" t="s">
        <v>70</v>
      </c>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-25</v>
      </c>
      <c r="P31" s="78">
        <f t="shared" ca="1" si="1"/>
        <v>25</v>
      </c>
      <c r="Q31" s="62" t="str">
        <f t="shared" ca="1" si="3"/>
        <v>1-30 Days</v>
      </c>
    </row>
    <row r="32" spans="1:17" ht="69" x14ac:dyDescent="0.3">
      <c r="A32" s="93">
        <v>30</v>
      </c>
      <c r="B32" s="93" t="s">
        <v>1326</v>
      </c>
      <c r="C32" s="93" t="s">
        <v>70</v>
      </c>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-25</v>
      </c>
      <c r="P32" s="78">
        <f t="shared" ca="1" si="1"/>
        <v>25</v>
      </c>
      <c r="Q32" s="62" t="str">
        <f t="shared" ca="1" si="3"/>
        <v>1-30 Days</v>
      </c>
    </row>
    <row r="33" spans="1:17" ht="27.6" x14ac:dyDescent="0.3">
      <c r="A33" s="93">
        <v>31</v>
      </c>
      <c r="B33" s="93" t="s">
        <v>1329</v>
      </c>
      <c r="C33" s="93" t="s">
        <v>70</v>
      </c>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-17</v>
      </c>
      <c r="P33" s="78">
        <f t="shared" ca="1" si="1"/>
        <v>17</v>
      </c>
      <c r="Q33" s="62" t="str">
        <f t="shared" ca="1" si="3"/>
        <v>1-30 Days</v>
      </c>
    </row>
    <row r="34" spans="1:17" ht="27.6" x14ac:dyDescent="0.3">
      <c r="A34" s="93">
        <v>32</v>
      </c>
      <c r="B34" s="93" t="s">
        <v>1332</v>
      </c>
      <c r="C34" s="93" t="s">
        <v>70</v>
      </c>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-17</v>
      </c>
      <c r="P34" s="78">
        <f t="shared" ca="1" si="1"/>
        <v>17</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P80"/>
  <sheetViews>
    <sheetView tabSelected="1" topLeftCell="A47" workbookViewId="0">
      <selection activeCell="A2" sqref="A2:A61"/>
    </sheetView>
  </sheetViews>
  <sheetFormatPr defaultRowHeight="15.6" x14ac:dyDescent="0.3"/>
  <cols>
    <col min="1" max="1" width="8.796875" style="87"/>
    <col min="2" max="2" width="16.3984375" style="64" customWidth="1"/>
    <col min="3" max="3" width="33.8984375" style="64" customWidth="1"/>
    <col min="4" max="4" width="15.3984375" style="64" customWidth="1"/>
    <col min="5" max="5" width="12.19921875" style="64" customWidth="1"/>
    <col min="6" max="6" width="8.796875" style="64"/>
    <col min="7" max="7" width="12.796875" style="64" customWidth="1"/>
    <col min="8" max="8" width="12.296875" style="64" customWidth="1"/>
    <col min="9" max="9" width="8.796875" style="64"/>
    <col min="10" max="10" width="12.59765625" style="64" customWidth="1"/>
    <col min="11" max="11" width="41.3984375" style="64" customWidth="1"/>
    <col min="12" max="12" width="11.09765625" style="64" customWidth="1"/>
    <col min="13" max="14" width="8.796875" style="64"/>
    <col min="15" max="16384" width="8.796875" style="87"/>
  </cols>
  <sheetData>
    <row r="1" spans="1:14" ht="43.2" x14ac:dyDescent="0.3">
      <c r="A1" s="125" t="s">
        <v>1587</v>
      </c>
      <c r="B1" s="125" t="s">
        <v>1459</v>
      </c>
      <c r="C1" s="125" t="s">
        <v>1460</v>
      </c>
      <c r="D1" s="125" t="s">
        <v>1461</v>
      </c>
      <c r="E1" s="125" t="s">
        <v>1462</v>
      </c>
      <c r="F1" s="125" t="s">
        <v>60</v>
      </c>
      <c r="G1" s="125" t="s">
        <v>1463</v>
      </c>
      <c r="H1" s="125" t="s">
        <v>1464</v>
      </c>
      <c r="I1" s="125" t="s">
        <v>1465</v>
      </c>
      <c r="J1" s="125" t="s">
        <v>1466</v>
      </c>
      <c r="K1" s="125" t="s">
        <v>1467</v>
      </c>
      <c r="L1" s="125" t="s">
        <v>1468</v>
      </c>
      <c r="M1" s="125" t="s">
        <v>1469</v>
      </c>
      <c r="N1" s="126" t="s">
        <v>1470</v>
      </c>
    </row>
    <row r="2" spans="1:14" x14ac:dyDescent="0.3">
      <c r="A2" s="240" t="s">
        <v>358</v>
      </c>
      <c r="B2" s="127" t="s">
        <v>1471</v>
      </c>
      <c r="C2" s="128" t="s">
        <v>1472</v>
      </c>
      <c r="D2" s="129" t="s">
        <v>1473</v>
      </c>
      <c r="E2" s="129" t="s">
        <v>1474</v>
      </c>
      <c r="F2" s="129" t="s">
        <v>1475</v>
      </c>
      <c r="G2" s="130">
        <v>46143</v>
      </c>
      <c r="H2" s="130">
        <v>46160</v>
      </c>
      <c r="I2" s="131" t="s">
        <v>1476</v>
      </c>
      <c r="J2" s="130">
        <v>46160</v>
      </c>
      <c r="K2" s="129" t="s">
        <v>1477</v>
      </c>
      <c r="L2" s="128" t="s">
        <v>85</v>
      </c>
      <c r="M2" s="132">
        <v>1</v>
      </c>
      <c r="N2" s="231">
        <f>SUM(M2:M7)/6</f>
        <v>1</v>
      </c>
    </row>
    <row r="3" spans="1:14" x14ac:dyDescent="0.3">
      <c r="A3" s="240" t="s">
        <v>358</v>
      </c>
      <c r="B3" s="133" t="s">
        <v>1471</v>
      </c>
      <c r="C3" s="128" t="s">
        <v>1478</v>
      </c>
      <c r="D3" s="129" t="s">
        <v>1473</v>
      </c>
      <c r="E3" s="129" t="s">
        <v>1474</v>
      </c>
      <c r="F3" s="129" t="s">
        <v>1475</v>
      </c>
      <c r="G3" s="130">
        <v>46161</v>
      </c>
      <c r="H3" s="130">
        <v>46170</v>
      </c>
      <c r="I3" s="131" t="s">
        <v>1479</v>
      </c>
      <c r="J3" s="130">
        <v>46170</v>
      </c>
      <c r="K3" s="129" t="s">
        <v>1477</v>
      </c>
      <c r="L3" s="128" t="s">
        <v>85</v>
      </c>
      <c r="M3" s="132">
        <v>1</v>
      </c>
      <c r="N3" s="231"/>
    </row>
    <row r="4" spans="1:14" x14ac:dyDescent="0.3">
      <c r="A4" s="240" t="s">
        <v>358</v>
      </c>
      <c r="B4" s="127" t="s">
        <v>1471</v>
      </c>
      <c r="C4" s="128" t="s">
        <v>1480</v>
      </c>
      <c r="D4" s="129" t="s">
        <v>1473</v>
      </c>
      <c r="E4" s="129" t="s">
        <v>1474</v>
      </c>
      <c r="F4" s="129" t="s">
        <v>1475</v>
      </c>
      <c r="G4" s="130">
        <v>46171</v>
      </c>
      <c r="H4" s="130">
        <v>46180</v>
      </c>
      <c r="I4" s="131" t="s">
        <v>1479</v>
      </c>
      <c r="J4" s="130">
        <v>46180</v>
      </c>
      <c r="K4" s="129" t="s">
        <v>1477</v>
      </c>
      <c r="L4" s="128" t="s">
        <v>85</v>
      </c>
      <c r="M4" s="132">
        <v>1</v>
      </c>
      <c r="N4" s="231"/>
    </row>
    <row r="5" spans="1:14" x14ac:dyDescent="0.3">
      <c r="A5" s="240" t="s">
        <v>358</v>
      </c>
      <c r="B5" s="133" t="s">
        <v>1471</v>
      </c>
      <c r="C5" s="128" t="s">
        <v>1481</v>
      </c>
      <c r="D5" s="129" t="s">
        <v>1473</v>
      </c>
      <c r="E5" s="129" t="s">
        <v>1474</v>
      </c>
      <c r="F5" s="129" t="s">
        <v>1475</v>
      </c>
      <c r="G5" s="130">
        <v>46181</v>
      </c>
      <c r="H5" s="130">
        <v>46190</v>
      </c>
      <c r="I5" s="131" t="s">
        <v>1479</v>
      </c>
      <c r="J5" s="130">
        <v>46190</v>
      </c>
      <c r="K5" s="129" t="s">
        <v>1477</v>
      </c>
      <c r="L5" s="128" t="s">
        <v>85</v>
      </c>
      <c r="M5" s="132">
        <v>1</v>
      </c>
      <c r="N5" s="231"/>
    </row>
    <row r="6" spans="1:14" x14ac:dyDescent="0.3">
      <c r="A6" s="240" t="s">
        <v>358</v>
      </c>
      <c r="B6" s="127" t="s">
        <v>1471</v>
      </c>
      <c r="C6" s="128" t="s">
        <v>1482</v>
      </c>
      <c r="D6" s="129" t="s">
        <v>1473</v>
      </c>
      <c r="E6" s="129" t="s">
        <v>1474</v>
      </c>
      <c r="F6" s="129" t="s">
        <v>1475</v>
      </c>
      <c r="G6" s="130">
        <v>46191</v>
      </c>
      <c r="H6" s="130">
        <v>46200</v>
      </c>
      <c r="I6" s="131" t="s">
        <v>1479</v>
      </c>
      <c r="J6" s="130">
        <v>46200</v>
      </c>
      <c r="K6" s="129" t="s">
        <v>1477</v>
      </c>
      <c r="L6" s="128" t="s">
        <v>85</v>
      </c>
      <c r="M6" s="132">
        <v>1</v>
      </c>
      <c r="N6" s="231"/>
    </row>
    <row r="7" spans="1:14" x14ac:dyDescent="0.3">
      <c r="A7" s="240" t="s">
        <v>358</v>
      </c>
      <c r="B7" s="133" t="s">
        <v>1471</v>
      </c>
      <c r="C7" s="128" t="s">
        <v>1483</v>
      </c>
      <c r="D7" s="129" t="s">
        <v>1473</v>
      </c>
      <c r="E7" s="129" t="s">
        <v>1484</v>
      </c>
      <c r="F7" s="129" t="s">
        <v>1475</v>
      </c>
      <c r="G7" s="130">
        <v>46201</v>
      </c>
      <c r="H7" s="130">
        <v>46203</v>
      </c>
      <c r="I7" s="131" t="s">
        <v>1485</v>
      </c>
      <c r="J7" s="130">
        <v>46203</v>
      </c>
      <c r="K7" s="129" t="s">
        <v>1477</v>
      </c>
      <c r="L7" s="128" t="s">
        <v>85</v>
      </c>
      <c r="M7" s="132">
        <v>1</v>
      </c>
      <c r="N7" s="231"/>
    </row>
    <row r="8" spans="1:14" x14ac:dyDescent="0.3">
      <c r="A8" s="240" t="s">
        <v>358</v>
      </c>
      <c r="B8" s="232" t="s">
        <v>1471</v>
      </c>
      <c r="C8" s="233" t="s">
        <v>1486</v>
      </c>
      <c r="D8" s="225" t="s">
        <v>1473</v>
      </c>
      <c r="E8" s="225" t="s">
        <v>1484</v>
      </c>
      <c r="F8" s="225" t="s">
        <v>1475</v>
      </c>
      <c r="G8" s="236">
        <v>46204</v>
      </c>
      <c r="H8" s="236">
        <v>46210</v>
      </c>
      <c r="I8" s="237" t="s">
        <v>1487</v>
      </c>
      <c r="J8" s="236">
        <v>46210</v>
      </c>
      <c r="K8" s="225" t="s">
        <v>1488</v>
      </c>
      <c r="L8" s="226" t="s">
        <v>1489</v>
      </c>
      <c r="M8" s="227">
        <v>0.66700000000000004</v>
      </c>
      <c r="N8" s="228">
        <f>SUM(M8:M14)/4</f>
        <v>0.16675000000000001</v>
      </c>
    </row>
    <row r="9" spans="1:14" ht="28.8" customHeight="1" x14ac:dyDescent="0.3">
      <c r="A9" s="240" t="s">
        <v>358</v>
      </c>
      <c r="B9" s="232"/>
      <c r="C9" s="234"/>
      <c r="D9" s="225"/>
      <c r="E9" s="225"/>
      <c r="F9" s="225"/>
      <c r="G9" s="236"/>
      <c r="H9" s="236"/>
      <c r="I9" s="237"/>
      <c r="J9" s="236"/>
      <c r="K9" s="225"/>
      <c r="L9" s="226"/>
      <c r="M9" s="227"/>
      <c r="N9" s="228"/>
    </row>
    <row r="10" spans="1:14" x14ac:dyDescent="0.3">
      <c r="A10" s="240" t="s">
        <v>358</v>
      </c>
      <c r="B10" s="232"/>
      <c r="C10" s="234"/>
      <c r="D10" s="225"/>
      <c r="E10" s="225"/>
      <c r="F10" s="225"/>
      <c r="G10" s="236"/>
      <c r="H10" s="236"/>
      <c r="I10" s="237"/>
      <c r="J10" s="236"/>
      <c r="K10" s="225"/>
      <c r="L10" s="226"/>
      <c r="M10" s="227"/>
      <c r="N10" s="228"/>
    </row>
    <row r="11" spans="1:14" x14ac:dyDescent="0.3">
      <c r="A11" s="240" t="s">
        <v>358</v>
      </c>
      <c r="B11" s="232"/>
      <c r="C11" s="235"/>
      <c r="D11" s="225"/>
      <c r="E11" s="225"/>
      <c r="F11" s="225"/>
      <c r="G11" s="236"/>
      <c r="H11" s="236"/>
      <c r="I11" s="237"/>
      <c r="J11" s="236"/>
      <c r="K11" s="225"/>
      <c r="L11" s="226"/>
      <c r="M11" s="227"/>
      <c r="N11" s="228"/>
    </row>
    <row r="12" spans="1:14" x14ac:dyDescent="0.3">
      <c r="A12" s="240" t="s">
        <v>358</v>
      </c>
      <c r="B12" s="133" t="s">
        <v>1471</v>
      </c>
      <c r="C12" s="128" t="s">
        <v>1490</v>
      </c>
      <c r="D12" s="129" t="s">
        <v>1473</v>
      </c>
      <c r="E12" s="129" t="s">
        <v>1484</v>
      </c>
      <c r="F12" s="129" t="s">
        <v>1475</v>
      </c>
      <c r="G12" s="130">
        <v>46211</v>
      </c>
      <c r="H12" s="130">
        <v>46216</v>
      </c>
      <c r="I12" s="131" t="s">
        <v>1491</v>
      </c>
      <c r="J12" s="130">
        <v>46216</v>
      </c>
      <c r="K12" s="129" t="s">
        <v>1492</v>
      </c>
      <c r="L12" s="128" t="s">
        <v>1493</v>
      </c>
      <c r="M12" s="132">
        <v>0</v>
      </c>
      <c r="N12" s="228"/>
    </row>
    <row r="13" spans="1:14" x14ac:dyDescent="0.3">
      <c r="A13" s="240" t="s">
        <v>358</v>
      </c>
      <c r="B13" s="127" t="s">
        <v>1471</v>
      </c>
      <c r="C13" s="128" t="s">
        <v>1494</v>
      </c>
      <c r="D13" s="129" t="s">
        <v>1473</v>
      </c>
      <c r="E13" s="129" t="s">
        <v>1484</v>
      </c>
      <c r="F13" s="129" t="s">
        <v>1475</v>
      </c>
      <c r="G13" s="130">
        <v>46217</v>
      </c>
      <c r="H13" s="130">
        <v>46219</v>
      </c>
      <c r="I13" s="131" t="s">
        <v>1485</v>
      </c>
      <c r="J13" s="130">
        <v>46219</v>
      </c>
      <c r="K13" s="129" t="s">
        <v>1492</v>
      </c>
      <c r="L13" s="128" t="s">
        <v>1493</v>
      </c>
      <c r="M13" s="132">
        <v>0</v>
      </c>
      <c r="N13" s="228"/>
    </row>
    <row r="14" spans="1:14" x14ac:dyDescent="0.3">
      <c r="A14" s="240" t="s">
        <v>358</v>
      </c>
      <c r="B14" s="133" t="s">
        <v>1471</v>
      </c>
      <c r="C14" s="128" t="s">
        <v>1495</v>
      </c>
      <c r="D14" s="129" t="s">
        <v>1473</v>
      </c>
      <c r="E14" s="129" t="s">
        <v>1484</v>
      </c>
      <c r="F14" s="129" t="s">
        <v>1475</v>
      </c>
      <c r="G14" s="130">
        <v>46220</v>
      </c>
      <c r="H14" s="130">
        <v>46221</v>
      </c>
      <c r="I14" s="131" t="s">
        <v>1496</v>
      </c>
      <c r="J14" s="130">
        <v>46221</v>
      </c>
      <c r="K14" s="129" t="s">
        <v>1492</v>
      </c>
      <c r="L14" s="128" t="s">
        <v>1493</v>
      </c>
      <c r="M14" s="132">
        <v>0</v>
      </c>
      <c r="N14" s="228"/>
    </row>
    <row r="15" spans="1:14" x14ac:dyDescent="0.3">
      <c r="A15" s="240" t="s">
        <v>358</v>
      </c>
      <c r="B15" s="134" t="s">
        <v>1497</v>
      </c>
      <c r="C15" s="135" t="s">
        <v>1498</v>
      </c>
      <c r="D15" s="136" t="s">
        <v>1473</v>
      </c>
      <c r="E15" s="136" t="s">
        <v>1474</v>
      </c>
      <c r="F15" s="136" t="s">
        <v>1475</v>
      </c>
      <c r="G15" s="137">
        <v>46143</v>
      </c>
      <c r="H15" s="137">
        <v>46154</v>
      </c>
      <c r="I15" s="138" t="s">
        <v>1499</v>
      </c>
      <c r="J15" s="137">
        <v>46154</v>
      </c>
      <c r="K15" s="136" t="s">
        <v>1500</v>
      </c>
      <c r="L15" s="135" t="s">
        <v>85</v>
      </c>
      <c r="M15" s="139">
        <v>1</v>
      </c>
      <c r="N15" s="217">
        <f>SUM(M15:M19)/5</f>
        <v>1</v>
      </c>
    </row>
    <row r="16" spans="1:14" x14ac:dyDescent="0.3">
      <c r="A16" s="240" t="s">
        <v>358</v>
      </c>
      <c r="B16" s="140" t="s">
        <v>1497</v>
      </c>
      <c r="C16" s="135" t="s">
        <v>1501</v>
      </c>
      <c r="D16" s="136" t="s">
        <v>1473</v>
      </c>
      <c r="E16" s="136" t="s">
        <v>1474</v>
      </c>
      <c r="F16" s="136" t="s">
        <v>1475</v>
      </c>
      <c r="G16" s="137">
        <v>46155</v>
      </c>
      <c r="H16" s="137">
        <v>46166</v>
      </c>
      <c r="I16" s="138" t="s">
        <v>1499</v>
      </c>
      <c r="J16" s="137">
        <v>46166</v>
      </c>
      <c r="K16" s="136" t="s">
        <v>1500</v>
      </c>
      <c r="L16" s="135" t="s">
        <v>85</v>
      </c>
      <c r="M16" s="139">
        <v>1</v>
      </c>
      <c r="N16" s="217"/>
    </row>
    <row r="17" spans="1:14" x14ac:dyDescent="0.3">
      <c r="A17" s="240" t="s">
        <v>358</v>
      </c>
      <c r="B17" s="134" t="s">
        <v>1497</v>
      </c>
      <c r="C17" s="135" t="s">
        <v>1502</v>
      </c>
      <c r="D17" s="136" t="s">
        <v>1473</v>
      </c>
      <c r="E17" s="136" t="s">
        <v>1474</v>
      </c>
      <c r="F17" s="136" t="s">
        <v>1475</v>
      </c>
      <c r="G17" s="137">
        <v>46167</v>
      </c>
      <c r="H17" s="137">
        <v>46178</v>
      </c>
      <c r="I17" s="138" t="s">
        <v>1499</v>
      </c>
      <c r="J17" s="137">
        <v>46178</v>
      </c>
      <c r="K17" s="136" t="s">
        <v>1500</v>
      </c>
      <c r="L17" s="135" t="s">
        <v>85</v>
      </c>
      <c r="M17" s="139">
        <v>1</v>
      </c>
      <c r="N17" s="217"/>
    </row>
    <row r="18" spans="1:14" x14ac:dyDescent="0.3">
      <c r="A18" s="240" t="s">
        <v>358</v>
      </c>
      <c r="B18" s="140" t="s">
        <v>1497</v>
      </c>
      <c r="C18" s="135" t="s">
        <v>1503</v>
      </c>
      <c r="D18" s="136" t="s">
        <v>1473</v>
      </c>
      <c r="E18" s="136" t="s">
        <v>1474</v>
      </c>
      <c r="F18" s="136" t="s">
        <v>1475</v>
      </c>
      <c r="G18" s="137">
        <v>46179</v>
      </c>
      <c r="H18" s="137">
        <v>46190</v>
      </c>
      <c r="I18" s="138" t="s">
        <v>1499</v>
      </c>
      <c r="J18" s="137">
        <v>46190</v>
      </c>
      <c r="K18" s="136" t="s">
        <v>1500</v>
      </c>
      <c r="L18" s="135" t="s">
        <v>85</v>
      </c>
      <c r="M18" s="139">
        <v>1</v>
      </c>
      <c r="N18" s="217"/>
    </row>
    <row r="19" spans="1:14" x14ac:dyDescent="0.3">
      <c r="A19" s="240" t="s">
        <v>358</v>
      </c>
      <c r="B19" s="134" t="s">
        <v>1497</v>
      </c>
      <c r="C19" s="135" t="s">
        <v>1504</v>
      </c>
      <c r="D19" s="136" t="s">
        <v>1473</v>
      </c>
      <c r="E19" s="136" t="s">
        <v>1474</v>
      </c>
      <c r="F19" s="136" t="s">
        <v>1475</v>
      </c>
      <c r="G19" s="137">
        <v>46191</v>
      </c>
      <c r="H19" s="137">
        <v>46203</v>
      </c>
      <c r="I19" s="138" t="s">
        <v>1505</v>
      </c>
      <c r="J19" s="137">
        <v>46203</v>
      </c>
      <c r="K19" s="136" t="s">
        <v>1500</v>
      </c>
      <c r="L19" s="135" t="s">
        <v>85</v>
      </c>
      <c r="M19" s="139">
        <v>1</v>
      </c>
      <c r="N19" s="217"/>
    </row>
    <row r="20" spans="1:14" ht="15.6" customHeight="1" x14ac:dyDescent="0.3">
      <c r="A20" s="240" t="s">
        <v>358</v>
      </c>
      <c r="B20" s="229" t="s">
        <v>1497</v>
      </c>
      <c r="C20" s="135" t="s">
        <v>1506</v>
      </c>
      <c r="D20" s="230" t="s">
        <v>1473</v>
      </c>
      <c r="E20" s="230" t="s">
        <v>1484</v>
      </c>
      <c r="F20" s="230" t="s">
        <v>1475</v>
      </c>
      <c r="G20" s="221">
        <v>46204</v>
      </c>
      <c r="H20" s="221">
        <v>46210</v>
      </c>
      <c r="I20" s="222" t="s">
        <v>1487</v>
      </c>
      <c r="J20" s="221">
        <v>46210</v>
      </c>
      <c r="K20" s="223" t="s">
        <v>1507</v>
      </c>
      <c r="L20" s="223" t="s">
        <v>1489</v>
      </c>
      <c r="M20" s="224">
        <v>0.66700000000000004</v>
      </c>
      <c r="N20" s="217">
        <f>SUM(M20:M26)/4</f>
        <v>0.16675000000000001</v>
      </c>
    </row>
    <row r="21" spans="1:14" ht="28.8" x14ac:dyDescent="0.3">
      <c r="A21" s="240" t="s">
        <v>358</v>
      </c>
      <c r="B21" s="229"/>
      <c r="C21" s="135" t="s">
        <v>1508</v>
      </c>
      <c r="D21" s="230"/>
      <c r="E21" s="230"/>
      <c r="F21" s="230"/>
      <c r="G21" s="221"/>
      <c r="H21" s="221"/>
      <c r="I21" s="222"/>
      <c r="J21" s="221"/>
      <c r="K21" s="223"/>
      <c r="L21" s="223"/>
      <c r="M21" s="224"/>
      <c r="N21" s="217"/>
    </row>
    <row r="22" spans="1:14" x14ac:dyDescent="0.3">
      <c r="A22" s="240" t="s">
        <v>358</v>
      </c>
      <c r="B22" s="229"/>
      <c r="C22" s="135" t="s">
        <v>1509</v>
      </c>
      <c r="D22" s="230"/>
      <c r="E22" s="230"/>
      <c r="F22" s="230"/>
      <c r="G22" s="221"/>
      <c r="H22" s="221"/>
      <c r="I22" s="222"/>
      <c r="J22" s="221"/>
      <c r="K22" s="223"/>
      <c r="L22" s="223"/>
      <c r="M22" s="224"/>
      <c r="N22" s="217"/>
    </row>
    <row r="23" spans="1:14" x14ac:dyDescent="0.3">
      <c r="A23" s="240" t="s">
        <v>358</v>
      </c>
      <c r="B23" s="229"/>
      <c r="C23" s="135" t="s">
        <v>1510</v>
      </c>
      <c r="D23" s="230"/>
      <c r="E23" s="230"/>
      <c r="F23" s="230"/>
      <c r="G23" s="221"/>
      <c r="H23" s="221"/>
      <c r="I23" s="222"/>
      <c r="J23" s="221"/>
      <c r="K23" s="223"/>
      <c r="L23" s="223"/>
      <c r="M23" s="224"/>
      <c r="N23" s="217"/>
    </row>
    <row r="24" spans="1:14" ht="28.8" x14ac:dyDescent="0.3">
      <c r="A24" s="240" t="s">
        <v>358</v>
      </c>
      <c r="B24" s="134" t="s">
        <v>1497</v>
      </c>
      <c r="C24" s="135" t="s">
        <v>1511</v>
      </c>
      <c r="D24" s="136" t="s">
        <v>1473</v>
      </c>
      <c r="E24" s="136" t="s">
        <v>1484</v>
      </c>
      <c r="F24" s="136" t="s">
        <v>1475</v>
      </c>
      <c r="G24" s="137">
        <v>46211</v>
      </c>
      <c r="H24" s="137">
        <v>46216</v>
      </c>
      <c r="I24" s="138" t="s">
        <v>1491</v>
      </c>
      <c r="J24" s="137">
        <v>46216</v>
      </c>
      <c r="K24" s="135" t="s">
        <v>1512</v>
      </c>
      <c r="L24" s="135" t="s">
        <v>1493</v>
      </c>
      <c r="M24" s="139">
        <v>0</v>
      </c>
      <c r="N24" s="217"/>
    </row>
    <row r="25" spans="1:14" ht="28.8" x14ac:dyDescent="0.3">
      <c r="A25" s="240" t="s">
        <v>358</v>
      </c>
      <c r="B25" s="140" t="s">
        <v>1497</v>
      </c>
      <c r="C25" s="135" t="s">
        <v>1513</v>
      </c>
      <c r="D25" s="136" t="s">
        <v>1473</v>
      </c>
      <c r="E25" s="136" t="s">
        <v>1484</v>
      </c>
      <c r="F25" s="136" t="s">
        <v>1475</v>
      </c>
      <c r="G25" s="137">
        <v>46217</v>
      </c>
      <c r="H25" s="137">
        <v>46219</v>
      </c>
      <c r="I25" s="138" t="s">
        <v>1485</v>
      </c>
      <c r="J25" s="137">
        <v>46219</v>
      </c>
      <c r="K25" s="135" t="s">
        <v>1512</v>
      </c>
      <c r="L25" s="135" t="s">
        <v>1493</v>
      </c>
      <c r="M25" s="139">
        <v>0</v>
      </c>
      <c r="N25" s="217"/>
    </row>
    <row r="26" spans="1:14" ht="28.8" x14ac:dyDescent="0.3">
      <c r="A26" s="240" t="s">
        <v>358</v>
      </c>
      <c r="B26" s="134" t="s">
        <v>1497</v>
      </c>
      <c r="C26" s="135" t="s">
        <v>1514</v>
      </c>
      <c r="D26" s="136" t="s">
        <v>1473</v>
      </c>
      <c r="E26" s="136" t="s">
        <v>1484</v>
      </c>
      <c r="F26" s="136" t="s">
        <v>1475</v>
      </c>
      <c r="G26" s="137">
        <v>46220</v>
      </c>
      <c r="H26" s="137">
        <v>46221</v>
      </c>
      <c r="I26" s="138" t="s">
        <v>1496</v>
      </c>
      <c r="J26" s="137">
        <v>46221</v>
      </c>
      <c r="K26" s="135" t="s">
        <v>1512</v>
      </c>
      <c r="L26" s="135" t="s">
        <v>1493</v>
      </c>
      <c r="M26" s="139">
        <v>0</v>
      </c>
      <c r="N26" s="217"/>
    </row>
    <row r="27" spans="1:14" x14ac:dyDescent="0.3">
      <c r="A27" s="240" t="s">
        <v>358</v>
      </c>
      <c r="B27" s="141" t="s">
        <v>1515</v>
      </c>
      <c r="C27" s="142" t="s">
        <v>1516</v>
      </c>
      <c r="D27" s="143" t="s">
        <v>1473</v>
      </c>
      <c r="E27" s="143" t="s">
        <v>1484</v>
      </c>
      <c r="F27" s="143" t="s">
        <v>1475</v>
      </c>
      <c r="G27" s="144">
        <v>46143</v>
      </c>
      <c r="H27" s="144">
        <v>46149</v>
      </c>
      <c r="I27" s="145" t="s">
        <v>1487</v>
      </c>
      <c r="J27" s="144">
        <v>46149</v>
      </c>
      <c r="K27" s="143" t="s">
        <v>1517</v>
      </c>
      <c r="L27" s="142" t="s">
        <v>85</v>
      </c>
      <c r="M27" s="146">
        <v>1</v>
      </c>
      <c r="N27" s="210">
        <f>SUM(M27:M34)/8</f>
        <v>1</v>
      </c>
    </row>
    <row r="28" spans="1:14" x14ac:dyDescent="0.3">
      <c r="A28" s="240" t="s">
        <v>358</v>
      </c>
      <c r="B28" s="147" t="s">
        <v>1515</v>
      </c>
      <c r="C28" s="142" t="s">
        <v>1518</v>
      </c>
      <c r="D28" s="143" t="s">
        <v>1473</v>
      </c>
      <c r="E28" s="143" t="s">
        <v>1484</v>
      </c>
      <c r="F28" s="143" t="s">
        <v>1475</v>
      </c>
      <c r="G28" s="144">
        <v>46150</v>
      </c>
      <c r="H28" s="144">
        <v>46156</v>
      </c>
      <c r="I28" s="145" t="s">
        <v>1487</v>
      </c>
      <c r="J28" s="144">
        <v>46156</v>
      </c>
      <c r="K28" s="143" t="s">
        <v>1517</v>
      </c>
      <c r="L28" s="142" t="s">
        <v>85</v>
      </c>
      <c r="M28" s="146">
        <v>1</v>
      </c>
      <c r="N28" s="210"/>
    </row>
    <row r="29" spans="1:14" x14ac:dyDescent="0.3">
      <c r="A29" s="240" t="s">
        <v>358</v>
      </c>
      <c r="B29" s="141" t="s">
        <v>1515</v>
      </c>
      <c r="C29" s="142" t="s">
        <v>1519</v>
      </c>
      <c r="D29" s="143" t="s">
        <v>1473</v>
      </c>
      <c r="E29" s="143" t="s">
        <v>1484</v>
      </c>
      <c r="F29" s="143" t="s">
        <v>1475</v>
      </c>
      <c r="G29" s="144">
        <v>46157</v>
      </c>
      <c r="H29" s="144">
        <v>46163</v>
      </c>
      <c r="I29" s="145" t="s">
        <v>1487</v>
      </c>
      <c r="J29" s="144">
        <v>46163</v>
      </c>
      <c r="K29" s="143" t="s">
        <v>1517</v>
      </c>
      <c r="L29" s="142" t="s">
        <v>85</v>
      </c>
      <c r="M29" s="146">
        <v>1</v>
      </c>
      <c r="N29" s="210"/>
    </row>
    <row r="30" spans="1:14" x14ac:dyDescent="0.3">
      <c r="A30" s="240" t="s">
        <v>358</v>
      </c>
      <c r="B30" s="147" t="s">
        <v>1515</v>
      </c>
      <c r="C30" s="142" t="s">
        <v>1520</v>
      </c>
      <c r="D30" s="143" t="s">
        <v>1473</v>
      </c>
      <c r="E30" s="143" t="s">
        <v>1484</v>
      </c>
      <c r="F30" s="143" t="s">
        <v>1475</v>
      </c>
      <c r="G30" s="144">
        <v>46164</v>
      </c>
      <c r="H30" s="144">
        <v>46170</v>
      </c>
      <c r="I30" s="145" t="s">
        <v>1487</v>
      </c>
      <c r="J30" s="144">
        <v>46170</v>
      </c>
      <c r="K30" s="143" t="s">
        <v>1517</v>
      </c>
      <c r="L30" s="142" t="s">
        <v>85</v>
      </c>
      <c r="M30" s="146">
        <v>1</v>
      </c>
      <c r="N30" s="210"/>
    </row>
    <row r="31" spans="1:14" x14ac:dyDescent="0.3">
      <c r="A31" s="240" t="s">
        <v>358</v>
      </c>
      <c r="B31" s="141" t="s">
        <v>1515</v>
      </c>
      <c r="C31" s="142" t="s">
        <v>1521</v>
      </c>
      <c r="D31" s="143" t="s">
        <v>1473</v>
      </c>
      <c r="E31" s="143" t="s">
        <v>1484</v>
      </c>
      <c r="F31" s="143" t="s">
        <v>1475</v>
      </c>
      <c r="G31" s="144">
        <v>46171</v>
      </c>
      <c r="H31" s="144">
        <v>46177</v>
      </c>
      <c r="I31" s="145" t="s">
        <v>1487</v>
      </c>
      <c r="J31" s="144">
        <v>46177</v>
      </c>
      <c r="K31" s="143" t="s">
        <v>1517</v>
      </c>
      <c r="L31" s="142" t="s">
        <v>85</v>
      </c>
      <c r="M31" s="146">
        <v>1</v>
      </c>
      <c r="N31" s="210"/>
    </row>
    <row r="32" spans="1:14" x14ac:dyDescent="0.3">
      <c r="A32" s="240" t="s">
        <v>358</v>
      </c>
      <c r="B32" s="147" t="s">
        <v>1515</v>
      </c>
      <c r="C32" s="142" t="s">
        <v>1522</v>
      </c>
      <c r="D32" s="143" t="s">
        <v>1473</v>
      </c>
      <c r="E32" s="143" t="s">
        <v>1484</v>
      </c>
      <c r="F32" s="143" t="s">
        <v>1475</v>
      </c>
      <c r="G32" s="144">
        <v>46178</v>
      </c>
      <c r="H32" s="144">
        <v>46184</v>
      </c>
      <c r="I32" s="145" t="s">
        <v>1487</v>
      </c>
      <c r="J32" s="144">
        <v>46184</v>
      </c>
      <c r="K32" s="143" t="s">
        <v>1517</v>
      </c>
      <c r="L32" s="142" t="s">
        <v>1489</v>
      </c>
      <c r="M32" s="146">
        <v>1</v>
      </c>
      <c r="N32" s="210"/>
    </row>
    <row r="33" spans="1:14" x14ac:dyDescent="0.3">
      <c r="A33" s="240" t="s">
        <v>358</v>
      </c>
      <c r="B33" s="141" t="s">
        <v>1515</v>
      </c>
      <c r="C33" s="142" t="s">
        <v>1523</v>
      </c>
      <c r="D33" s="143" t="s">
        <v>1473</v>
      </c>
      <c r="E33" s="143" t="s">
        <v>1484</v>
      </c>
      <c r="F33" s="143" t="s">
        <v>1475</v>
      </c>
      <c r="G33" s="144">
        <v>46185</v>
      </c>
      <c r="H33" s="144">
        <v>46191</v>
      </c>
      <c r="I33" s="145" t="s">
        <v>1487</v>
      </c>
      <c r="J33" s="144">
        <v>46191</v>
      </c>
      <c r="K33" s="143" t="s">
        <v>1517</v>
      </c>
      <c r="L33" s="142" t="s">
        <v>1489</v>
      </c>
      <c r="M33" s="146">
        <v>1</v>
      </c>
      <c r="N33" s="210"/>
    </row>
    <row r="34" spans="1:14" x14ac:dyDescent="0.3">
      <c r="A34" s="240" t="s">
        <v>358</v>
      </c>
      <c r="B34" s="147" t="s">
        <v>1515</v>
      </c>
      <c r="C34" s="142" t="s">
        <v>1524</v>
      </c>
      <c r="D34" s="143" t="s">
        <v>1473</v>
      </c>
      <c r="E34" s="143" t="s">
        <v>1484</v>
      </c>
      <c r="F34" s="143" t="s">
        <v>1475</v>
      </c>
      <c r="G34" s="144">
        <v>46192</v>
      </c>
      <c r="H34" s="144">
        <v>46203</v>
      </c>
      <c r="I34" s="145" t="s">
        <v>1499</v>
      </c>
      <c r="J34" s="144">
        <v>46203</v>
      </c>
      <c r="K34" s="143" t="s">
        <v>1525</v>
      </c>
      <c r="L34" s="142" t="s">
        <v>1489</v>
      </c>
      <c r="M34" s="146">
        <v>1</v>
      </c>
      <c r="N34" s="210"/>
    </row>
    <row r="35" spans="1:14" x14ac:dyDescent="0.3">
      <c r="A35" s="240" t="s">
        <v>358</v>
      </c>
      <c r="B35" s="218" t="s">
        <v>1515</v>
      </c>
      <c r="C35" s="142" t="s">
        <v>1526</v>
      </c>
      <c r="D35" s="207" t="s">
        <v>1473</v>
      </c>
      <c r="E35" s="207" t="s">
        <v>1484</v>
      </c>
      <c r="F35" s="207" t="s">
        <v>1475</v>
      </c>
      <c r="G35" s="219">
        <v>46204</v>
      </c>
      <c r="H35" s="219">
        <v>46210</v>
      </c>
      <c r="I35" s="220" t="s">
        <v>1487</v>
      </c>
      <c r="J35" s="219">
        <v>46210</v>
      </c>
      <c r="K35" s="207" t="s">
        <v>1527</v>
      </c>
      <c r="L35" s="208" t="s">
        <v>1493</v>
      </c>
      <c r="M35" s="209">
        <v>0</v>
      </c>
      <c r="N35" s="210">
        <v>0</v>
      </c>
    </row>
    <row r="36" spans="1:14" ht="28.8" x14ac:dyDescent="0.3">
      <c r="A36" s="240" t="s">
        <v>358</v>
      </c>
      <c r="B36" s="218"/>
      <c r="C36" s="142" t="s">
        <v>1508</v>
      </c>
      <c r="D36" s="207"/>
      <c r="E36" s="207"/>
      <c r="F36" s="207"/>
      <c r="G36" s="219"/>
      <c r="H36" s="219"/>
      <c r="I36" s="220"/>
      <c r="J36" s="219"/>
      <c r="K36" s="207"/>
      <c r="L36" s="208"/>
      <c r="M36" s="209"/>
      <c r="N36" s="210"/>
    </row>
    <row r="37" spans="1:14" x14ac:dyDescent="0.3">
      <c r="A37" s="240" t="s">
        <v>358</v>
      </c>
      <c r="B37" s="218"/>
      <c r="C37" s="142" t="s">
        <v>1509</v>
      </c>
      <c r="D37" s="207"/>
      <c r="E37" s="207"/>
      <c r="F37" s="207"/>
      <c r="G37" s="219"/>
      <c r="H37" s="219"/>
      <c r="I37" s="220"/>
      <c r="J37" s="219"/>
      <c r="K37" s="207"/>
      <c r="L37" s="208"/>
      <c r="M37" s="209"/>
      <c r="N37" s="210"/>
    </row>
    <row r="38" spans="1:14" x14ac:dyDescent="0.3">
      <c r="A38" s="240" t="s">
        <v>358</v>
      </c>
      <c r="B38" s="218"/>
      <c r="C38" s="142" t="s">
        <v>1510</v>
      </c>
      <c r="D38" s="207"/>
      <c r="E38" s="207"/>
      <c r="F38" s="207"/>
      <c r="G38" s="219"/>
      <c r="H38" s="219"/>
      <c r="I38" s="220"/>
      <c r="J38" s="219"/>
      <c r="K38" s="207"/>
      <c r="L38" s="208"/>
      <c r="M38" s="209"/>
      <c r="N38" s="210"/>
    </row>
    <row r="39" spans="1:14" x14ac:dyDescent="0.3">
      <c r="A39" s="240" t="s">
        <v>358</v>
      </c>
      <c r="B39" s="147" t="s">
        <v>1515</v>
      </c>
      <c r="C39" s="142" t="s">
        <v>1528</v>
      </c>
      <c r="D39" s="143" t="s">
        <v>1473</v>
      </c>
      <c r="E39" s="143" t="s">
        <v>1484</v>
      </c>
      <c r="F39" s="143" t="s">
        <v>1475</v>
      </c>
      <c r="G39" s="144">
        <v>46211</v>
      </c>
      <c r="H39" s="144">
        <v>46216</v>
      </c>
      <c r="I39" s="145" t="s">
        <v>1491</v>
      </c>
      <c r="J39" s="144">
        <v>46216</v>
      </c>
      <c r="K39" s="143" t="s">
        <v>1529</v>
      </c>
      <c r="L39" s="142" t="s">
        <v>1493</v>
      </c>
      <c r="M39" s="146">
        <v>0</v>
      </c>
      <c r="N39" s="210"/>
    </row>
    <row r="40" spans="1:14" x14ac:dyDescent="0.3">
      <c r="A40" s="240" t="s">
        <v>358</v>
      </c>
      <c r="B40" s="141" t="s">
        <v>1515</v>
      </c>
      <c r="C40" s="142" t="s">
        <v>1530</v>
      </c>
      <c r="D40" s="143" t="s">
        <v>1473</v>
      </c>
      <c r="E40" s="143" t="s">
        <v>1484</v>
      </c>
      <c r="F40" s="143" t="s">
        <v>1475</v>
      </c>
      <c r="G40" s="144">
        <v>46217</v>
      </c>
      <c r="H40" s="144">
        <v>46219</v>
      </c>
      <c r="I40" s="145" t="s">
        <v>1485</v>
      </c>
      <c r="J40" s="144">
        <v>46219</v>
      </c>
      <c r="K40" s="143" t="s">
        <v>1529</v>
      </c>
      <c r="L40" s="142" t="s">
        <v>1493</v>
      </c>
      <c r="M40" s="146">
        <v>0</v>
      </c>
      <c r="N40" s="210"/>
    </row>
    <row r="41" spans="1:14" x14ac:dyDescent="0.3">
      <c r="A41" s="240" t="s">
        <v>358</v>
      </c>
      <c r="B41" s="147" t="s">
        <v>1515</v>
      </c>
      <c r="C41" s="142" t="s">
        <v>1531</v>
      </c>
      <c r="D41" s="143" t="s">
        <v>1473</v>
      </c>
      <c r="E41" s="143" t="s">
        <v>1484</v>
      </c>
      <c r="F41" s="143" t="s">
        <v>1475</v>
      </c>
      <c r="G41" s="144">
        <v>46220</v>
      </c>
      <c r="H41" s="144">
        <v>46221</v>
      </c>
      <c r="I41" s="145" t="s">
        <v>1496</v>
      </c>
      <c r="J41" s="144">
        <v>46221</v>
      </c>
      <c r="K41" s="143" t="s">
        <v>1529</v>
      </c>
      <c r="L41" s="142" t="s">
        <v>1493</v>
      </c>
      <c r="M41" s="146">
        <v>0</v>
      </c>
      <c r="N41" s="210"/>
    </row>
    <row r="42" spans="1:14" x14ac:dyDescent="0.3">
      <c r="A42" s="240" t="s">
        <v>358</v>
      </c>
      <c r="B42" s="148" t="s">
        <v>1532</v>
      </c>
      <c r="C42" s="149" t="s">
        <v>1533</v>
      </c>
      <c r="D42" s="148" t="s">
        <v>1473</v>
      </c>
      <c r="E42" s="148" t="s">
        <v>1534</v>
      </c>
      <c r="F42" s="148" t="s">
        <v>1475</v>
      </c>
      <c r="G42" s="150">
        <v>46143</v>
      </c>
      <c r="H42" s="150">
        <v>46146</v>
      </c>
      <c r="I42" s="151" t="s">
        <v>1535</v>
      </c>
      <c r="J42" s="150">
        <v>46146</v>
      </c>
      <c r="K42" s="148" t="s">
        <v>1536</v>
      </c>
      <c r="L42" s="149" t="s">
        <v>1489</v>
      </c>
      <c r="M42" s="152">
        <v>1</v>
      </c>
      <c r="N42" s="211">
        <f>SUM(M42:M45)/4</f>
        <v>0.95</v>
      </c>
    </row>
    <row r="43" spans="1:14" ht="28.8" x14ac:dyDescent="0.3">
      <c r="A43" s="240" t="s">
        <v>358</v>
      </c>
      <c r="B43" s="148" t="s">
        <v>1532</v>
      </c>
      <c r="C43" s="149" t="s">
        <v>1537</v>
      </c>
      <c r="D43" s="148" t="s">
        <v>1473</v>
      </c>
      <c r="E43" s="148" t="s">
        <v>1534</v>
      </c>
      <c r="F43" s="148" t="s">
        <v>1475</v>
      </c>
      <c r="G43" s="150">
        <v>46147</v>
      </c>
      <c r="H43" s="150">
        <v>46150</v>
      </c>
      <c r="I43" s="151" t="s">
        <v>1535</v>
      </c>
      <c r="J43" s="150">
        <v>46150</v>
      </c>
      <c r="K43" s="148" t="s">
        <v>1536</v>
      </c>
      <c r="L43" s="149" t="s">
        <v>1489</v>
      </c>
      <c r="M43" s="152">
        <v>0.8</v>
      </c>
      <c r="N43" s="212"/>
    </row>
    <row r="44" spans="1:14" ht="28.8" x14ac:dyDescent="0.3">
      <c r="A44" s="240" t="s">
        <v>358</v>
      </c>
      <c r="B44" s="148" t="s">
        <v>1532</v>
      </c>
      <c r="C44" s="153" t="s">
        <v>1538</v>
      </c>
      <c r="D44" s="154" t="s">
        <v>1473</v>
      </c>
      <c r="E44" s="154" t="s">
        <v>1534</v>
      </c>
      <c r="F44" s="154" t="s">
        <v>1475</v>
      </c>
      <c r="G44" s="155">
        <v>46151</v>
      </c>
      <c r="H44" s="155">
        <v>46154</v>
      </c>
      <c r="I44" s="156" t="s">
        <v>1535</v>
      </c>
      <c r="J44" s="155">
        <v>46154</v>
      </c>
      <c r="K44" s="154" t="s">
        <v>1536</v>
      </c>
      <c r="L44" s="153" t="s">
        <v>1489</v>
      </c>
      <c r="M44" s="157">
        <v>1</v>
      </c>
      <c r="N44" s="212"/>
    </row>
    <row r="45" spans="1:14" x14ac:dyDescent="0.3">
      <c r="A45" s="240" t="s">
        <v>358</v>
      </c>
      <c r="B45" s="148" t="s">
        <v>1532</v>
      </c>
      <c r="C45" s="153" t="s">
        <v>1539</v>
      </c>
      <c r="D45" s="154" t="s">
        <v>1473</v>
      </c>
      <c r="E45" s="154" t="s">
        <v>1534</v>
      </c>
      <c r="F45" s="154" t="s">
        <v>1475</v>
      </c>
      <c r="G45" s="155">
        <v>46155</v>
      </c>
      <c r="H45" s="155">
        <v>46158</v>
      </c>
      <c r="I45" s="156" t="s">
        <v>1535</v>
      </c>
      <c r="J45" s="155">
        <v>46158</v>
      </c>
      <c r="K45" s="154" t="s">
        <v>1536</v>
      </c>
      <c r="L45" s="153" t="s">
        <v>1489</v>
      </c>
      <c r="M45" s="157">
        <v>1</v>
      </c>
      <c r="N45" s="213"/>
    </row>
    <row r="46" spans="1:14" x14ac:dyDescent="0.3">
      <c r="A46" s="240" t="s">
        <v>358</v>
      </c>
      <c r="B46" s="158" t="s">
        <v>88</v>
      </c>
      <c r="C46" s="159" t="s">
        <v>1540</v>
      </c>
      <c r="D46" s="158" t="s">
        <v>1473</v>
      </c>
      <c r="E46" s="158" t="s">
        <v>1534</v>
      </c>
      <c r="F46" s="158" t="s">
        <v>1475</v>
      </c>
      <c r="G46" s="160">
        <v>46159</v>
      </c>
      <c r="H46" s="160">
        <v>46162</v>
      </c>
      <c r="I46" s="161" t="s">
        <v>1535</v>
      </c>
      <c r="J46" s="160">
        <v>46162</v>
      </c>
      <c r="K46" s="158" t="s">
        <v>1536</v>
      </c>
      <c r="L46" s="159" t="s">
        <v>1489</v>
      </c>
      <c r="M46" s="162">
        <v>1</v>
      </c>
      <c r="N46" s="214">
        <f>SUM(M46:M54)/9</f>
        <v>0.55555555555555558</v>
      </c>
    </row>
    <row r="47" spans="1:14" x14ac:dyDescent="0.3">
      <c r="A47" s="240" t="s">
        <v>358</v>
      </c>
      <c r="B47" s="158" t="s">
        <v>88</v>
      </c>
      <c r="C47" s="159" t="s">
        <v>1541</v>
      </c>
      <c r="D47" s="158" t="s">
        <v>1473</v>
      </c>
      <c r="E47" s="158" t="s">
        <v>1534</v>
      </c>
      <c r="F47" s="158" t="s">
        <v>1475</v>
      </c>
      <c r="G47" s="160">
        <v>46163</v>
      </c>
      <c r="H47" s="160">
        <v>46166</v>
      </c>
      <c r="I47" s="161" t="s">
        <v>1535</v>
      </c>
      <c r="J47" s="160">
        <v>46166</v>
      </c>
      <c r="K47" s="158" t="s">
        <v>1536</v>
      </c>
      <c r="L47" s="159" t="s">
        <v>1489</v>
      </c>
      <c r="M47" s="162">
        <v>0.7</v>
      </c>
      <c r="N47" s="215"/>
    </row>
    <row r="48" spans="1:14" x14ac:dyDescent="0.3">
      <c r="A48" s="240" t="s">
        <v>358</v>
      </c>
      <c r="B48" s="158" t="s">
        <v>88</v>
      </c>
      <c r="C48" s="159" t="s">
        <v>1542</v>
      </c>
      <c r="D48" s="158" t="s">
        <v>1473</v>
      </c>
      <c r="E48" s="158" t="s">
        <v>1534</v>
      </c>
      <c r="F48" s="158" t="s">
        <v>1475</v>
      </c>
      <c r="G48" s="160">
        <v>46167</v>
      </c>
      <c r="H48" s="160">
        <v>46170</v>
      </c>
      <c r="I48" s="161" t="s">
        <v>1535</v>
      </c>
      <c r="J48" s="160">
        <v>46170</v>
      </c>
      <c r="K48" s="158" t="s">
        <v>1536</v>
      </c>
      <c r="L48" s="159" t="s">
        <v>1489</v>
      </c>
      <c r="M48" s="162">
        <v>0.7</v>
      </c>
      <c r="N48" s="215"/>
    </row>
    <row r="49" spans="1:16" ht="28.8" x14ac:dyDescent="0.3">
      <c r="A49" s="240" t="s">
        <v>358</v>
      </c>
      <c r="B49" s="158" t="s">
        <v>88</v>
      </c>
      <c r="C49" s="159" t="s">
        <v>1543</v>
      </c>
      <c r="D49" s="158" t="s">
        <v>1473</v>
      </c>
      <c r="E49" s="158" t="s">
        <v>1534</v>
      </c>
      <c r="F49" s="158" t="s">
        <v>1475</v>
      </c>
      <c r="G49" s="160">
        <v>46171</v>
      </c>
      <c r="H49" s="160">
        <v>46174</v>
      </c>
      <c r="I49" s="161" t="s">
        <v>1535</v>
      </c>
      <c r="J49" s="160">
        <v>46174</v>
      </c>
      <c r="K49" s="158" t="s">
        <v>1536</v>
      </c>
      <c r="L49" s="159" t="s">
        <v>1489</v>
      </c>
      <c r="M49" s="162">
        <v>0.5</v>
      </c>
      <c r="N49" s="215"/>
    </row>
    <row r="50" spans="1:16" ht="28.8" x14ac:dyDescent="0.3">
      <c r="A50" s="240" t="s">
        <v>358</v>
      </c>
      <c r="B50" s="158" t="s">
        <v>88</v>
      </c>
      <c r="C50" s="159" t="s">
        <v>1544</v>
      </c>
      <c r="D50" s="158" t="s">
        <v>1473</v>
      </c>
      <c r="E50" s="158" t="s">
        <v>1534</v>
      </c>
      <c r="F50" s="158" t="s">
        <v>1475</v>
      </c>
      <c r="G50" s="160">
        <v>46175</v>
      </c>
      <c r="H50" s="160">
        <v>46178</v>
      </c>
      <c r="I50" s="161" t="s">
        <v>1535</v>
      </c>
      <c r="J50" s="160">
        <v>46178</v>
      </c>
      <c r="K50" s="158" t="s">
        <v>1536</v>
      </c>
      <c r="L50" s="159" t="s">
        <v>1489</v>
      </c>
      <c r="M50" s="162">
        <v>0.5</v>
      </c>
      <c r="N50" s="215"/>
    </row>
    <row r="51" spans="1:16" x14ac:dyDescent="0.3">
      <c r="A51" s="240" t="s">
        <v>358</v>
      </c>
      <c r="B51" s="158" t="s">
        <v>88</v>
      </c>
      <c r="C51" s="159" t="s">
        <v>1545</v>
      </c>
      <c r="D51" s="158" t="s">
        <v>1473</v>
      </c>
      <c r="E51" s="158" t="s">
        <v>1534</v>
      </c>
      <c r="F51" s="158" t="s">
        <v>1475</v>
      </c>
      <c r="G51" s="160">
        <v>46179</v>
      </c>
      <c r="H51" s="160">
        <v>46182</v>
      </c>
      <c r="I51" s="161" t="s">
        <v>1535</v>
      </c>
      <c r="J51" s="160">
        <v>46182</v>
      </c>
      <c r="K51" s="158" t="s">
        <v>1536</v>
      </c>
      <c r="L51" s="159" t="s">
        <v>1489</v>
      </c>
      <c r="M51" s="162">
        <v>0.5</v>
      </c>
      <c r="N51" s="215"/>
    </row>
    <row r="52" spans="1:16" x14ac:dyDescent="0.3">
      <c r="A52" s="240" t="s">
        <v>358</v>
      </c>
      <c r="B52" s="158" t="s">
        <v>88</v>
      </c>
      <c r="C52" s="159" t="s">
        <v>1546</v>
      </c>
      <c r="D52" s="158" t="s">
        <v>1473</v>
      </c>
      <c r="E52" s="158" t="s">
        <v>1534</v>
      </c>
      <c r="F52" s="158" t="s">
        <v>1475</v>
      </c>
      <c r="G52" s="160">
        <v>46183</v>
      </c>
      <c r="H52" s="160">
        <v>46186</v>
      </c>
      <c r="I52" s="161" t="s">
        <v>1535</v>
      </c>
      <c r="J52" s="160">
        <v>46186</v>
      </c>
      <c r="K52" s="158" t="s">
        <v>1536</v>
      </c>
      <c r="L52" s="159" t="s">
        <v>1489</v>
      </c>
      <c r="M52" s="162">
        <v>0.5</v>
      </c>
      <c r="N52" s="215"/>
    </row>
    <row r="53" spans="1:16" x14ac:dyDescent="0.3">
      <c r="A53" s="240" t="s">
        <v>358</v>
      </c>
      <c r="B53" s="158" t="s">
        <v>88</v>
      </c>
      <c r="C53" s="159" t="s">
        <v>1547</v>
      </c>
      <c r="D53" s="158" t="s">
        <v>1473</v>
      </c>
      <c r="E53" s="158" t="s">
        <v>1534</v>
      </c>
      <c r="F53" s="158" t="s">
        <v>1475</v>
      </c>
      <c r="G53" s="160">
        <v>46187</v>
      </c>
      <c r="H53" s="160">
        <v>46190</v>
      </c>
      <c r="I53" s="161" t="s">
        <v>1535</v>
      </c>
      <c r="J53" s="160">
        <v>46190</v>
      </c>
      <c r="K53" s="158" t="s">
        <v>1536</v>
      </c>
      <c r="L53" s="159" t="s">
        <v>1489</v>
      </c>
      <c r="M53" s="162">
        <v>0.3</v>
      </c>
      <c r="N53" s="215"/>
    </row>
    <row r="54" spans="1:16" ht="28.8" x14ac:dyDescent="0.3">
      <c r="A54" s="240" t="s">
        <v>358</v>
      </c>
      <c r="B54" s="158" t="s">
        <v>88</v>
      </c>
      <c r="C54" s="159" t="s">
        <v>1548</v>
      </c>
      <c r="D54" s="158" t="s">
        <v>1473</v>
      </c>
      <c r="E54" s="158" t="s">
        <v>1534</v>
      </c>
      <c r="F54" s="158" t="s">
        <v>1475</v>
      </c>
      <c r="G54" s="160">
        <v>46191</v>
      </c>
      <c r="H54" s="160">
        <v>46203</v>
      </c>
      <c r="I54" s="161" t="s">
        <v>1505</v>
      </c>
      <c r="J54" s="160">
        <v>46203</v>
      </c>
      <c r="K54" s="158" t="s">
        <v>1536</v>
      </c>
      <c r="L54" s="159" t="s">
        <v>1489</v>
      </c>
      <c r="M54" s="162">
        <v>0.3</v>
      </c>
      <c r="N54" s="216"/>
    </row>
    <row r="55" spans="1:16" x14ac:dyDescent="0.3">
      <c r="A55" s="240" t="s">
        <v>358</v>
      </c>
      <c r="B55" s="206" t="s">
        <v>88</v>
      </c>
      <c r="C55" s="159" t="s">
        <v>1549</v>
      </c>
      <c r="D55" s="206" t="s">
        <v>1473</v>
      </c>
      <c r="E55" s="206" t="s">
        <v>1534</v>
      </c>
      <c r="F55" s="206" t="s">
        <v>1475</v>
      </c>
      <c r="G55" s="202">
        <v>46204</v>
      </c>
      <c r="H55" s="202">
        <v>46210</v>
      </c>
      <c r="I55" s="201" t="s">
        <v>1487</v>
      </c>
      <c r="J55" s="202">
        <v>46210</v>
      </c>
      <c r="K55" s="203" t="s">
        <v>1550</v>
      </c>
      <c r="L55" s="203" t="s">
        <v>1493</v>
      </c>
      <c r="M55" s="204">
        <v>0</v>
      </c>
      <c r="N55" s="205">
        <v>0</v>
      </c>
    </row>
    <row r="56" spans="1:16" ht="28.8" x14ac:dyDescent="0.3">
      <c r="A56" s="240" t="s">
        <v>358</v>
      </c>
      <c r="B56" s="206"/>
      <c r="C56" s="159" t="s">
        <v>1508</v>
      </c>
      <c r="D56" s="206"/>
      <c r="E56" s="206"/>
      <c r="F56" s="206"/>
      <c r="G56" s="202"/>
      <c r="H56" s="202"/>
      <c r="I56" s="201"/>
      <c r="J56" s="202"/>
      <c r="K56" s="203"/>
      <c r="L56" s="203"/>
      <c r="M56" s="204"/>
      <c r="N56" s="205"/>
      <c r="O56" s="163">
        <f>SUM(M8,M20,M35,M55)/4</f>
        <v>0.33350000000000002</v>
      </c>
      <c r="P56" s="87" t="s">
        <v>1551</v>
      </c>
    </row>
    <row r="57" spans="1:16" x14ac:dyDescent="0.3">
      <c r="A57" s="240" t="s">
        <v>358</v>
      </c>
      <c r="B57" s="206"/>
      <c r="C57" s="159" t="s">
        <v>1509</v>
      </c>
      <c r="D57" s="206"/>
      <c r="E57" s="206"/>
      <c r="F57" s="206"/>
      <c r="G57" s="202"/>
      <c r="H57" s="202"/>
      <c r="I57" s="201"/>
      <c r="J57" s="202"/>
      <c r="K57" s="203"/>
      <c r="L57" s="203"/>
      <c r="M57" s="204"/>
      <c r="N57" s="205"/>
    </row>
    <row r="58" spans="1:16" x14ac:dyDescent="0.3">
      <c r="A58" s="240" t="s">
        <v>358</v>
      </c>
      <c r="B58" s="206"/>
      <c r="C58" s="159" t="s">
        <v>1510</v>
      </c>
      <c r="D58" s="206"/>
      <c r="E58" s="206"/>
      <c r="F58" s="206"/>
      <c r="G58" s="202"/>
      <c r="H58" s="202"/>
      <c r="I58" s="201"/>
      <c r="J58" s="202"/>
      <c r="K58" s="203"/>
      <c r="L58" s="203"/>
      <c r="M58" s="204"/>
      <c r="N58" s="205"/>
    </row>
    <row r="59" spans="1:16" ht="28.8" x14ac:dyDescent="0.3">
      <c r="A59" s="240" t="s">
        <v>358</v>
      </c>
      <c r="B59" s="158" t="s">
        <v>88</v>
      </c>
      <c r="C59" s="159" t="s">
        <v>1552</v>
      </c>
      <c r="D59" s="158" t="s">
        <v>1473</v>
      </c>
      <c r="E59" s="158" t="s">
        <v>1534</v>
      </c>
      <c r="F59" s="158" t="s">
        <v>1475</v>
      </c>
      <c r="G59" s="160">
        <v>46211</v>
      </c>
      <c r="H59" s="160">
        <v>46216</v>
      </c>
      <c r="I59" s="161" t="s">
        <v>1491</v>
      </c>
      <c r="J59" s="160">
        <v>46216</v>
      </c>
      <c r="K59" s="159" t="s">
        <v>1553</v>
      </c>
      <c r="L59" s="159" t="s">
        <v>1493</v>
      </c>
      <c r="M59" s="162">
        <v>0</v>
      </c>
      <c r="N59" s="205"/>
      <c r="O59" s="87">
        <f>SUM(M12,M24,M39,M59)/4</f>
        <v>0</v>
      </c>
      <c r="P59" s="87" t="s">
        <v>1554</v>
      </c>
    </row>
    <row r="60" spans="1:16" ht="28.8" x14ac:dyDescent="0.3">
      <c r="A60" s="240" t="s">
        <v>358</v>
      </c>
      <c r="B60" s="158" t="s">
        <v>88</v>
      </c>
      <c r="C60" s="159" t="s">
        <v>1555</v>
      </c>
      <c r="D60" s="158" t="s">
        <v>1473</v>
      </c>
      <c r="E60" s="158" t="s">
        <v>1534</v>
      </c>
      <c r="F60" s="158" t="s">
        <v>1475</v>
      </c>
      <c r="G60" s="160">
        <v>46217</v>
      </c>
      <c r="H60" s="160">
        <v>46219</v>
      </c>
      <c r="I60" s="161" t="s">
        <v>1485</v>
      </c>
      <c r="J60" s="160">
        <v>46219</v>
      </c>
      <c r="K60" s="159" t="s">
        <v>1553</v>
      </c>
      <c r="L60" s="159" t="s">
        <v>1493</v>
      </c>
      <c r="M60" s="162">
        <v>0</v>
      </c>
      <c r="N60" s="205"/>
      <c r="O60" s="87">
        <f>SUM(M13,M25,M40,M60)/4</f>
        <v>0</v>
      </c>
      <c r="P60" s="87" t="s">
        <v>1556</v>
      </c>
    </row>
    <row r="61" spans="1:16" ht="28.8" x14ac:dyDescent="0.3">
      <c r="A61" s="240" t="s">
        <v>358</v>
      </c>
      <c r="B61" s="158" t="s">
        <v>88</v>
      </c>
      <c r="C61" s="159" t="s">
        <v>1557</v>
      </c>
      <c r="D61" s="158" t="s">
        <v>1473</v>
      </c>
      <c r="E61" s="158" t="s">
        <v>1534</v>
      </c>
      <c r="F61" s="158" t="s">
        <v>1475</v>
      </c>
      <c r="G61" s="160">
        <v>46220</v>
      </c>
      <c r="H61" s="160">
        <v>46221</v>
      </c>
      <c r="I61" s="161" t="s">
        <v>1496</v>
      </c>
      <c r="J61" s="160">
        <v>46221</v>
      </c>
      <c r="K61" s="159" t="s">
        <v>1553</v>
      </c>
      <c r="L61" s="159" t="s">
        <v>1493</v>
      </c>
      <c r="M61" s="162">
        <v>0</v>
      </c>
      <c r="N61" s="205"/>
      <c r="P61" s="87" t="s">
        <v>1558</v>
      </c>
    </row>
    <row r="63" spans="1:16" x14ac:dyDescent="0.3">
      <c r="A63" s="239" t="s">
        <v>1588</v>
      </c>
      <c r="B63" s="164" t="s">
        <v>1559</v>
      </c>
      <c r="C63" s="165" t="s">
        <v>1560</v>
      </c>
      <c r="D63" s="164" t="s">
        <v>1561</v>
      </c>
      <c r="E63" s="164" t="s">
        <v>1474</v>
      </c>
      <c r="F63" s="164" t="s">
        <v>1475</v>
      </c>
      <c r="G63" s="166">
        <v>46143</v>
      </c>
      <c r="H63" s="166">
        <v>46147</v>
      </c>
      <c r="I63" s="167">
        <f>IF(G63=0,0,H63-G63+1)</f>
        <v>5</v>
      </c>
      <c r="J63" s="166">
        <v>46147</v>
      </c>
      <c r="K63" s="165" t="s">
        <v>1562</v>
      </c>
      <c r="L63" s="164" t="s">
        <v>85</v>
      </c>
      <c r="M63" s="168">
        <v>1</v>
      </c>
      <c r="N63" s="169">
        <v>1</v>
      </c>
    </row>
    <row r="64" spans="1:16" x14ac:dyDescent="0.3">
      <c r="A64" s="239" t="s">
        <v>1588</v>
      </c>
      <c r="B64" s="170" t="s">
        <v>465</v>
      </c>
      <c r="C64" s="171" t="s">
        <v>1563</v>
      </c>
      <c r="D64" s="170" t="s">
        <v>1561</v>
      </c>
      <c r="E64" s="170" t="s">
        <v>1484</v>
      </c>
      <c r="F64" s="170" t="s">
        <v>1475</v>
      </c>
      <c r="G64" s="172">
        <v>46148</v>
      </c>
      <c r="H64" s="172">
        <v>46154</v>
      </c>
      <c r="I64" s="167">
        <f>IF(G64=0,0,H64-G64+1)</f>
        <v>7</v>
      </c>
      <c r="J64" s="172">
        <v>46154</v>
      </c>
      <c r="K64" s="171" t="s">
        <v>1564</v>
      </c>
      <c r="L64" s="170" t="s">
        <v>1484</v>
      </c>
      <c r="M64" s="173">
        <v>0.6</v>
      </c>
      <c r="N64" s="195">
        <v>0.56000000000000005</v>
      </c>
    </row>
    <row r="65" spans="1:14" x14ac:dyDescent="0.3">
      <c r="A65" s="239" t="s">
        <v>1588</v>
      </c>
      <c r="B65" s="164" t="s">
        <v>465</v>
      </c>
      <c r="C65" s="165" t="s">
        <v>1565</v>
      </c>
      <c r="D65" s="164" t="s">
        <v>1561</v>
      </c>
      <c r="E65" s="164" t="s">
        <v>1484</v>
      </c>
      <c r="F65" s="164" t="s">
        <v>1475</v>
      </c>
      <c r="G65" s="166">
        <v>46155</v>
      </c>
      <c r="H65" s="166">
        <v>46161</v>
      </c>
      <c r="I65" s="167">
        <f t="shared" ref="I65:I80" si="0">IF(G65=0,0,H65-G65+1)</f>
        <v>7</v>
      </c>
      <c r="J65" s="166">
        <v>46161</v>
      </c>
      <c r="K65" s="165" t="s">
        <v>1564</v>
      </c>
      <c r="L65" s="164" t="s">
        <v>1484</v>
      </c>
      <c r="M65" s="168">
        <v>0.6</v>
      </c>
      <c r="N65" s="196"/>
    </row>
    <row r="66" spans="1:14" x14ac:dyDescent="0.3">
      <c r="A66" s="239" t="s">
        <v>1588</v>
      </c>
      <c r="B66" s="170" t="s">
        <v>465</v>
      </c>
      <c r="C66" s="171" t="s">
        <v>1566</v>
      </c>
      <c r="D66" s="170" t="s">
        <v>1561</v>
      </c>
      <c r="E66" s="170" t="s">
        <v>1484</v>
      </c>
      <c r="F66" s="170" t="s">
        <v>1475</v>
      </c>
      <c r="G66" s="172">
        <v>46162</v>
      </c>
      <c r="H66" s="172">
        <v>46168</v>
      </c>
      <c r="I66" s="167">
        <f t="shared" si="0"/>
        <v>7</v>
      </c>
      <c r="J66" s="172">
        <v>46168</v>
      </c>
      <c r="K66" s="171" t="s">
        <v>1564</v>
      </c>
      <c r="L66" s="170" t="s">
        <v>1484</v>
      </c>
      <c r="M66" s="173">
        <v>0.6</v>
      </c>
      <c r="N66" s="196"/>
    </row>
    <row r="67" spans="1:14" x14ac:dyDescent="0.3">
      <c r="A67" s="239" t="s">
        <v>1588</v>
      </c>
      <c r="B67" s="164" t="s">
        <v>465</v>
      </c>
      <c r="C67" s="165" t="s">
        <v>1567</v>
      </c>
      <c r="D67" s="164" t="s">
        <v>1561</v>
      </c>
      <c r="E67" s="164" t="s">
        <v>1484</v>
      </c>
      <c r="F67" s="164" t="s">
        <v>1475</v>
      </c>
      <c r="G67" s="166">
        <v>46169</v>
      </c>
      <c r="H67" s="166">
        <v>46175</v>
      </c>
      <c r="I67" s="167">
        <f t="shared" si="0"/>
        <v>7</v>
      </c>
      <c r="J67" s="166">
        <v>46175</v>
      </c>
      <c r="K67" s="165" t="s">
        <v>1564</v>
      </c>
      <c r="L67" s="164" t="s">
        <v>1484</v>
      </c>
      <c r="M67" s="168">
        <v>0.55000000000000004</v>
      </c>
      <c r="N67" s="196"/>
    </row>
    <row r="68" spans="1:14" x14ac:dyDescent="0.3">
      <c r="A68" s="239" t="s">
        <v>1588</v>
      </c>
      <c r="B68" s="170" t="s">
        <v>465</v>
      </c>
      <c r="C68" s="171" t="s">
        <v>1568</v>
      </c>
      <c r="D68" s="170" t="s">
        <v>1561</v>
      </c>
      <c r="E68" s="170" t="s">
        <v>1484</v>
      </c>
      <c r="F68" s="170" t="s">
        <v>1475</v>
      </c>
      <c r="G68" s="172">
        <v>46176</v>
      </c>
      <c r="H68" s="172">
        <v>46182</v>
      </c>
      <c r="I68" s="167">
        <f t="shared" si="0"/>
        <v>7</v>
      </c>
      <c r="J68" s="172">
        <v>46182</v>
      </c>
      <c r="K68" s="171" t="s">
        <v>1564</v>
      </c>
      <c r="L68" s="170" t="s">
        <v>1484</v>
      </c>
      <c r="M68" s="173">
        <v>0.55000000000000004</v>
      </c>
      <c r="N68" s="196"/>
    </row>
    <row r="69" spans="1:14" x14ac:dyDescent="0.3">
      <c r="A69" s="239" t="s">
        <v>1588</v>
      </c>
      <c r="B69" s="164" t="s">
        <v>465</v>
      </c>
      <c r="C69" s="165" t="s">
        <v>1569</v>
      </c>
      <c r="D69" s="164" t="s">
        <v>1561</v>
      </c>
      <c r="E69" s="164" t="s">
        <v>1484</v>
      </c>
      <c r="F69" s="164" t="s">
        <v>1475</v>
      </c>
      <c r="G69" s="166">
        <v>46183</v>
      </c>
      <c r="H69" s="166">
        <v>46189</v>
      </c>
      <c r="I69" s="167">
        <f t="shared" si="0"/>
        <v>7</v>
      </c>
      <c r="J69" s="166">
        <v>46189</v>
      </c>
      <c r="K69" s="165" t="s">
        <v>1564</v>
      </c>
      <c r="L69" s="164" t="s">
        <v>1484</v>
      </c>
      <c r="M69" s="168">
        <v>0.5</v>
      </c>
      <c r="N69" s="196"/>
    </row>
    <row r="70" spans="1:14" x14ac:dyDescent="0.3">
      <c r="A70" s="239" t="s">
        <v>1588</v>
      </c>
      <c r="B70" s="170" t="s">
        <v>465</v>
      </c>
      <c r="C70" s="171" t="s">
        <v>1570</v>
      </c>
      <c r="D70" s="170" t="s">
        <v>1561</v>
      </c>
      <c r="E70" s="170" t="s">
        <v>1484</v>
      </c>
      <c r="F70" s="170" t="s">
        <v>1475</v>
      </c>
      <c r="G70" s="172">
        <v>46190</v>
      </c>
      <c r="H70" s="172">
        <v>46196</v>
      </c>
      <c r="I70" s="167">
        <f t="shared" si="0"/>
        <v>7</v>
      </c>
      <c r="J70" s="172">
        <v>46196</v>
      </c>
      <c r="K70" s="171" t="s">
        <v>1564</v>
      </c>
      <c r="L70" s="170" t="s">
        <v>1484</v>
      </c>
      <c r="M70" s="173">
        <v>0.5</v>
      </c>
      <c r="N70" s="196"/>
    </row>
    <row r="71" spans="1:14" x14ac:dyDescent="0.3">
      <c r="A71" s="239" t="s">
        <v>1588</v>
      </c>
      <c r="B71" s="164" t="s">
        <v>465</v>
      </c>
      <c r="C71" s="165" t="s">
        <v>1571</v>
      </c>
      <c r="D71" s="164" t="s">
        <v>1561</v>
      </c>
      <c r="E71" s="164" t="s">
        <v>1484</v>
      </c>
      <c r="F71" s="164" t="s">
        <v>1475</v>
      </c>
      <c r="G71" s="166">
        <v>46197</v>
      </c>
      <c r="H71" s="166">
        <v>46203</v>
      </c>
      <c r="I71" s="167">
        <f t="shared" si="0"/>
        <v>7</v>
      </c>
      <c r="J71" s="166">
        <v>46203</v>
      </c>
      <c r="K71" s="165" t="s">
        <v>1564</v>
      </c>
      <c r="L71" s="164" t="s">
        <v>1484</v>
      </c>
      <c r="M71" s="168">
        <v>0.5</v>
      </c>
      <c r="N71" s="196"/>
    </row>
    <row r="72" spans="1:14" ht="28.8" x14ac:dyDescent="0.3">
      <c r="A72" s="239" t="s">
        <v>1588</v>
      </c>
      <c r="B72" s="170" t="s">
        <v>487</v>
      </c>
      <c r="C72" s="171" t="s">
        <v>1572</v>
      </c>
      <c r="D72" s="170" t="s">
        <v>1561</v>
      </c>
      <c r="E72" s="170" t="s">
        <v>1484</v>
      </c>
      <c r="F72" s="170" t="s">
        <v>1475</v>
      </c>
      <c r="G72" s="172">
        <v>46204</v>
      </c>
      <c r="H72" s="172">
        <v>46211</v>
      </c>
      <c r="I72" s="167">
        <f t="shared" si="0"/>
        <v>8</v>
      </c>
      <c r="J72" s="172">
        <v>46211</v>
      </c>
      <c r="K72" s="171" t="s">
        <v>1573</v>
      </c>
      <c r="L72" s="170" t="s">
        <v>1484</v>
      </c>
      <c r="M72" s="173">
        <v>0.6</v>
      </c>
      <c r="N72" s="196"/>
    </row>
    <row r="73" spans="1:14" x14ac:dyDescent="0.3">
      <c r="A73" s="239" t="s">
        <v>1588</v>
      </c>
      <c r="B73" s="164" t="s">
        <v>1574</v>
      </c>
      <c r="C73" s="165" t="s">
        <v>1575</v>
      </c>
      <c r="D73" s="164" t="s">
        <v>1561</v>
      </c>
      <c r="E73" s="164" t="s">
        <v>1484</v>
      </c>
      <c r="F73" s="164" t="s">
        <v>1475</v>
      </c>
      <c r="G73" s="166">
        <v>46212</v>
      </c>
      <c r="H73" s="166">
        <v>46218</v>
      </c>
      <c r="I73" s="167">
        <f t="shared" si="0"/>
        <v>7</v>
      </c>
      <c r="J73" s="166">
        <v>46218</v>
      </c>
      <c r="K73" s="165" t="s">
        <v>1477</v>
      </c>
      <c r="L73" s="164" t="s">
        <v>1484</v>
      </c>
      <c r="M73" s="168">
        <v>0.6</v>
      </c>
      <c r="N73" s="197"/>
    </row>
    <row r="74" spans="1:14" x14ac:dyDescent="0.3">
      <c r="A74" s="239" t="s">
        <v>1588</v>
      </c>
      <c r="B74" s="198" t="s">
        <v>1576</v>
      </c>
      <c r="C74" s="171" t="s">
        <v>1577</v>
      </c>
      <c r="D74" s="198" t="s">
        <v>1561</v>
      </c>
      <c r="E74" s="198" t="s">
        <v>1534</v>
      </c>
      <c r="F74" s="198" t="s">
        <v>1475</v>
      </c>
      <c r="G74" s="199">
        <v>46219</v>
      </c>
      <c r="H74" s="199">
        <v>46225</v>
      </c>
      <c r="I74" s="167">
        <f t="shared" si="0"/>
        <v>7</v>
      </c>
      <c r="J74" s="199">
        <v>46225</v>
      </c>
      <c r="K74" s="200" t="s">
        <v>1578</v>
      </c>
      <c r="L74" s="198" t="s">
        <v>1534</v>
      </c>
      <c r="M74" s="191">
        <v>0</v>
      </c>
      <c r="N74" s="192"/>
    </row>
    <row r="75" spans="1:14" ht="28.8" x14ac:dyDescent="0.3">
      <c r="A75" s="239" t="s">
        <v>1588</v>
      </c>
      <c r="B75" s="198"/>
      <c r="C75" s="171" t="s">
        <v>1579</v>
      </c>
      <c r="D75" s="198"/>
      <c r="E75" s="198"/>
      <c r="F75" s="198"/>
      <c r="G75" s="199"/>
      <c r="H75" s="199"/>
      <c r="I75" s="167">
        <f t="shared" si="0"/>
        <v>0</v>
      </c>
      <c r="J75" s="199"/>
      <c r="K75" s="200"/>
      <c r="L75" s="198"/>
      <c r="M75" s="191"/>
      <c r="N75" s="193"/>
    </row>
    <row r="76" spans="1:14" x14ac:dyDescent="0.3">
      <c r="A76" s="239" t="s">
        <v>1588</v>
      </c>
      <c r="B76" s="198"/>
      <c r="C76" s="171" t="s">
        <v>1580</v>
      </c>
      <c r="D76" s="198"/>
      <c r="E76" s="198"/>
      <c r="F76" s="198"/>
      <c r="G76" s="199"/>
      <c r="H76" s="199"/>
      <c r="I76" s="167">
        <f t="shared" si="0"/>
        <v>0</v>
      </c>
      <c r="J76" s="199"/>
      <c r="K76" s="200"/>
      <c r="L76" s="198"/>
      <c r="M76" s="191"/>
      <c r="N76" s="193"/>
    </row>
    <row r="77" spans="1:14" x14ac:dyDescent="0.3">
      <c r="A77" s="239" t="s">
        <v>1588</v>
      </c>
      <c r="B77" s="198"/>
      <c r="C77" s="171" t="s">
        <v>1581</v>
      </c>
      <c r="D77" s="198"/>
      <c r="E77" s="198"/>
      <c r="F77" s="198"/>
      <c r="G77" s="199"/>
      <c r="H77" s="199"/>
      <c r="I77" s="167">
        <f t="shared" si="0"/>
        <v>0</v>
      </c>
      <c r="J77" s="199"/>
      <c r="K77" s="200"/>
      <c r="L77" s="198"/>
      <c r="M77" s="191"/>
      <c r="N77" s="194"/>
    </row>
    <row r="78" spans="1:14" x14ac:dyDescent="0.3">
      <c r="A78" s="239" t="s">
        <v>1588</v>
      </c>
      <c r="B78" s="164" t="s">
        <v>1582</v>
      </c>
      <c r="C78" s="165" t="s">
        <v>1583</v>
      </c>
      <c r="D78" s="164" t="s">
        <v>1561</v>
      </c>
      <c r="E78" s="164" t="s">
        <v>1534</v>
      </c>
      <c r="F78" s="164" t="s">
        <v>1475</v>
      </c>
      <c r="G78" s="166">
        <v>46226</v>
      </c>
      <c r="H78" s="166">
        <v>46231</v>
      </c>
      <c r="I78" s="167">
        <f t="shared" si="0"/>
        <v>6</v>
      </c>
      <c r="J78" s="166">
        <v>46231</v>
      </c>
      <c r="K78" s="165" t="s">
        <v>1584</v>
      </c>
      <c r="L78" s="164" t="s">
        <v>1534</v>
      </c>
      <c r="M78" s="168">
        <v>0</v>
      </c>
      <c r="N78" s="174"/>
    </row>
    <row r="79" spans="1:14" x14ac:dyDescent="0.3">
      <c r="A79" s="239" t="s">
        <v>1588</v>
      </c>
      <c r="B79" s="175" t="s">
        <v>1556</v>
      </c>
      <c r="C79" s="171" t="s">
        <v>1583</v>
      </c>
      <c r="D79" s="170" t="s">
        <v>1561</v>
      </c>
      <c r="E79" s="170" t="s">
        <v>1534</v>
      </c>
      <c r="F79" s="170" t="s">
        <v>1475</v>
      </c>
      <c r="G79" s="172">
        <v>46232</v>
      </c>
      <c r="H79" s="172">
        <v>46234</v>
      </c>
      <c r="I79" s="167">
        <f t="shared" si="0"/>
        <v>3</v>
      </c>
      <c r="J79" s="172">
        <v>46234</v>
      </c>
      <c r="K79" s="171" t="s">
        <v>1584</v>
      </c>
      <c r="L79" s="170" t="s">
        <v>1534</v>
      </c>
      <c r="M79" s="176">
        <v>0</v>
      </c>
      <c r="N79" s="174"/>
    </row>
    <row r="80" spans="1:14" x14ac:dyDescent="0.3">
      <c r="A80" s="239" t="s">
        <v>1588</v>
      </c>
      <c r="B80" s="164" t="s">
        <v>1585</v>
      </c>
      <c r="C80" s="165" t="s">
        <v>1586</v>
      </c>
      <c r="D80" s="164" t="s">
        <v>1561</v>
      </c>
      <c r="E80" s="164" t="s">
        <v>1534</v>
      </c>
      <c r="F80" s="164" t="s">
        <v>1475</v>
      </c>
      <c r="G80" s="166">
        <v>46236</v>
      </c>
      <c r="H80" s="166">
        <v>46236</v>
      </c>
      <c r="I80" s="167">
        <f t="shared" si="0"/>
        <v>1</v>
      </c>
      <c r="J80" s="166">
        <v>46236</v>
      </c>
      <c r="K80" s="165" t="s">
        <v>1584</v>
      </c>
      <c r="L80" s="164" t="s">
        <v>1534</v>
      </c>
      <c r="M80" s="168">
        <v>0</v>
      </c>
      <c r="N80" s="174"/>
    </row>
  </sheetData>
  <mergeCells count="66">
    <mergeCell ref="N2:N7"/>
    <mergeCell ref="B8:B11"/>
    <mergeCell ref="C8:C11"/>
    <mergeCell ref="D8:D11"/>
    <mergeCell ref="E8:E11"/>
    <mergeCell ref="F8:F11"/>
    <mergeCell ref="G8:G11"/>
    <mergeCell ref="H8:H11"/>
    <mergeCell ref="I8:I11"/>
    <mergeCell ref="J8:J11"/>
    <mergeCell ref="B20:B23"/>
    <mergeCell ref="D20:D23"/>
    <mergeCell ref="E20:E23"/>
    <mergeCell ref="F20:F23"/>
    <mergeCell ref="G20:G23"/>
    <mergeCell ref="M20:M23"/>
    <mergeCell ref="K8:K11"/>
    <mergeCell ref="L8:L11"/>
    <mergeCell ref="M8:M11"/>
    <mergeCell ref="N8:N14"/>
    <mergeCell ref="N15:N19"/>
    <mergeCell ref="N46:N54"/>
    <mergeCell ref="N20:N26"/>
    <mergeCell ref="N27:N34"/>
    <mergeCell ref="B35:B38"/>
    <mergeCell ref="D35:D38"/>
    <mergeCell ref="E35:E38"/>
    <mergeCell ref="F35:F38"/>
    <mergeCell ref="G35:G38"/>
    <mergeCell ref="H35:H38"/>
    <mergeCell ref="I35:I38"/>
    <mergeCell ref="J35:J38"/>
    <mergeCell ref="H20:H23"/>
    <mergeCell ref="I20:I23"/>
    <mergeCell ref="J20:J23"/>
    <mergeCell ref="K20:K23"/>
    <mergeCell ref="L20:L23"/>
    <mergeCell ref="K35:K38"/>
    <mergeCell ref="L35:L38"/>
    <mergeCell ref="M35:M38"/>
    <mergeCell ref="N35:N41"/>
    <mergeCell ref="N42:N45"/>
    <mergeCell ref="K55:K58"/>
    <mergeCell ref="L55:L58"/>
    <mergeCell ref="M55:M58"/>
    <mergeCell ref="N55:N61"/>
    <mergeCell ref="B55:B58"/>
    <mergeCell ref="D55:D58"/>
    <mergeCell ref="E55:E58"/>
    <mergeCell ref="F55:F58"/>
    <mergeCell ref="G55:G58"/>
    <mergeCell ref="H55:H58"/>
    <mergeCell ref="M74:M77"/>
    <mergeCell ref="N74:N77"/>
    <mergeCell ref="N64:N73"/>
    <mergeCell ref="B74:B77"/>
    <mergeCell ref="D74:D77"/>
    <mergeCell ref="E74:E77"/>
    <mergeCell ref="F74:F77"/>
    <mergeCell ref="G74:G77"/>
    <mergeCell ref="H74:H77"/>
    <mergeCell ref="J74:J77"/>
    <mergeCell ref="K74:K77"/>
    <mergeCell ref="L74:L77"/>
    <mergeCell ref="I55:I58"/>
    <mergeCell ref="J55:J5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topLeftCell="D1" zoomScale="70" zoomScaleNormal="70" workbookViewId="0">
      <pane ySplit="2" topLeftCell="A102" activePane="bottomLeft" state="frozen"/>
      <selection pane="bottomLeft" activeCell="B106" sqref="B106"/>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8" customWidth="1"/>
    <col min="14" max="14" width="16.59765625" style="64" customWidth="1"/>
    <col min="15" max="15" width="13" style="64"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97" t="s">
        <v>48</v>
      </c>
      <c r="B1" s="46" t="s">
        <v>49</v>
      </c>
      <c r="C1" s="46">
        <f>T7</f>
        <v>104</v>
      </c>
      <c r="D1" s="47" t="s">
        <v>50</v>
      </c>
      <c r="E1" s="48">
        <f>SUM(T3:T4)</f>
        <v>30</v>
      </c>
      <c r="F1" s="49" t="s">
        <v>51</v>
      </c>
      <c r="G1" s="99">
        <f>SUM(T5:T6)</f>
        <v>74</v>
      </c>
      <c r="H1" s="51"/>
      <c r="I1" s="51"/>
      <c r="J1" s="51"/>
      <c r="K1" s="51"/>
      <c r="L1" s="51"/>
      <c r="M1" s="105"/>
      <c r="N1" s="51"/>
      <c r="O1" s="51"/>
      <c r="P1" s="52"/>
      <c r="Q1" s="52"/>
    </row>
    <row r="2" spans="1:22" s="56" customFormat="1" ht="27.6" x14ac:dyDescent="0.3">
      <c r="A2" s="86" t="s">
        <v>52</v>
      </c>
      <c r="B2" s="54" t="s">
        <v>53</v>
      </c>
      <c r="C2" s="54" t="s">
        <v>54</v>
      </c>
      <c r="D2" s="54" t="s">
        <v>55</v>
      </c>
      <c r="E2" s="54" t="s">
        <v>56</v>
      </c>
      <c r="F2" s="54" t="s">
        <v>57</v>
      </c>
      <c r="G2" s="54" t="s">
        <v>58</v>
      </c>
      <c r="H2" s="54" t="s">
        <v>59</v>
      </c>
      <c r="I2" s="54" t="s">
        <v>60</v>
      </c>
      <c r="J2" s="54" t="s">
        <v>61</v>
      </c>
      <c r="K2" s="54" t="s">
        <v>62</v>
      </c>
      <c r="L2" s="54" t="s">
        <v>63</v>
      </c>
      <c r="M2" s="106" t="s">
        <v>64</v>
      </c>
      <c r="N2" s="54" t="s">
        <v>65</v>
      </c>
      <c r="O2" s="54" t="s">
        <v>66</v>
      </c>
      <c r="P2" s="55" t="s">
        <v>67</v>
      </c>
      <c r="Q2" s="55" t="s">
        <v>68</v>
      </c>
    </row>
    <row r="3" spans="1:22" ht="41.4" x14ac:dyDescent="0.3">
      <c r="A3" s="98">
        <v>1</v>
      </c>
      <c r="B3" s="57" t="s">
        <v>69</v>
      </c>
      <c r="C3" s="57" t="s">
        <v>70</v>
      </c>
      <c r="D3" s="57" t="s">
        <v>71</v>
      </c>
      <c r="E3" s="57" t="s">
        <v>47</v>
      </c>
      <c r="F3" s="57" t="s">
        <v>72</v>
      </c>
      <c r="G3" s="57" t="s">
        <v>73</v>
      </c>
      <c r="H3" s="57" t="s">
        <v>74</v>
      </c>
      <c r="I3" s="57" t="s">
        <v>75</v>
      </c>
      <c r="J3" s="102">
        <v>46087.62222222222</v>
      </c>
      <c r="K3" s="102">
        <v>46094.643055555556</v>
      </c>
      <c r="L3" s="102">
        <v>46159.852777777778</v>
      </c>
      <c r="M3" s="107"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30</v>
      </c>
    </row>
    <row r="4" spans="1:22" ht="69" x14ac:dyDescent="0.3">
      <c r="A4" s="98">
        <v>2</v>
      </c>
      <c r="B4" s="57" t="s">
        <v>78</v>
      </c>
      <c r="C4" s="57" t="s">
        <v>70</v>
      </c>
      <c r="D4" s="57" t="s">
        <v>71</v>
      </c>
      <c r="E4" s="57" t="s">
        <v>47</v>
      </c>
      <c r="F4" s="57" t="s">
        <v>72</v>
      </c>
      <c r="G4" s="57" t="s">
        <v>79</v>
      </c>
      <c r="H4" s="57" t="s">
        <v>74</v>
      </c>
      <c r="I4" s="57" t="s">
        <v>75</v>
      </c>
      <c r="J4" s="102">
        <v>46087.622916666667</v>
      </c>
      <c r="K4" s="102">
        <v>46132.431944444441</v>
      </c>
      <c r="L4" s="102">
        <v>46159.854166666664</v>
      </c>
      <c r="M4" s="107"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98">
        <v>3</v>
      </c>
      <c r="B5" s="57" t="s">
        <v>81</v>
      </c>
      <c r="C5" s="57" t="s">
        <v>70</v>
      </c>
      <c r="D5" s="57" t="s">
        <v>82</v>
      </c>
      <c r="E5" s="57" t="s">
        <v>47</v>
      </c>
      <c r="F5" s="57" t="s">
        <v>83</v>
      </c>
      <c r="G5" s="57" t="s">
        <v>84</v>
      </c>
      <c r="H5" s="57" t="s">
        <v>74</v>
      </c>
      <c r="I5" s="57" t="s">
        <v>75</v>
      </c>
      <c r="J5" s="102">
        <v>46087.624305555553</v>
      </c>
      <c r="K5" s="102">
        <v>46157.419444444444</v>
      </c>
      <c r="L5" s="102">
        <v>46159.854861111111</v>
      </c>
      <c r="M5" s="107"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14</v>
      </c>
    </row>
    <row r="6" spans="1:22" ht="41.4" x14ac:dyDescent="0.3">
      <c r="A6" s="98">
        <v>4</v>
      </c>
      <c r="B6" s="57" t="s">
        <v>86</v>
      </c>
      <c r="C6" s="57" t="s">
        <v>70</v>
      </c>
      <c r="D6" s="57" t="s">
        <v>87</v>
      </c>
      <c r="E6" s="57" t="s">
        <v>47</v>
      </c>
      <c r="F6" s="57" t="s">
        <v>88</v>
      </c>
      <c r="G6" s="57" t="s">
        <v>89</v>
      </c>
      <c r="H6" s="57" t="s">
        <v>74</v>
      </c>
      <c r="I6" s="57" t="s">
        <v>75</v>
      </c>
      <c r="J6" s="102">
        <v>46087.625</v>
      </c>
      <c r="K6" s="102">
        <v>46128.684027777781</v>
      </c>
      <c r="L6" s="102">
        <v>46159.856944444444</v>
      </c>
      <c r="M6" s="10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60</v>
      </c>
    </row>
    <row r="7" spans="1:22" ht="55.2" x14ac:dyDescent="0.3">
      <c r="A7" s="98">
        <v>5</v>
      </c>
      <c r="B7" s="57" t="s">
        <v>90</v>
      </c>
      <c r="C7" s="57" t="s">
        <v>70</v>
      </c>
      <c r="D7" s="57" t="s">
        <v>87</v>
      </c>
      <c r="E7" s="57" t="s">
        <v>47</v>
      </c>
      <c r="F7" s="57" t="s">
        <v>88</v>
      </c>
      <c r="G7" s="57" t="s">
        <v>91</v>
      </c>
      <c r="H7" s="57" t="s">
        <v>74</v>
      </c>
      <c r="I7" s="57" t="s">
        <v>75</v>
      </c>
      <c r="J7" s="102">
        <v>46087.627083333333</v>
      </c>
      <c r="K7" s="103"/>
      <c r="L7" s="103"/>
      <c r="M7" s="107" t="s">
        <v>77</v>
      </c>
      <c r="N7" s="59">
        <f>IF(ISBLANK(J7),"",IF(OR(M7="Completed",M7="Closed"),"",IF(H7="Issue",IF(I7="High",WORKDAY(J7,2,DATA!A6:A34),IF(I7="Medium",WORKDAY(J7,14,DATA!A6:A34),IF(OR(I7="Low"),WORKDAY(J7,30,DATA!A6:A34),""))),
"")
))</f>
        <v>46108</v>
      </c>
      <c r="O7" s="60">
        <f ca="1">IF(OR(ISBLANK(#REF!), M7="Completed", M7="Closed", H7&lt;&gt;"Issue"), "",
   (NETWORKDAYS.INTL(TODAY(), N7, 1, DATA!A6:A34) - 1))</f>
        <v>-85</v>
      </c>
      <c r="P7" s="61">
        <f t="shared" ca="1" si="0"/>
        <v>85</v>
      </c>
      <c r="Q7" s="61" t="str">
        <f t="shared" ca="1" si="1"/>
        <v>&gt;60 Days</v>
      </c>
      <c r="S7" s="67" t="s">
        <v>49</v>
      </c>
      <c r="T7" s="68">
        <f>SUM(T3:T6)</f>
        <v>104</v>
      </c>
    </row>
    <row r="8" spans="1:22" ht="41.4" x14ac:dyDescent="0.3">
      <c r="A8" s="98">
        <v>6</v>
      </c>
      <c r="B8" s="57" t="s">
        <v>92</v>
      </c>
      <c r="C8" s="57" t="s">
        <v>70</v>
      </c>
      <c r="D8" s="57" t="s">
        <v>87</v>
      </c>
      <c r="E8" s="57" t="s">
        <v>47</v>
      </c>
      <c r="F8" s="57" t="s">
        <v>88</v>
      </c>
      <c r="G8" s="57" t="s">
        <v>93</v>
      </c>
      <c r="H8" s="57" t="s">
        <v>74</v>
      </c>
      <c r="I8" s="57" t="s">
        <v>75</v>
      </c>
      <c r="J8" s="102">
        <v>46087.631944444445</v>
      </c>
      <c r="K8" s="103"/>
      <c r="L8" s="103"/>
      <c r="M8" s="107" t="s">
        <v>77</v>
      </c>
      <c r="N8" s="59">
        <f>IF(ISBLANK(J8),"",IF(OR(M8="Completed",M8="Closed"),"",IF(H8="Issue",IF(I8="High",WORKDAY(J8,2,DATA!A7:A35),IF(I8="Medium",WORKDAY(J8,14,DATA!A7:A35),IF(OR(I8="Low"),WORKDAY(J8,30,DATA!A7:A35),""))),
"")
))</f>
        <v>46107</v>
      </c>
      <c r="O8" s="60">
        <f ca="1">IF(OR(ISBLANK(#REF!), M8="Completed", M8="Closed", H8&lt;&gt;"Issue"), "",
   (NETWORKDAYS.INTL(TODAY(), N8, 1, DATA!A7:A35) - 1))</f>
        <v>-86</v>
      </c>
      <c r="P8" s="61">
        <f t="shared" ca="1" si="0"/>
        <v>86</v>
      </c>
      <c r="Q8" s="61" t="str">
        <f t="shared" ca="1" si="1"/>
        <v>&gt;60 Days</v>
      </c>
      <c r="S8" s="238" t="s">
        <v>66</v>
      </c>
      <c r="T8" s="69" t="s">
        <v>94</v>
      </c>
      <c r="U8" s="69" t="s">
        <v>95</v>
      </c>
      <c r="V8" s="69" t="s">
        <v>96</v>
      </c>
    </row>
    <row r="9" spans="1:22" ht="110.4" x14ac:dyDescent="0.3">
      <c r="A9" s="98">
        <v>7</v>
      </c>
      <c r="B9" s="57" t="s">
        <v>97</v>
      </c>
      <c r="C9" s="57" t="s">
        <v>70</v>
      </c>
      <c r="D9" s="57" t="s">
        <v>71</v>
      </c>
      <c r="E9" s="57" t="s">
        <v>47</v>
      </c>
      <c r="F9" s="57" t="s">
        <v>72</v>
      </c>
      <c r="G9" s="57" t="s">
        <v>98</v>
      </c>
      <c r="H9" s="57" t="s">
        <v>74</v>
      </c>
      <c r="I9" s="57" t="s">
        <v>75</v>
      </c>
      <c r="J9" s="102">
        <v>46087.633333333331</v>
      </c>
      <c r="K9" s="102">
        <v>46094.649305555555</v>
      </c>
      <c r="L9" s="102">
        <v>46159.857638888891</v>
      </c>
      <c r="M9" s="107"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238"/>
      <c r="T9" s="70">
        <f ca="1">COUNTIFS(P3:P277,"&gt;=1",P3:P277,"&lt;=30")</f>
        <v>7</v>
      </c>
      <c r="U9" s="70">
        <f ca="1">COUNTIFS(P3:P277,"&gt;=31",P3:P277,"&lt;=60")</f>
        <v>6</v>
      </c>
      <c r="V9" s="70">
        <f ca="1">COUNTIFS(P3:P277,"&gt;60")</f>
        <v>17</v>
      </c>
    </row>
    <row r="10" spans="1:22" ht="41.4" x14ac:dyDescent="0.3">
      <c r="A10" s="98">
        <v>8</v>
      </c>
      <c r="B10" s="57" t="s">
        <v>99</v>
      </c>
      <c r="C10" s="57" t="s">
        <v>70</v>
      </c>
      <c r="D10" s="57" t="s">
        <v>71</v>
      </c>
      <c r="E10" s="57" t="s">
        <v>47</v>
      </c>
      <c r="F10" s="57" t="s">
        <v>72</v>
      </c>
      <c r="G10" s="57" t="s">
        <v>100</v>
      </c>
      <c r="H10" s="57" t="s">
        <v>74</v>
      </c>
      <c r="I10" s="57" t="s">
        <v>75</v>
      </c>
      <c r="J10" s="102">
        <v>46087.634027777778</v>
      </c>
      <c r="K10" s="102">
        <v>46132.484722222223</v>
      </c>
      <c r="L10" s="102">
        <v>46132.48541666667</v>
      </c>
      <c r="M10" s="10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98">
        <v>9</v>
      </c>
      <c r="B11" s="57" t="s">
        <v>101</v>
      </c>
      <c r="C11" s="57" t="s">
        <v>70</v>
      </c>
      <c r="D11" s="57" t="s">
        <v>87</v>
      </c>
      <c r="E11" s="57" t="s">
        <v>47</v>
      </c>
      <c r="F11" s="57" t="s">
        <v>88</v>
      </c>
      <c r="G11" s="57" t="s">
        <v>102</v>
      </c>
      <c r="H11" s="57" t="s">
        <v>74</v>
      </c>
      <c r="I11" s="57" t="s">
        <v>75</v>
      </c>
      <c r="J11" s="102">
        <v>46090.379861111112</v>
      </c>
      <c r="K11" s="102">
        <v>46160.647916666669</v>
      </c>
      <c r="L11" s="102">
        <v>46160.647916666669</v>
      </c>
      <c r="M11" s="107"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98">
        <v>10</v>
      </c>
      <c r="B12" s="57" t="s">
        <v>103</v>
      </c>
      <c r="C12" s="57" t="s">
        <v>70</v>
      </c>
      <c r="D12" s="57" t="s">
        <v>104</v>
      </c>
      <c r="E12" s="57" t="s">
        <v>47</v>
      </c>
      <c r="F12" s="57" t="s">
        <v>105</v>
      </c>
      <c r="G12" s="57" t="s">
        <v>106</v>
      </c>
      <c r="H12" s="57" t="s">
        <v>74</v>
      </c>
      <c r="I12" s="57" t="s">
        <v>75</v>
      </c>
      <c r="J12" s="102">
        <v>46090.396527777775</v>
      </c>
      <c r="K12" s="102">
        <v>46146.635416666664</v>
      </c>
      <c r="L12" s="102">
        <v>46146.636111111111</v>
      </c>
      <c r="M12" s="10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98">
        <v>11</v>
      </c>
      <c r="B13" s="57" t="s">
        <v>107</v>
      </c>
      <c r="C13" s="57" t="s">
        <v>70</v>
      </c>
      <c r="D13" s="57" t="s">
        <v>71</v>
      </c>
      <c r="E13" s="57" t="s">
        <v>47</v>
      </c>
      <c r="F13" s="57" t="s">
        <v>72</v>
      </c>
      <c r="G13" s="57" t="s">
        <v>108</v>
      </c>
      <c r="H13" s="57" t="s">
        <v>74</v>
      </c>
      <c r="I13" s="57" t="s">
        <v>75</v>
      </c>
      <c r="J13" s="102">
        <v>46090.447916666664</v>
      </c>
      <c r="K13" s="102">
        <v>46094.652777777781</v>
      </c>
      <c r="L13" s="102">
        <v>46159.859027777777</v>
      </c>
      <c r="M13" s="10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98">
        <v>12</v>
      </c>
      <c r="B14" s="57" t="s">
        <v>109</v>
      </c>
      <c r="C14" s="57" t="s">
        <v>70</v>
      </c>
      <c r="D14" s="57" t="s">
        <v>110</v>
      </c>
      <c r="E14" s="57" t="s">
        <v>47</v>
      </c>
      <c r="F14" s="57" t="s">
        <v>111</v>
      </c>
      <c r="G14" s="57" t="s">
        <v>112</v>
      </c>
      <c r="H14" s="57" t="s">
        <v>74</v>
      </c>
      <c r="I14" s="57" t="s">
        <v>75</v>
      </c>
      <c r="J14" s="102">
        <v>46090.450694444444</v>
      </c>
      <c r="K14" s="102">
        <v>46142.40625</v>
      </c>
      <c r="L14" s="102">
        <v>46159.86041666667</v>
      </c>
      <c r="M14" s="10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98">
        <v>13</v>
      </c>
      <c r="B15" s="57" t="s">
        <v>113</v>
      </c>
      <c r="C15" s="57" t="s">
        <v>70</v>
      </c>
      <c r="D15" s="57" t="s">
        <v>110</v>
      </c>
      <c r="E15" s="57" t="s">
        <v>47</v>
      </c>
      <c r="F15" s="57" t="s">
        <v>114</v>
      </c>
      <c r="G15" s="57" t="s">
        <v>115</v>
      </c>
      <c r="H15" s="57" t="s">
        <v>74</v>
      </c>
      <c r="I15" s="57" t="s">
        <v>75</v>
      </c>
      <c r="J15" s="102">
        <v>46090.451388888891</v>
      </c>
      <c r="K15" s="102">
        <v>46189.416666666664</v>
      </c>
      <c r="L15" s="102">
        <v>46189.417361111111</v>
      </c>
      <c r="M15" s="107"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98">
        <v>14</v>
      </c>
      <c r="B16" s="57" t="s">
        <v>116</v>
      </c>
      <c r="C16" s="57" t="s">
        <v>70</v>
      </c>
      <c r="D16" s="57" t="s">
        <v>104</v>
      </c>
      <c r="E16" s="57" t="s">
        <v>47</v>
      </c>
      <c r="F16" s="57" t="s">
        <v>114</v>
      </c>
      <c r="G16" s="57" t="s">
        <v>117</v>
      </c>
      <c r="H16" s="57" t="s">
        <v>74</v>
      </c>
      <c r="I16" s="57" t="s">
        <v>75</v>
      </c>
      <c r="J16" s="102">
        <v>46090.452777777777</v>
      </c>
      <c r="K16" s="102">
        <v>46108.484722222223</v>
      </c>
      <c r="L16" s="102">
        <v>46159.861805555556</v>
      </c>
      <c r="M16" s="10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98">
        <v>15</v>
      </c>
      <c r="B17" s="57" t="s">
        <v>118</v>
      </c>
      <c r="C17" s="57" t="s">
        <v>70</v>
      </c>
      <c r="D17" s="57" t="s">
        <v>104</v>
      </c>
      <c r="E17" s="57" t="s">
        <v>47</v>
      </c>
      <c r="F17" s="57" t="s">
        <v>114</v>
      </c>
      <c r="G17" s="57" t="s">
        <v>119</v>
      </c>
      <c r="H17" s="57" t="s">
        <v>74</v>
      </c>
      <c r="I17" s="57" t="s">
        <v>75</v>
      </c>
      <c r="J17" s="102">
        <v>46090.456944444442</v>
      </c>
      <c r="K17" s="102">
        <v>46142.400694444441</v>
      </c>
      <c r="L17" s="102">
        <v>46159.862500000003</v>
      </c>
      <c r="M17" s="10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98">
        <v>16</v>
      </c>
      <c r="B18" s="57" t="s">
        <v>120</v>
      </c>
      <c r="C18" s="57" t="s">
        <v>70</v>
      </c>
      <c r="D18" s="57" t="s">
        <v>110</v>
      </c>
      <c r="E18" s="57" t="s">
        <v>47</v>
      </c>
      <c r="F18" s="57" t="s">
        <v>121</v>
      </c>
      <c r="G18" s="57" t="s">
        <v>122</v>
      </c>
      <c r="H18" s="57" t="s">
        <v>74</v>
      </c>
      <c r="I18" s="57" t="s">
        <v>75</v>
      </c>
      <c r="J18" s="102">
        <v>46090.468055555553</v>
      </c>
      <c r="K18" s="102">
        <v>46183.472222222219</v>
      </c>
      <c r="L18" s="102">
        <v>46183.472916666666</v>
      </c>
      <c r="M18" s="10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98">
        <v>17</v>
      </c>
      <c r="B19" s="57" t="s">
        <v>123</v>
      </c>
      <c r="C19" s="57" t="s">
        <v>70</v>
      </c>
      <c r="D19" s="57" t="s">
        <v>104</v>
      </c>
      <c r="E19" s="57" t="s">
        <v>47</v>
      </c>
      <c r="F19" s="57" t="s">
        <v>124</v>
      </c>
      <c r="G19" s="57" t="s">
        <v>125</v>
      </c>
      <c r="H19" s="57" t="s">
        <v>74</v>
      </c>
      <c r="I19" s="57" t="s">
        <v>75</v>
      </c>
      <c r="J19" s="102">
        <v>46090.473611111112</v>
      </c>
      <c r="K19" s="102">
        <v>46107.507638888892</v>
      </c>
      <c r="L19" s="102">
        <v>46159.863888888889</v>
      </c>
      <c r="M19" s="10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98">
        <v>18</v>
      </c>
      <c r="B20" s="57" t="s">
        <v>126</v>
      </c>
      <c r="C20" s="57" t="s">
        <v>70</v>
      </c>
      <c r="D20" s="57" t="s">
        <v>110</v>
      </c>
      <c r="E20" s="57" t="s">
        <v>47</v>
      </c>
      <c r="F20" s="57" t="s">
        <v>114</v>
      </c>
      <c r="G20" s="57" t="s">
        <v>127</v>
      </c>
      <c r="H20" s="57" t="s">
        <v>74</v>
      </c>
      <c r="I20" s="57" t="s">
        <v>75</v>
      </c>
      <c r="J20" s="102">
        <v>46090.474999999999</v>
      </c>
      <c r="K20" s="102">
        <v>46111.42083333333</v>
      </c>
      <c r="L20" s="102">
        <v>46159.865277777775</v>
      </c>
      <c r="M20" s="10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98">
        <v>19</v>
      </c>
      <c r="B21" s="57" t="s">
        <v>128</v>
      </c>
      <c r="C21" s="57" t="s">
        <v>70</v>
      </c>
      <c r="D21" s="57" t="s">
        <v>110</v>
      </c>
      <c r="E21" s="57" t="s">
        <v>47</v>
      </c>
      <c r="F21" s="57" t="s">
        <v>114</v>
      </c>
      <c r="G21" s="57" t="s">
        <v>129</v>
      </c>
      <c r="H21" s="57" t="s">
        <v>74</v>
      </c>
      <c r="I21" s="57" t="s">
        <v>75</v>
      </c>
      <c r="J21" s="102">
        <v>46090.475694444445</v>
      </c>
      <c r="K21" s="102">
        <v>46108.635416666664</v>
      </c>
      <c r="L21" s="102">
        <v>46159.865972222222</v>
      </c>
      <c r="M21" s="10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98">
        <v>20</v>
      </c>
      <c r="B22" s="57" t="s">
        <v>130</v>
      </c>
      <c r="C22" s="57" t="s">
        <v>70</v>
      </c>
      <c r="D22" s="57" t="s">
        <v>87</v>
      </c>
      <c r="E22" s="57" t="s">
        <v>47</v>
      </c>
      <c r="F22" s="57" t="s">
        <v>88</v>
      </c>
      <c r="G22" s="57" t="s">
        <v>131</v>
      </c>
      <c r="H22" s="57" t="s">
        <v>74</v>
      </c>
      <c r="I22" s="57" t="s">
        <v>75</v>
      </c>
      <c r="J22" s="102">
        <v>46090.479861111111</v>
      </c>
      <c r="K22" s="103"/>
      <c r="L22" s="103"/>
      <c r="M22" s="107"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-90</v>
      </c>
      <c r="P22" s="61">
        <f t="shared" ca="1" si="2"/>
        <v>90</v>
      </c>
      <c r="Q22" s="61" t="str">
        <f t="shared" ca="1" si="1"/>
        <v>&gt;60 Days</v>
      </c>
    </row>
    <row r="23" spans="1:17" ht="27.6" x14ac:dyDescent="0.3">
      <c r="A23" s="98">
        <v>21</v>
      </c>
      <c r="B23" s="57" t="s">
        <v>132</v>
      </c>
      <c r="C23" s="57" t="s">
        <v>70</v>
      </c>
      <c r="D23" s="57" t="s">
        <v>104</v>
      </c>
      <c r="E23" s="57" t="s">
        <v>47</v>
      </c>
      <c r="F23" s="57" t="s">
        <v>124</v>
      </c>
      <c r="G23" s="57" t="s">
        <v>133</v>
      </c>
      <c r="H23" s="57" t="s">
        <v>74</v>
      </c>
      <c r="I23" s="57" t="s">
        <v>75</v>
      </c>
      <c r="J23" s="102">
        <v>46090.509722222225</v>
      </c>
      <c r="K23" s="103"/>
      <c r="L23" s="103"/>
      <c r="M23" s="107"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-90</v>
      </c>
      <c r="P23" s="61">
        <f t="shared" ca="1" si="2"/>
        <v>90</v>
      </c>
      <c r="Q23" s="61" t="str">
        <f t="shared" ca="1" si="1"/>
        <v>&gt;60 Days</v>
      </c>
    </row>
    <row r="24" spans="1:17" ht="69" x14ac:dyDescent="0.3">
      <c r="A24" s="98">
        <v>22</v>
      </c>
      <c r="B24" s="57" t="s">
        <v>134</v>
      </c>
      <c r="C24" s="57" t="s">
        <v>70</v>
      </c>
      <c r="D24" s="57" t="s">
        <v>135</v>
      </c>
      <c r="E24" s="57" t="s">
        <v>47</v>
      </c>
      <c r="F24" s="57" t="s">
        <v>136</v>
      </c>
      <c r="G24" s="57" t="s">
        <v>137</v>
      </c>
      <c r="H24" s="57" t="s">
        <v>74</v>
      </c>
      <c r="I24" s="57" t="s">
        <v>75</v>
      </c>
      <c r="J24" s="102">
        <v>46090.511805555558</v>
      </c>
      <c r="K24" s="102">
        <v>46182.51666666667</v>
      </c>
      <c r="L24" s="103"/>
      <c r="M24" s="107"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98">
        <v>23</v>
      </c>
      <c r="B25" s="57" t="s">
        <v>138</v>
      </c>
      <c r="C25" s="57" t="s">
        <v>70</v>
      </c>
      <c r="D25" s="57" t="s">
        <v>82</v>
      </c>
      <c r="E25" s="57" t="s">
        <v>47</v>
      </c>
      <c r="F25" s="57" t="s">
        <v>139</v>
      </c>
      <c r="G25" s="57" t="s">
        <v>140</v>
      </c>
      <c r="H25" s="57" t="s">
        <v>74</v>
      </c>
      <c r="I25" s="57" t="s">
        <v>75</v>
      </c>
      <c r="J25" s="102">
        <v>46090.51666666667</v>
      </c>
      <c r="K25" s="103"/>
      <c r="L25" s="103"/>
      <c r="M25" s="107"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-90</v>
      </c>
      <c r="P25" s="61">
        <f t="shared" ca="1" si="2"/>
        <v>90</v>
      </c>
      <c r="Q25" s="61" t="str">
        <f t="shared" ca="1" si="1"/>
        <v>&gt;60 Days</v>
      </c>
    </row>
    <row r="26" spans="1:17" ht="55.2" x14ac:dyDescent="0.3">
      <c r="A26" s="98">
        <v>24</v>
      </c>
      <c r="B26" s="57" t="s">
        <v>141</v>
      </c>
      <c r="C26" s="57" t="s">
        <v>70</v>
      </c>
      <c r="D26" s="57" t="s">
        <v>71</v>
      </c>
      <c r="E26" s="57" t="s">
        <v>47</v>
      </c>
      <c r="F26" s="57" t="s">
        <v>72</v>
      </c>
      <c r="G26" s="57" t="s">
        <v>142</v>
      </c>
      <c r="H26" s="57" t="s">
        <v>74</v>
      </c>
      <c r="I26" s="57" t="s">
        <v>75</v>
      </c>
      <c r="J26" s="102">
        <v>46091.421527777777</v>
      </c>
      <c r="K26" s="102">
        <v>46132.486111111109</v>
      </c>
      <c r="L26" s="102">
        <v>46132.486111111109</v>
      </c>
      <c r="M26" s="10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98">
        <v>25</v>
      </c>
      <c r="B27" s="57" t="s">
        <v>143</v>
      </c>
      <c r="C27" s="57" t="s">
        <v>70</v>
      </c>
      <c r="D27" s="57" t="s">
        <v>135</v>
      </c>
      <c r="E27" s="57" t="s">
        <v>47</v>
      </c>
      <c r="F27" s="57" t="s">
        <v>136</v>
      </c>
      <c r="G27" s="57" t="s">
        <v>144</v>
      </c>
      <c r="H27" s="57" t="s">
        <v>74</v>
      </c>
      <c r="I27" s="57" t="s">
        <v>75</v>
      </c>
      <c r="J27" s="102">
        <v>46091.42291666667</v>
      </c>
      <c r="K27" s="102">
        <v>46168.42083333333</v>
      </c>
      <c r="L27" s="103"/>
      <c r="M27" s="107" t="s">
        <v>85</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98">
        <v>26</v>
      </c>
      <c r="B28" s="57" t="s">
        <v>145</v>
      </c>
      <c r="C28" s="57" t="s">
        <v>70</v>
      </c>
      <c r="D28" s="57" t="s">
        <v>71</v>
      </c>
      <c r="E28" s="57" t="s">
        <v>47</v>
      </c>
      <c r="F28" s="57" t="s">
        <v>72</v>
      </c>
      <c r="G28" s="57" t="s">
        <v>146</v>
      </c>
      <c r="H28" s="57" t="s">
        <v>74</v>
      </c>
      <c r="I28" s="57" t="s">
        <v>75</v>
      </c>
      <c r="J28" s="102">
        <v>46091.423611111109</v>
      </c>
      <c r="K28" s="102">
        <v>46094.654861111114</v>
      </c>
      <c r="L28" s="102">
        <v>46159.866666666669</v>
      </c>
      <c r="M28" s="10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98">
        <v>27</v>
      </c>
      <c r="B29" s="57" t="s">
        <v>147</v>
      </c>
      <c r="C29" s="57" t="s">
        <v>70</v>
      </c>
      <c r="D29" s="57" t="s">
        <v>104</v>
      </c>
      <c r="E29" s="57" t="s">
        <v>47</v>
      </c>
      <c r="F29" s="57" t="s">
        <v>148</v>
      </c>
      <c r="G29" s="57" t="s">
        <v>149</v>
      </c>
      <c r="H29" s="57" t="s">
        <v>74</v>
      </c>
      <c r="I29" s="57" t="s">
        <v>75</v>
      </c>
      <c r="J29" s="102">
        <v>46091.606249999997</v>
      </c>
      <c r="K29" s="102">
        <v>46134.635416666664</v>
      </c>
      <c r="L29" s="102">
        <v>46134.635416666664</v>
      </c>
      <c r="M29" s="10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98">
        <v>28</v>
      </c>
      <c r="B30" s="57" t="s">
        <v>150</v>
      </c>
      <c r="C30" s="57" t="s">
        <v>70</v>
      </c>
      <c r="D30" s="57" t="s">
        <v>104</v>
      </c>
      <c r="E30" s="57" t="s">
        <v>47</v>
      </c>
      <c r="F30" s="57" t="s">
        <v>151</v>
      </c>
      <c r="G30" s="57" t="s">
        <v>152</v>
      </c>
      <c r="H30" s="57" t="s">
        <v>74</v>
      </c>
      <c r="I30" s="57" t="s">
        <v>75</v>
      </c>
      <c r="J30" s="102">
        <v>46091.60833333333</v>
      </c>
      <c r="K30" s="102">
        <v>46099.529166666667</v>
      </c>
      <c r="L30" s="102">
        <v>46099.529166666667</v>
      </c>
      <c r="M30" s="107"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98">
        <v>29</v>
      </c>
      <c r="B31" s="57" t="s">
        <v>153</v>
      </c>
      <c r="C31" s="57" t="s">
        <v>70</v>
      </c>
      <c r="D31" s="57" t="s">
        <v>104</v>
      </c>
      <c r="E31" s="57" t="s">
        <v>47</v>
      </c>
      <c r="F31" s="57" t="s">
        <v>154</v>
      </c>
      <c r="G31" s="57" t="s">
        <v>155</v>
      </c>
      <c r="H31" s="57" t="s">
        <v>74</v>
      </c>
      <c r="I31" s="57" t="s">
        <v>75</v>
      </c>
      <c r="J31" s="102">
        <v>46091.626388888886</v>
      </c>
      <c r="K31" s="102">
        <v>46099.48541666667</v>
      </c>
      <c r="L31" s="102">
        <v>46122.436805555553</v>
      </c>
      <c r="M31" s="10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98">
        <v>30</v>
      </c>
      <c r="B32" s="57" t="s">
        <v>156</v>
      </c>
      <c r="C32" s="57" t="s">
        <v>70</v>
      </c>
      <c r="D32" s="57" t="s">
        <v>104</v>
      </c>
      <c r="E32" s="57" t="s">
        <v>47</v>
      </c>
      <c r="F32" s="57" t="s">
        <v>157</v>
      </c>
      <c r="G32" s="57" t="s">
        <v>158</v>
      </c>
      <c r="H32" s="57" t="s">
        <v>74</v>
      </c>
      <c r="I32" s="57" t="s">
        <v>75</v>
      </c>
      <c r="J32" s="102">
        <v>46091.62777777778</v>
      </c>
      <c r="K32" s="102">
        <v>46189.459027777775</v>
      </c>
      <c r="L32" s="103"/>
      <c r="M32" s="107"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98">
        <v>31</v>
      </c>
      <c r="B33" s="57" t="s">
        <v>159</v>
      </c>
      <c r="C33" s="57" t="s">
        <v>70</v>
      </c>
      <c r="D33" s="57" t="s">
        <v>104</v>
      </c>
      <c r="E33" s="57" t="s">
        <v>47</v>
      </c>
      <c r="F33" s="57" t="s">
        <v>160</v>
      </c>
      <c r="G33" s="57" t="s">
        <v>161</v>
      </c>
      <c r="H33" s="57" t="s">
        <v>74</v>
      </c>
      <c r="I33" s="57" t="s">
        <v>75</v>
      </c>
      <c r="J33" s="102">
        <v>46091.632638888892</v>
      </c>
      <c r="K33" s="102">
        <v>46134.606944444444</v>
      </c>
      <c r="L33" s="102">
        <v>46159.868055555555</v>
      </c>
      <c r="M33" s="10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98">
        <v>32</v>
      </c>
      <c r="B34" s="57" t="s">
        <v>162</v>
      </c>
      <c r="C34" s="57" t="s">
        <v>70</v>
      </c>
      <c r="D34" s="57" t="s">
        <v>104</v>
      </c>
      <c r="E34" s="57" t="s">
        <v>47</v>
      </c>
      <c r="F34" s="57" t="s">
        <v>163</v>
      </c>
      <c r="G34" s="57" t="s">
        <v>164</v>
      </c>
      <c r="H34" s="57" t="s">
        <v>74</v>
      </c>
      <c r="I34" s="57" t="s">
        <v>75</v>
      </c>
      <c r="J34" s="102">
        <v>46091.634027777778</v>
      </c>
      <c r="K34" s="103"/>
      <c r="L34" s="103"/>
      <c r="M34" s="107"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-89</v>
      </c>
      <c r="P34" s="61">
        <f t="shared" ca="1" si="2"/>
        <v>89</v>
      </c>
      <c r="Q34" s="61" t="str">
        <f t="shared" ca="1" si="1"/>
        <v>&gt;60 Days</v>
      </c>
    </row>
    <row r="35" spans="1:17" ht="69" x14ac:dyDescent="0.3">
      <c r="A35" s="98">
        <v>33</v>
      </c>
      <c r="B35" s="57" t="s">
        <v>165</v>
      </c>
      <c r="C35" s="57" t="s">
        <v>70</v>
      </c>
      <c r="D35" s="57" t="s">
        <v>135</v>
      </c>
      <c r="E35" s="57" t="s">
        <v>47</v>
      </c>
      <c r="F35" s="57" t="s">
        <v>166</v>
      </c>
      <c r="G35" s="57" t="s">
        <v>167</v>
      </c>
      <c r="H35" s="57" t="s">
        <v>74</v>
      </c>
      <c r="I35" s="57" t="s">
        <v>75</v>
      </c>
      <c r="J35" s="102">
        <v>46091.635416666664</v>
      </c>
      <c r="K35" s="102">
        <v>46107.481944444444</v>
      </c>
      <c r="L35" s="102">
        <v>46159.868750000001</v>
      </c>
      <c r="M35" s="10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98">
        <v>34</v>
      </c>
      <c r="B36" s="57" t="s">
        <v>168</v>
      </c>
      <c r="C36" s="57" t="s">
        <v>70</v>
      </c>
      <c r="D36" s="57" t="s">
        <v>71</v>
      </c>
      <c r="E36" s="57" t="s">
        <v>47</v>
      </c>
      <c r="F36" s="57" t="s">
        <v>169</v>
      </c>
      <c r="G36" s="57" t="s">
        <v>170</v>
      </c>
      <c r="H36" s="57" t="s">
        <v>74</v>
      </c>
      <c r="I36" s="57" t="s">
        <v>75</v>
      </c>
      <c r="J36" s="102">
        <v>46091.636805555558</v>
      </c>
      <c r="K36" s="102">
        <v>46199.509027777778</v>
      </c>
      <c r="L36" s="102">
        <v>46210.669444444444</v>
      </c>
      <c r="M36" s="10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98">
        <v>35</v>
      </c>
      <c r="B37" s="57" t="s">
        <v>171</v>
      </c>
      <c r="C37" s="57" t="s">
        <v>70</v>
      </c>
      <c r="D37" s="57" t="s">
        <v>104</v>
      </c>
      <c r="E37" s="57" t="s">
        <v>47</v>
      </c>
      <c r="F37" s="57" t="s">
        <v>157</v>
      </c>
      <c r="G37" s="57" t="s">
        <v>172</v>
      </c>
      <c r="H37" s="57" t="s">
        <v>74</v>
      </c>
      <c r="I37" s="57" t="s">
        <v>75</v>
      </c>
      <c r="J37" s="102">
        <v>46091.637499999997</v>
      </c>
      <c r="K37" s="102">
        <v>46183.473611111112</v>
      </c>
      <c r="L37" s="102">
        <v>46183.473611111112</v>
      </c>
      <c r="M37" s="107"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98">
        <v>36</v>
      </c>
      <c r="B38" s="57" t="s">
        <v>173</v>
      </c>
      <c r="C38" s="57" t="s">
        <v>70</v>
      </c>
      <c r="D38" s="57" t="s">
        <v>135</v>
      </c>
      <c r="E38" s="57" t="s">
        <v>47</v>
      </c>
      <c r="F38" s="57" t="s">
        <v>174</v>
      </c>
      <c r="G38" s="57" t="s">
        <v>175</v>
      </c>
      <c r="H38" s="57" t="s">
        <v>74</v>
      </c>
      <c r="I38" s="57" t="s">
        <v>75</v>
      </c>
      <c r="J38" s="102">
        <v>46091.638888888891</v>
      </c>
      <c r="K38" s="102">
        <v>46107.492361111108</v>
      </c>
      <c r="L38" s="102">
        <v>46159.869444444441</v>
      </c>
      <c r="M38" s="10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98">
        <v>37</v>
      </c>
      <c r="B39" s="57" t="s">
        <v>176</v>
      </c>
      <c r="C39" s="57" t="s">
        <v>70</v>
      </c>
      <c r="D39" s="57" t="s">
        <v>104</v>
      </c>
      <c r="E39" s="57" t="s">
        <v>47</v>
      </c>
      <c r="F39" s="57" t="s">
        <v>177</v>
      </c>
      <c r="G39" s="57" t="s">
        <v>178</v>
      </c>
      <c r="H39" s="57" t="s">
        <v>74</v>
      </c>
      <c r="I39" s="57" t="s">
        <v>75</v>
      </c>
      <c r="J39" s="102">
        <v>46091.63958333333</v>
      </c>
      <c r="K39" s="102">
        <v>46160.620138888888</v>
      </c>
      <c r="L39" s="103"/>
      <c r="M39" s="107" t="s">
        <v>85</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98">
        <v>38</v>
      </c>
      <c r="B40" s="57" t="s">
        <v>179</v>
      </c>
      <c r="C40" s="57" t="s">
        <v>70</v>
      </c>
      <c r="D40" s="57" t="s">
        <v>104</v>
      </c>
      <c r="E40" s="57" t="s">
        <v>47</v>
      </c>
      <c r="F40" s="57" t="s">
        <v>180</v>
      </c>
      <c r="G40" s="57" t="s">
        <v>181</v>
      </c>
      <c r="H40" s="57" t="s">
        <v>74</v>
      </c>
      <c r="I40" s="57" t="s">
        <v>75</v>
      </c>
      <c r="J40" s="102">
        <v>46091.647916666669</v>
      </c>
      <c r="K40" s="103"/>
      <c r="L40" s="103"/>
      <c r="M40" s="107"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-89</v>
      </c>
      <c r="P40" s="61">
        <f t="shared" ca="1" si="2"/>
        <v>89</v>
      </c>
      <c r="Q40" s="61" t="str">
        <f t="shared" ca="1" si="1"/>
        <v>&gt;60 Days</v>
      </c>
    </row>
    <row r="41" spans="1:17" ht="69" x14ac:dyDescent="0.3">
      <c r="A41" s="98">
        <v>39</v>
      </c>
      <c r="B41" s="57" t="s">
        <v>182</v>
      </c>
      <c r="C41" s="57" t="s">
        <v>70</v>
      </c>
      <c r="D41" s="57" t="s">
        <v>183</v>
      </c>
      <c r="E41" s="57" t="s">
        <v>47</v>
      </c>
      <c r="F41" s="57" t="s">
        <v>184</v>
      </c>
      <c r="G41" s="57" t="s">
        <v>185</v>
      </c>
      <c r="H41" s="57" t="s">
        <v>74</v>
      </c>
      <c r="I41" s="57" t="s">
        <v>75</v>
      </c>
      <c r="J41" s="102">
        <v>46091.65625</v>
      </c>
      <c r="K41" s="103"/>
      <c r="L41" s="103"/>
      <c r="M41" s="107"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-89</v>
      </c>
      <c r="P41" s="61">
        <f t="shared" ca="1" si="2"/>
        <v>89</v>
      </c>
      <c r="Q41" s="61" t="str">
        <f t="shared" ca="1" si="1"/>
        <v>&gt;60 Days</v>
      </c>
    </row>
    <row r="42" spans="1:17" ht="124.2" x14ac:dyDescent="0.3">
      <c r="A42" s="98">
        <v>40</v>
      </c>
      <c r="B42" s="57" t="s">
        <v>186</v>
      </c>
      <c r="C42" s="57" t="s">
        <v>70</v>
      </c>
      <c r="D42" s="57" t="s">
        <v>82</v>
      </c>
      <c r="E42" s="57" t="s">
        <v>47</v>
      </c>
      <c r="F42" s="57" t="s">
        <v>187</v>
      </c>
      <c r="G42" s="57" t="s">
        <v>188</v>
      </c>
      <c r="H42" s="57" t="s">
        <v>74</v>
      </c>
      <c r="I42" s="57" t="s">
        <v>75</v>
      </c>
      <c r="J42" s="102">
        <v>46091.657638888886</v>
      </c>
      <c r="K42" s="103"/>
      <c r="L42" s="103"/>
      <c r="M42" s="107"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-89</v>
      </c>
      <c r="P42" s="61">
        <f t="shared" ca="1" si="2"/>
        <v>89</v>
      </c>
      <c r="Q42" s="61" t="str">
        <f t="shared" ca="1" si="1"/>
        <v>&gt;60 Days</v>
      </c>
    </row>
    <row r="43" spans="1:17" ht="41.4" x14ac:dyDescent="0.3">
      <c r="A43" s="98">
        <v>41</v>
      </c>
      <c r="B43" s="57" t="s">
        <v>189</v>
      </c>
      <c r="C43" s="57" t="s">
        <v>70</v>
      </c>
      <c r="D43" s="57" t="s">
        <v>104</v>
      </c>
      <c r="E43" s="57" t="s">
        <v>47</v>
      </c>
      <c r="F43" s="57" t="s">
        <v>190</v>
      </c>
      <c r="G43" s="57" t="s">
        <v>191</v>
      </c>
      <c r="H43" s="57" t="s">
        <v>74</v>
      </c>
      <c r="I43" s="57" t="s">
        <v>75</v>
      </c>
      <c r="J43" s="102">
        <v>46091.658333333333</v>
      </c>
      <c r="K43" s="102">
        <v>46203.370833333334</v>
      </c>
      <c r="L43" s="102">
        <v>46203.370833333334</v>
      </c>
      <c r="M43" s="10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98">
        <v>42</v>
      </c>
      <c r="B44" s="57" t="s">
        <v>192</v>
      </c>
      <c r="C44" s="57" t="s">
        <v>70</v>
      </c>
      <c r="D44" s="57" t="s">
        <v>71</v>
      </c>
      <c r="E44" s="57" t="s">
        <v>47</v>
      </c>
      <c r="F44" s="57" t="s">
        <v>193</v>
      </c>
      <c r="G44" s="57" t="s">
        <v>194</v>
      </c>
      <c r="H44" s="57" t="s">
        <v>74</v>
      </c>
      <c r="I44" s="57" t="s">
        <v>75</v>
      </c>
      <c r="J44" s="102">
        <v>46091.659722222219</v>
      </c>
      <c r="K44" s="102">
        <v>46132.633333333331</v>
      </c>
      <c r="L44" s="102">
        <v>46132.633333333331</v>
      </c>
      <c r="M44" s="107"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98">
        <v>43</v>
      </c>
      <c r="B45" s="57" t="s">
        <v>195</v>
      </c>
      <c r="C45" s="57" t="s">
        <v>70</v>
      </c>
      <c r="D45" s="57" t="s">
        <v>183</v>
      </c>
      <c r="E45" s="57" t="s">
        <v>47</v>
      </c>
      <c r="F45" s="57" t="s">
        <v>196</v>
      </c>
      <c r="G45" s="57" t="s">
        <v>197</v>
      </c>
      <c r="H45" s="57" t="s">
        <v>74</v>
      </c>
      <c r="I45" s="57" t="s">
        <v>75</v>
      </c>
      <c r="J45" s="102">
        <v>46091.660416666666</v>
      </c>
      <c r="K45" s="103"/>
      <c r="L45" s="103"/>
      <c r="M45" s="107" t="s">
        <v>77</v>
      </c>
      <c r="N45" s="59">
        <f>IF(ISBLANK(J45),"",IF(OR(M45="Completed",M45="Closed"),"",IF(H45="Issue",IF(I45="High",WORKDAY(J45,2,DATA!A44:A72),IF(I45="Medium",WORKDAY(J45,14,DATA!A44:A72),IF(OR(I45="Low"),WORKDAY(J45,30,DATA!A44:A72),""))),
"")
))</f>
        <v>46111</v>
      </c>
      <c r="O45" s="60">
        <f ca="1">IF(OR(ISBLANK(#REF!), M45="Completed", M45="Closed", H45&lt;&gt;"Issue"), "",
   (NETWORKDAYS.INTL(TODAY(), N45, 1, DATA!A44:A72) - 1))</f>
        <v>-89</v>
      </c>
      <c r="P45" s="61">
        <f t="shared" ca="1" si="2"/>
        <v>89</v>
      </c>
      <c r="Q45" s="61" t="str">
        <f t="shared" ca="1" si="1"/>
        <v>&gt;60 Days</v>
      </c>
    </row>
    <row r="46" spans="1:17" ht="55.2" x14ac:dyDescent="0.3">
      <c r="A46" s="98">
        <v>44</v>
      </c>
      <c r="B46" s="57" t="s">
        <v>198</v>
      </c>
      <c r="C46" s="57" t="s">
        <v>70</v>
      </c>
      <c r="D46" s="57" t="s">
        <v>199</v>
      </c>
      <c r="E46" s="57" t="s">
        <v>47</v>
      </c>
      <c r="F46" s="57" t="s">
        <v>200</v>
      </c>
      <c r="G46" s="57" t="s">
        <v>201</v>
      </c>
      <c r="H46" s="57" t="s">
        <v>74</v>
      </c>
      <c r="I46" s="57" t="s">
        <v>75</v>
      </c>
      <c r="J46" s="102">
        <v>46091.661805555559</v>
      </c>
      <c r="K46" s="102">
        <v>46126.431250000001</v>
      </c>
      <c r="L46" s="102">
        <v>46159.870138888888</v>
      </c>
      <c r="M46" s="10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98">
        <v>45</v>
      </c>
      <c r="B47" s="57" t="s">
        <v>202</v>
      </c>
      <c r="C47" s="57" t="s">
        <v>70</v>
      </c>
      <c r="D47" s="57" t="s">
        <v>104</v>
      </c>
      <c r="E47" s="57" t="s">
        <v>47</v>
      </c>
      <c r="F47" s="57" t="s">
        <v>203</v>
      </c>
      <c r="G47" s="57" t="s">
        <v>204</v>
      </c>
      <c r="H47" s="57" t="s">
        <v>74</v>
      </c>
      <c r="I47" s="57" t="s">
        <v>75</v>
      </c>
      <c r="J47" s="102">
        <v>46091.662499999999</v>
      </c>
      <c r="K47" s="102">
        <v>46108.620138888888</v>
      </c>
      <c r="L47" s="102">
        <v>46159.871527777781</v>
      </c>
      <c r="M47" s="10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98">
        <v>46</v>
      </c>
      <c r="B48" s="57" t="s">
        <v>205</v>
      </c>
      <c r="C48" s="57" t="s">
        <v>70</v>
      </c>
      <c r="D48" s="57" t="s">
        <v>82</v>
      </c>
      <c r="E48" s="57" t="s">
        <v>47</v>
      </c>
      <c r="F48" s="57" t="s">
        <v>206</v>
      </c>
      <c r="G48" s="57" t="s">
        <v>207</v>
      </c>
      <c r="H48" s="57" t="s">
        <v>74</v>
      </c>
      <c r="I48" s="57" t="s">
        <v>75</v>
      </c>
      <c r="J48" s="102">
        <v>46091.663194444445</v>
      </c>
      <c r="K48" s="103"/>
      <c r="L48" s="103"/>
      <c r="M48" s="107"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-89</v>
      </c>
      <c r="P48" s="61">
        <f t="shared" ca="1" si="2"/>
        <v>89</v>
      </c>
      <c r="Q48" s="61" t="str">
        <f t="shared" ca="1" si="1"/>
        <v>&gt;60 Days</v>
      </c>
    </row>
    <row r="49" spans="1:17" ht="82.8" x14ac:dyDescent="0.3">
      <c r="A49" s="98">
        <v>47</v>
      </c>
      <c r="B49" s="57" t="s">
        <v>208</v>
      </c>
      <c r="C49" s="57" t="s">
        <v>70</v>
      </c>
      <c r="D49" s="57" t="s">
        <v>104</v>
      </c>
      <c r="E49" s="57" t="s">
        <v>47</v>
      </c>
      <c r="F49" s="57" t="s">
        <v>209</v>
      </c>
      <c r="G49" s="57" t="s">
        <v>210</v>
      </c>
      <c r="H49" s="57" t="s">
        <v>74</v>
      </c>
      <c r="I49" s="57" t="s">
        <v>75</v>
      </c>
      <c r="J49" s="102">
        <v>46091.664583333331</v>
      </c>
      <c r="K49" s="103"/>
      <c r="L49" s="103"/>
      <c r="M49" s="107"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-89</v>
      </c>
      <c r="P49" s="61">
        <f t="shared" ca="1" si="2"/>
        <v>89</v>
      </c>
      <c r="Q49" s="61" t="str">
        <f t="shared" ca="1" si="1"/>
        <v>&gt;60 Days</v>
      </c>
    </row>
    <row r="50" spans="1:17" ht="27.6" x14ac:dyDescent="0.3">
      <c r="A50" s="98">
        <v>48</v>
      </c>
      <c r="B50" s="57" t="s">
        <v>211</v>
      </c>
      <c r="C50" s="57" t="s">
        <v>70</v>
      </c>
      <c r="D50" s="57" t="s">
        <v>199</v>
      </c>
      <c r="E50" s="57" t="s">
        <v>47</v>
      </c>
      <c r="F50" s="57" t="s">
        <v>212</v>
      </c>
      <c r="G50" s="57" t="s">
        <v>213</v>
      </c>
      <c r="H50" s="57" t="s">
        <v>74</v>
      </c>
      <c r="I50" s="57" t="s">
        <v>75</v>
      </c>
      <c r="J50" s="102">
        <v>46091.665277777778</v>
      </c>
      <c r="K50" s="102">
        <v>46126.420138888891</v>
      </c>
      <c r="L50" s="102">
        <v>46159.87222222222</v>
      </c>
      <c r="M50" s="10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98">
        <v>49</v>
      </c>
      <c r="B51" s="57" t="s">
        <v>214</v>
      </c>
      <c r="C51" s="57" t="s">
        <v>70</v>
      </c>
      <c r="D51" s="57" t="s">
        <v>87</v>
      </c>
      <c r="E51" s="57" t="s">
        <v>47</v>
      </c>
      <c r="F51" s="57" t="s">
        <v>215</v>
      </c>
      <c r="G51" s="57" t="s">
        <v>216</v>
      </c>
      <c r="H51" s="57" t="s">
        <v>74</v>
      </c>
      <c r="I51" s="57" t="s">
        <v>75</v>
      </c>
      <c r="J51" s="102">
        <v>46091.665972222225</v>
      </c>
      <c r="K51" s="102">
        <v>46126.640277777777</v>
      </c>
      <c r="L51" s="102">
        <v>46126.642361111109</v>
      </c>
      <c r="M51" s="107"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98">
        <v>50</v>
      </c>
      <c r="B52" s="57" t="s">
        <v>217</v>
      </c>
      <c r="C52" s="57" t="s">
        <v>70</v>
      </c>
      <c r="D52" s="57" t="s">
        <v>199</v>
      </c>
      <c r="E52" s="57" t="s">
        <v>47</v>
      </c>
      <c r="F52" s="57" t="s">
        <v>218</v>
      </c>
      <c r="G52" s="57" t="s">
        <v>219</v>
      </c>
      <c r="H52" s="57" t="s">
        <v>74</v>
      </c>
      <c r="I52" s="57" t="s">
        <v>75</v>
      </c>
      <c r="J52" s="102">
        <v>46091.666666666664</v>
      </c>
      <c r="K52" s="102">
        <v>46094.410416666666</v>
      </c>
      <c r="L52" s="102">
        <v>46094.410416666666</v>
      </c>
      <c r="M52" s="10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98">
        <v>51</v>
      </c>
      <c r="B53" s="57" t="s">
        <v>220</v>
      </c>
      <c r="C53" s="57" t="s">
        <v>70</v>
      </c>
      <c r="D53" s="57" t="s">
        <v>104</v>
      </c>
      <c r="E53" s="57" t="s">
        <v>47</v>
      </c>
      <c r="F53" s="57" t="s">
        <v>151</v>
      </c>
      <c r="G53" s="57" t="s">
        <v>221</v>
      </c>
      <c r="H53" s="57" t="s">
        <v>74</v>
      </c>
      <c r="I53" s="57" t="s">
        <v>75</v>
      </c>
      <c r="J53" s="102">
        <v>46091.666666666664</v>
      </c>
      <c r="K53" s="102">
        <v>46107.525000000001</v>
      </c>
      <c r="L53" s="102">
        <v>46159.872916666667</v>
      </c>
      <c r="M53" s="107"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98">
        <v>52</v>
      </c>
      <c r="B54" s="57" t="s">
        <v>222</v>
      </c>
      <c r="C54" s="57" t="s">
        <v>70</v>
      </c>
      <c r="D54" s="57" t="s">
        <v>87</v>
      </c>
      <c r="E54" s="57" t="s">
        <v>47</v>
      </c>
      <c r="F54" s="57" t="s">
        <v>223</v>
      </c>
      <c r="G54" s="57" t="s">
        <v>224</v>
      </c>
      <c r="H54" s="57" t="s">
        <v>74</v>
      </c>
      <c r="I54" s="57" t="s">
        <v>75</v>
      </c>
      <c r="J54" s="102">
        <v>46091.668055555558</v>
      </c>
      <c r="K54" s="103"/>
      <c r="L54" s="103"/>
      <c r="M54" s="107" t="s">
        <v>77</v>
      </c>
      <c r="N54" s="59">
        <f>IF(ISBLANK(J54),"",IF(OR(M54="Completed",M54="Closed"),"",IF(H54="Issue",IF(I54="High",WORKDAY(J54,2,DATA!A53:A81),IF(I54="Medium",WORKDAY(J54,14,DATA!A53:A81),IF(OR(I54="Low"),WORKDAY(J54,30,DATA!A53:A81),""))),
"")
))</f>
        <v>46111</v>
      </c>
      <c r="O54" s="60">
        <f ca="1">IF(OR(ISBLANK(#REF!), M54="Completed", M54="Closed", H54&lt;&gt;"Issue"), "",
   (NETWORKDAYS.INTL(TODAY(), N54, 1, DATA!A53:A81) - 1))</f>
        <v>-89</v>
      </c>
      <c r="P54" s="61">
        <f t="shared" ca="1" si="2"/>
        <v>89</v>
      </c>
      <c r="Q54" s="61" t="str">
        <f t="shared" ca="1" si="1"/>
        <v>&gt;60 Days</v>
      </c>
    </row>
    <row r="55" spans="1:17" ht="41.4" x14ac:dyDescent="0.3">
      <c r="A55" s="98">
        <v>53</v>
      </c>
      <c r="B55" s="57" t="s">
        <v>225</v>
      </c>
      <c r="C55" s="57" t="s">
        <v>70</v>
      </c>
      <c r="D55" s="57" t="s">
        <v>135</v>
      </c>
      <c r="E55" s="57" t="s">
        <v>47</v>
      </c>
      <c r="F55" s="57" t="s">
        <v>226</v>
      </c>
      <c r="G55" s="57" t="s">
        <v>227</v>
      </c>
      <c r="H55" s="57" t="s">
        <v>74</v>
      </c>
      <c r="I55" s="57" t="s">
        <v>75</v>
      </c>
      <c r="J55" s="102">
        <v>46091.668055555558</v>
      </c>
      <c r="K55" s="102">
        <v>46108.493750000001</v>
      </c>
      <c r="L55" s="102">
        <v>46159.873611111114</v>
      </c>
      <c r="M55" s="107"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98">
        <v>54</v>
      </c>
      <c r="B56" s="57" t="s">
        <v>228</v>
      </c>
      <c r="C56" s="57" t="s">
        <v>70</v>
      </c>
      <c r="D56" s="57" t="s">
        <v>135</v>
      </c>
      <c r="E56" s="57" t="s">
        <v>47</v>
      </c>
      <c r="F56" s="57" t="s">
        <v>229</v>
      </c>
      <c r="G56" s="57" t="s">
        <v>230</v>
      </c>
      <c r="H56" s="57" t="s">
        <v>74</v>
      </c>
      <c r="I56" s="57" t="s">
        <v>75</v>
      </c>
      <c r="J56" s="102">
        <v>46091.668749999997</v>
      </c>
      <c r="K56" s="102">
        <v>46168.593055555553</v>
      </c>
      <c r="L56" s="102">
        <v>46168.59375</v>
      </c>
      <c r="M56" s="107"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98">
        <v>55</v>
      </c>
      <c r="B57" s="57" t="s">
        <v>231</v>
      </c>
      <c r="C57" s="57" t="s">
        <v>70</v>
      </c>
      <c r="D57" s="57" t="s">
        <v>135</v>
      </c>
      <c r="E57" s="57" t="s">
        <v>47</v>
      </c>
      <c r="F57" s="57" t="s">
        <v>232</v>
      </c>
      <c r="G57" s="57" t="s">
        <v>233</v>
      </c>
      <c r="H57" s="57" t="s">
        <v>74</v>
      </c>
      <c r="I57" s="57" t="s">
        <v>75</v>
      </c>
      <c r="J57" s="102">
        <v>46091.669444444444</v>
      </c>
      <c r="K57" s="102">
        <v>46168.426388888889</v>
      </c>
      <c r="L57" s="102">
        <v>46168.426388888889</v>
      </c>
      <c r="M57" s="107"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98">
        <v>56</v>
      </c>
      <c r="B58" s="57" t="s">
        <v>234</v>
      </c>
      <c r="C58" s="57" t="s">
        <v>70</v>
      </c>
      <c r="D58" s="57" t="s">
        <v>87</v>
      </c>
      <c r="E58" s="57" t="s">
        <v>47</v>
      </c>
      <c r="F58" s="57" t="s">
        <v>235</v>
      </c>
      <c r="G58" s="57" t="s">
        <v>236</v>
      </c>
      <c r="H58" s="57" t="s">
        <v>74</v>
      </c>
      <c r="I58" s="57" t="s">
        <v>75</v>
      </c>
      <c r="J58" s="102">
        <v>46091.670138888891</v>
      </c>
      <c r="K58" s="103"/>
      <c r="L58" s="103"/>
      <c r="M58" s="107" t="s">
        <v>77</v>
      </c>
      <c r="N58" s="59">
        <f>IF(ISBLANK(J58),"",IF(OR(M58="Completed",M58="Closed"),"",IF(H58="Issue",IF(I58="High",WORKDAY(J58,2,DATA!A57:A85),IF(I58="Medium",WORKDAY(J58,14,DATA!A57:A85),IF(OR(I58="Low"),WORKDAY(J58,30,DATA!A57:A85),""))),
"")
))</f>
        <v>46111</v>
      </c>
      <c r="O58" s="60">
        <f ca="1">IF(OR(ISBLANK(#REF!), M58="Completed", M58="Closed", H58&lt;&gt;"Issue"), "",
   (NETWORKDAYS.INTL(TODAY(), N58, 1, DATA!A57:A85) - 1))</f>
        <v>-89</v>
      </c>
      <c r="P58" s="61">
        <f t="shared" ca="1" si="2"/>
        <v>89</v>
      </c>
      <c r="Q58" s="61" t="str">
        <f t="shared" ca="1" si="1"/>
        <v>&gt;60 Days</v>
      </c>
    </row>
    <row r="59" spans="1:17" ht="41.4" x14ac:dyDescent="0.3">
      <c r="A59" s="98">
        <v>57</v>
      </c>
      <c r="B59" s="57" t="s">
        <v>237</v>
      </c>
      <c r="C59" s="57" t="s">
        <v>70</v>
      </c>
      <c r="D59" s="57" t="s">
        <v>104</v>
      </c>
      <c r="E59" s="57" t="s">
        <v>47</v>
      </c>
      <c r="F59" s="57" t="s">
        <v>238</v>
      </c>
      <c r="G59" s="57" t="s">
        <v>239</v>
      </c>
      <c r="H59" s="57" t="s">
        <v>74</v>
      </c>
      <c r="I59" s="57" t="s">
        <v>75</v>
      </c>
      <c r="J59" s="102">
        <v>46091.67083333333</v>
      </c>
      <c r="K59" s="102">
        <v>46108.615277777775</v>
      </c>
      <c r="L59" s="102">
        <v>46159.874305555553</v>
      </c>
      <c r="M59" s="107"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98">
        <v>58</v>
      </c>
      <c r="B60" s="57" t="s">
        <v>240</v>
      </c>
      <c r="C60" s="57" t="s">
        <v>70</v>
      </c>
      <c r="D60" s="57" t="s">
        <v>104</v>
      </c>
      <c r="E60" s="57" t="s">
        <v>47</v>
      </c>
      <c r="F60" s="57" t="s">
        <v>241</v>
      </c>
      <c r="G60" s="57" t="s">
        <v>242</v>
      </c>
      <c r="H60" s="57" t="s">
        <v>74</v>
      </c>
      <c r="I60" s="57" t="s">
        <v>75</v>
      </c>
      <c r="J60" s="102">
        <v>46091.671527777777</v>
      </c>
      <c r="K60" s="102">
        <v>46160.615972222222</v>
      </c>
      <c r="L60" s="103"/>
      <c r="M60" s="107" t="s">
        <v>85</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98">
        <v>59</v>
      </c>
      <c r="B61" s="57" t="s">
        <v>243</v>
      </c>
      <c r="C61" s="57" t="s">
        <v>70</v>
      </c>
      <c r="D61" s="57" t="s">
        <v>104</v>
      </c>
      <c r="E61" s="57" t="s">
        <v>47</v>
      </c>
      <c r="F61" s="57" t="s">
        <v>244</v>
      </c>
      <c r="G61" s="57" t="s">
        <v>245</v>
      </c>
      <c r="H61" s="57" t="s">
        <v>74</v>
      </c>
      <c r="I61" s="57" t="s">
        <v>75</v>
      </c>
      <c r="J61" s="102">
        <v>46091.67291666667</v>
      </c>
      <c r="K61" s="103"/>
      <c r="L61" s="103"/>
      <c r="M61" s="107"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-89</v>
      </c>
      <c r="P61" s="61">
        <f t="shared" ca="1" si="2"/>
        <v>89</v>
      </c>
      <c r="Q61" s="61" t="str">
        <f t="shared" ca="1" si="1"/>
        <v>&gt;60 Days</v>
      </c>
    </row>
    <row r="62" spans="1:17" ht="27.6" x14ac:dyDescent="0.3">
      <c r="A62" s="98">
        <v>60</v>
      </c>
      <c r="B62" s="57" t="s">
        <v>246</v>
      </c>
      <c r="C62" s="57" t="s">
        <v>70</v>
      </c>
      <c r="D62" s="57" t="s">
        <v>135</v>
      </c>
      <c r="E62" s="57" t="s">
        <v>47</v>
      </c>
      <c r="F62" s="57" t="s">
        <v>247</v>
      </c>
      <c r="G62" s="57" t="s">
        <v>248</v>
      </c>
      <c r="H62" s="57" t="s">
        <v>74</v>
      </c>
      <c r="I62" s="57" t="s">
        <v>75</v>
      </c>
      <c r="J62" s="102">
        <v>46091.67291666667</v>
      </c>
      <c r="K62" s="102">
        <v>46168.381944444445</v>
      </c>
      <c r="L62" s="102">
        <v>46168.390972222223</v>
      </c>
      <c r="M62" s="107"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98">
        <v>61</v>
      </c>
      <c r="B63" s="57" t="s">
        <v>249</v>
      </c>
      <c r="C63" s="57" t="s">
        <v>70</v>
      </c>
      <c r="D63" s="57" t="s">
        <v>135</v>
      </c>
      <c r="E63" s="57" t="s">
        <v>47</v>
      </c>
      <c r="F63" s="57" t="s">
        <v>250</v>
      </c>
      <c r="G63" s="57" t="s">
        <v>251</v>
      </c>
      <c r="H63" s="57" t="s">
        <v>74</v>
      </c>
      <c r="I63" s="57" t="s">
        <v>75</v>
      </c>
      <c r="J63" s="102">
        <v>46091.673611111109</v>
      </c>
      <c r="K63" s="102">
        <v>46115.415972222225</v>
      </c>
      <c r="L63" s="102">
        <v>46115.416666666664</v>
      </c>
      <c r="M63" s="107"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98">
        <v>62</v>
      </c>
      <c r="B64" s="57" t="s">
        <v>252</v>
      </c>
      <c r="C64" s="57" t="s">
        <v>70</v>
      </c>
      <c r="D64" s="57" t="s">
        <v>135</v>
      </c>
      <c r="E64" s="57" t="s">
        <v>47</v>
      </c>
      <c r="F64" s="57" t="s">
        <v>174</v>
      </c>
      <c r="G64" s="57" t="s">
        <v>253</v>
      </c>
      <c r="H64" s="57" t="s">
        <v>74</v>
      </c>
      <c r="I64" s="57" t="s">
        <v>75</v>
      </c>
      <c r="J64" s="102">
        <v>46091.681250000001</v>
      </c>
      <c r="K64" s="102">
        <v>46167.388888888891</v>
      </c>
      <c r="L64" s="102">
        <v>46167.38958333333</v>
      </c>
      <c r="M64" s="107"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98">
        <v>63</v>
      </c>
      <c r="B65" s="57" t="s">
        <v>254</v>
      </c>
      <c r="C65" s="57" t="s">
        <v>70</v>
      </c>
      <c r="D65" s="57" t="s">
        <v>87</v>
      </c>
      <c r="E65" s="57" t="s">
        <v>47</v>
      </c>
      <c r="F65" s="57" t="s">
        <v>255</v>
      </c>
      <c r="G65" s="57" t="s">
        <v>256</v>
      </c>
      <c r="H65" s="57" t="s">
        <v>74</v>
      </c>
      <c r="I65" s="57" t="s">
        <v>75</v>
      </c>
      <c r="J65" s="102">
        <v>46093.592361111114</v>
      </c>
      <c r="K65" s="103"/>
      <c r="L65" s="103"/>
      <c r="M65" s="107"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-87</v>
      </c>
      <c r="P65" s="61">
        <f t="shared" ca="1" si="2"/>
        <v>87</v>
      </c>
      <c r="Q65" s="61" t="str">
        <f t="shared" ca="1" si="1"/>
        <v>&gt;60 Days</v>
      </c>
    </row>
    <row r="66" spans="1:17" ht="55.2" x14ac:dyDescent="0.3">
      <c r="A66" s="98">
        <v>64</v>
      </c>
      <c r="B66" s="57" t="s">
        <v>257</v>
      </c>
      <c r="C66" s="57" t="s">
        <v>70</v>
      </c>
      <c r="D66" s="57" t="s">
        <v>104</v>
      </c>
      <c r="E66" s="57" t="s">
        <v>47</v>
      </c>
      <c r="F66" s="57" t="s">
        <v>258</v>
      </c>
      <c r="G66" s="57" t="s">
        <v>259</v>
      </c>
      <c r="H66" s="57" t="s">
        <v>74</v>
      </c>
      <c r="I66" s="57" t="s">
        <v>75</v>
      </c>
      <c r="J66" s="102">
        <v>46094.395138888889</v>
      </c>
      <c r="K66" s="102">
        <v>46108.435416666667</v>
      </c>
      <c r="L66" s="102">
        <v>46159.876388888886</v>
      </c>
      <c r="M66" s="107"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98">
        <v>65</v>
      </c>
      <c r="B67" s="57" t="s">
        <v>260</v>
      </c>
      <c r="C67" s="57" t="s">
        <v>70</v>
      </c>
      <c r="D67" s="57" t="s">
        <v>135</v>
      </c>
      <c r="E67" s="57" t="s">
        <v>47</v>
      </c>
      <c r="F67" s="57" t="s">
        <v>261</v>
      </c>
      <c r="G67" s="57" t="s">
        <v>262</v>
      </c>
      <c r="H67" s="57" t="s">
        <v>74</v>
      </c>
      <c r="I67" s="57" t="s">
        <v>75</v>
      </c>
      <c r="J67" s="102">
        <v>46095.618055555555</v>
      </c>
      <c r="K67" s="102">
        <v>46183.474999999999</v>
      </c>
      <c r="L67" s="102">
        <v>46183.475694444445</v>
      </c>
      <c r="M67" s="10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98">
        <v>66</v>
      </c>
      <c r="B68" s="57" t="s">
        <v>263</v>
      </c>
      <c r="C68" s="57" t="s">
        <v>70</v>
      </c>
      <c r="D68" s="57" t="s">
        <v>104</v>
      </c>
      <c r="E68" s="57" t="s">
        <v>47</v>
      </c>
      <c r="F68" s="57" t="s">
        <v>264</v>
      </c>
      <c r="G68" s="57" t="s">
        <v>265</v>
      </c>
      <c r="H68" s="57" t="s">
        <v>74</v>
      </c>
      <c r="I68" s="57" t="s">
        <v>75</v>
      </c>
      <c r="J68" s="102">
        <v>46098.51458333333</v>
      </c>
      <c r="K68" s="102">
        <v>46108.447916666664</v>
      </c>
      <c r="L68" s="102">
        <v>46159.87777777778</v>
      </c>
      <c r="M68" s="107"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31" ca="1" si="3">IF(P68="","",
IF(P68&lt;=0,"Not Due",
IF(P68&lt;=30,"1-30 Days",
IF(P68&lt;=60,"31-60 Days",
"&gt;60 Days"))))</f>
        <v/>
      </c>
    </row>
    <row r="69" spans="1:17" ht="41.4" x14ac:dyDescent="0.3">
      <c r="A69" s="98">
        <v>67</v>
      </c>
      <c r="B69" s="57" t="s">
        <v>266</v>
      </c>
      <c r="C69" s="57" t="s">
        <v>70</v>
      </c>
      <c r="D69" s="57" t="s">
        <v>104</v>
      </c>
      <c r="E69" s="57" t="s">
        <v>47</v>
      </c>
      <c r="F69" s="57" t="s">
        <v>267</v>
      </c>
      <c r="G69" s="57" t="s">
        <v>268</v>
      </c>
      <c r="H69" s="57" t="s">
        <v>74</v>
      </c>
      <c r="I69" s="57" t="s">
        <v>75</v>
      </c>
      <c r="J69" s="102">
        <v>46098.581250000003</v>
      </c>
      <c r="K69" s="103"/>
      <c r="L69" s="103"/>
      <c r="M69" s="107"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-84</v>
      </c>
      <c r="P69" s="61">
        <f t="shared" ca="1" si="2"/>
        <v>84</v>
      </c>
      <c r="Q69" s="61" t="str">
        <f t="shared" ca="1" si="3"/>
        <v>&gt;60 Days</v>
      </c>
    </row>
    <row r="70" spans="1:17" ht="41.4" x14ac:dyDescent="0.3">
      <c r="A70" s="98">
        <v>68</v>
      </c>
      <c r="B70" s="57" t="s">
        <v>269</v>
      </c>
      <c r="C70" s="57" t="s">
        <v>70</v>
      </c>
      <c r="D70" s="57" t="s">
        <v>82</v>
      </c>
      <c r="E70" s="57" t="s">
        <v>47</v>
      </c>
      <c r="F70" s="57" t="s">
        <v>270</v>
      </c>
      <c r="G70" s="57" t="s">
        <v>271</v>
      </c>
      <c r="H70" s="57" t="s">
        <v>74</v>
      </c>
      <c r="I70" s="57" t="s">
        <v>75</v>
      </c>
      <c r="J70" s="102">
        <v>46099.480555555558</v>
      </c>
      <c r="K70" s="102">
        <v>46162.376388888886</v>
      </c>
      <c r="L70" s="102">
        <v>46162.377083333333</v>
      </c>
      <c r="M70" s="107"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98">
        <v>69</v>
      </c>
      <c r="B71" s="57" t="s">
        <v>272</v>
      </c>
      <c r="C71" s="57" t="s">
        <v>70</v>
      </c>
      <c r="D71" s="57" t="s">
        <v>199</v>
      </c>
      <c r="E71" s="57" t="s">
        <v>47</v>
      </c>
      <c r="F71" s="57" t="s">
        <v>273</v>
      </c>
      <c r="G71" s="57" t="s">
        <v>274</v>
      </c>
      <c r="H71" s="57" t="s">
        <v>74</v>
      </c>
      <c r="I71" s="57" t="s">
        <v>75</v>
      </c>
      <c r="J71" s="102">
        <v>46118.674305555556</v>
      </c>
      <c r="K71" s="102">
        <v>46126.468055555553</v>
      </c>
      <c r="L71" s="102">
        <v>46159.9375</v>
      </c>
      <c r="M71" s="107"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98">
        <v>70</v>
      </c>
      <c r="B72" s="57" t="s">
        <v>275</v>
      </c>
      <c r="C72" s="57" t="s">
        <v>70</v>
      </c>
      <c r="D72" s="57" t="s">
        <v>199</v>
      </c>
      <c r="E72" s="57" t="s">
        <v>47</v>
      </c>
      <c r="F72" s="57" t="s">
        <v>276</v>
      </c>
      <c r="G72" s="57" t="s">
        <v>277</v>
      </c>
      <c r="H72" s="57" t="s">
        <v>74</v>
      </c>
      <c r="I72" s="57" t="s">
        <v>75</v>
      </c>
      <c r="J72" s="102">
        <v>46118.677777777775</v>
      </c>
      <c r="K72" s="102">
        <v>46126.447916666664</v>
      </c>
      <c r="L72" s="102">
        <v>46126.64166666667</v>
      </c>
      <c r="M72" s="107"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98">
        <v>71</v>
      </c>
      <c r="B73" s="57" t="s">
        <v>278</v>
      </c>
      <c r="C73" s="57" t="s">
        <v>70</v>
      </c>
      <c r="D73" s="57" t="s">
        <v>87</v>
      </c>
      <c r="E73" s="57" t="s">
        <v>47</v>
      </c>
      <c r="F73" s="57" t="s">
        <v>279</v>
      </c>
      <c r="G73" s="57" t="s">
        <v>280</v>
      </c>
      <c r="H73" s="57" t="s">
        <v>74</v>
      </c>
      <c r="I73" s="57" t="s">
        <v>75</v>
      </c>
      <c r="J73" s="102">
        <v>46120.695833333331</v>
      </c>
      <c r="K73" s="102">
        <v>46164.696527777778</v>
      </c>
      <c r="L73" s="103"/>
      <c r="M73" s="107" t="s">
        <v>85</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98">
        <v>72</v>
      </c>
      <c r="B74" s="57" t="s">
        <v>281</v>
      </c>
      <c r="C74" s="57" t="s">
        <v>70</v>
      </c>
      <c r="D74" s="57" t="s">
        <v>104</v>
      </c>
      <c r="E74" s="57" t="s">
        <v>47</v>
      </c>
      <c r="F74" s="57" t="s">
        <v>282</v>
      </c>
      <c r="G74" s="57" t="s">
        <v>283</v>
      </c>
      <c r="H74" s="57" t="s">
        <v>74</v>
      </c>
      <c r="I74" s="57" t="s">
        <v>75</v>
      </c>
      <c r="J74" s="102">
        <v>46120.697222222225</v>
      </c>
      <c r="K74" s="102">
        <v>46196.406944444447</v>
      </c>
      <c r="L74" s="102">
        <v>46210.669444444444</v>
      </c>
      <c r="M74" s="107"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98">
        <v>73</v>
      </c>
      <c r="B75" s="57" t="s">
        <v>284</v>
      </c>
      <c r="C75" s="57" t="s">
        <v>70</v>
      </c>
      <c r="D75" s="57" t="s">
        <v>104</v>
      </c>
      <c r="E75" s="57" t="s">
        <v>47</v>
      </c>
      <c r="F75" s="57" t="s">
        <v>285</v>
      </c>
      <c r="G75" s="57" t="s">
        <v>286</v>
      </c>
      <c r="H75" s="57" t="s">
        <v>74</v>
      </c>
      <c r="I75" s="57" t="s">
        <v>75</v>
      </c>
      <c r="J75" s="102">
        <v>46120.71597222222</v>
      </c>
      <c r="K75" s="102">
        <v>46128.688888888886</v>
      </c>
      <c r="L75" s="102">
        <v>46134.609027777777</v>
      </c>
      <c r="M75" s="107"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98">
        <v>74</v>
      </c>
      <c r="B76" s="57" t="s">
        <v>287</v>
      </c>
      <c r="C76" s="57" t="s">
        <v>70</v>
      </c>
      <c r="D76" s="57" t="s">
        <v>135</v>
      </c>
      <c r="E76" s="57" t="s">
        <v>47</v>
      </c>
      <c r="F76" s="57" t="s">
        <v>288</v>
      </c>
      <c r="G76" s="57" t="s">
        <v>289</v>
      </c>
      <c r="H76" s="57" t="s">
        <v>74</v>
      </c>
      <c r="I76" s="57" t="s">
        <v>75</v>
      </c>
      <c r="J76" s="102">
        <v>46125.487500000003</v>
      </c>
      <c r="K76" s="102">
        <v>46189.42083333333</v>
      </c>
      <c r="L76" s="102">
        <v>46189.421527777777</v>
      </c>
      <c r="M76" s="107"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98">
        <v>75</v>
      </c>
      <c r="B77" s="57" t="s">
        <v>290</v>
      </c>
      <c r="C77" s="57" t="s">
        <v>70</v>
      </c>
      <c r="D77" s="57" t="s">
        <v>135</v>
      </c>
      <c r="E77" s="57" t="s">
        <v>47</v>
      </c>
      <c r="F77" s="57" t="s">
        <v>291</v>
      </c>
      <c r="G77" s="57" t="s">
        <v>292</v>
      </c>
      <c r="H77" s="57" t="s">
        <v>74</v>
      </c>
      <c r="I77" s="57" t="s">
        <v>75</v>
      </c>
      <c r="J77" s="102">
        <v>46126.424305555556</v>
      </c>
      <c r="K77" s="102">
        <v>46183.476388888892</v>
      </c>
      <c r="L77" s="102">
        <v>46183.477083333331</v>
      </c>
      <c r="M77" s="107"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98">
        <v>76</v>
      </c>
      <c r="B78" s="57" t="s">
        <v>293</v>
      </c>
      <c r="C78" s="57" t="s">
        <v>70</v>
      </c>
      <c r="D78" s="57" t="s">
        <v>104</v>
      </c>
      <c r="E78" s="57" t="s">
        <v>47</v>
      </c>
      <c r="F78" s="57" t="s">
        <v>294</v>
      </c>
      <c r="G78" s="57" t="s">
        <v>295</v>
      </c>
      <c r="H78" s="57" t="s">
        <v>74</v>
      </c>
      <c r="I78" s="57" t="s">
        <v>75</v>
      </c>
      <c r="J78" s="102">
        <v>46126.48333333333</v>
      </c>
      <c r="K78" s="102">
        <v>46135.694444444445</v>
      </c>
      <c r="L78" s="103"/>
      <c r="M78" s="107" t="s">
        <v>85</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98">
        <v>77</v>
      </c>
      <c r="B79" s="57" t="s">
        <v>296</v>
      </c>
      <c r="C79" s="57" t="s">
        <v>70</v>
      </c>
      <c r="D79" s="57" t="s">
        <v>104</v>
      </c>
      <c r="E79" s="57" t="s">
        <v>47</v>
      </c>
      <c r="F79" s="57" t="s">
        <v>297</v>
      </c>
      <c r="G79" s="57" t="s">
        <v>298</v>
      </c>
      <c r="H79" s="57" t="s">
        <v>74</v>
      </c>
      <c r="I79" s="57" t="s">
        <v>75</v>
      </c>
      <c r="J79" s="102">
        <v>46128.691666666666</v>
      </c>
      <c r="K79" s="102">
        <v>46142.646527777775</v>
      </c>
      <c r="L79" s="102">
        <v>46159.953472222223</v>
      </c>
      <c r="M79" s="107"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98">
        <v>78</v>
      </c>
      <c r="B80" s="57" t="s">
        <v>299</v>
      </c>
      <c r="C80" s="57" t="s">
        <v>70</v>
      </c>
      <c r="D80" s="57" t="s">
        <v>104</v>
      </c>
      <c r="E80" s="57" t="s">
        <v>47</v>
      </c>
      <c r="F80" s="57" t="s">
        <v>300</v>
      </c>
      <c r="G80" s="57" t="s">
        <v>301</v>
      </c>
      <c r="H80" s="57" t="s">
        <v>74</v>
      </c>
      <c r="I80" s="57" t="s">
        <v>75</v>
      </c>
      <c r="J80" s="102">
        <v>46128.692361111112</v>
      </c>
      <c r="K80" s="102">
        <v>46135.697916666664</v>
      </c>
      <c r="L80" s="102">
        <v>46135.698611111111</v>
      </c>
      <c r="M80" s="107"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43" ca="1" si="4">IF(O80="","",LEFT(O80,10)*(-1))</f>
        <v/>
      </c>
      <c r="Q80" s="61" t="str">
        <f t="shared" ca="1" si="3"/>
        <v/>
      </c>
    </row>
    <row r="81" spans="1:17" ht="55.2" x14ac:dyDescent="0.3">
      <c r="A81" s="98">
        <v>79</v>
      </c>
      <c r="B81" s="57" t="s">
        <v>302</v>
      </c>
      <c r="C81" s="57" t="s">
        <v>70</v>
      </c>
      <c r="D81" s="57" t="s">
        <v>104</v>
      </c>
      <c r="E81" s="57" t="s">
        <v>47</v>
      </c>
      <c r="F81" s="57" t="s">
        <v>303</v>
      </c>
      <c r="G81" s="57" t="s">
        <v>304</v>
      </c>
      <c r="H81" s="57" t="s">
        <v>74</v>
      </c>
      <c r="I81" s="57" t="s">
        <v>75</v>
      </c>
      <c r="J81" s="102">
        <v>46134.691666666666</v>
      </c>
      <c r="K81" s="102">
        <v>46142.509722222225</v>
      </c>
      <c r="L81" s="102">
        <v>46159.960416666669</v>
      </c>
      <c r="M81" s="107"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98">
        <v>80</v>
      </c>
      <c r="B82" s="57" t="s">
        <v>305</v>
      </c>
      <c r="C82" s="57" t="s">
        <v>70</v>
      </c>
      <c r="D82" s="57" t="s">
        <v>104</v>
      </c>
      <c r="E82" s="57" t="s">
        <v>47</v>
      </c>
      <c r="F82" s="57" t="s">
        <v>151</v>
      </c>
      <c r="G82" s="57" t="s">
        <v>306</v>
      </c>
      <c r="H82" s="57" t="s">
        <v>74</v>
      </c>
      <c r="I82" s="57" t="s">
        <v>75</v>
      </c>
      <c r="J82" s="102">
        <v>46135.54791666667</v>
      </c>
      <c r="K82" s="102">
        <v>46160.664583333331</v>
      </c>
      <c r="L82" s="102">
        <v>46167.370833333334</v>
      </c>
      <c r="M82" s="107"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98">
        <v>81</v>
      </c>
      <c r="B83" s="57" t="s">
        <v>307</v>
      </c>
      <c r="C83" s="57" t="s">
        <v>70</v>
      </c>
      <c r="D83" s="57" t="s">
        <v>110</v>
      </c>
      <c r="E83" s="57" t="s">
        <v>47</v>
      </c>
      <c r="F83" s="57" t="s">
        <v>308</v>
      </c>
      <c r="G83" s="57" t="s">
        <v>309</v>
      </c>
      <c r="H83" s="57" t="s">
        <v>74</v>
      </c>
      <c r="I83" s="57" t="s">
        <v>75</v>
      </c>
      <c r="J83" s="102">
        <v>46135.548611111109</v>
      </c>
      <c r="K83" s="102">
        <v>46135.622916666667</v>
      </c>
      <c r="L83" s="102">
        <v>46135.623611111114</v>
      </c>
      <c r="M83" s="107"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98">
        <v>82</v>
      </c>
      <c r="B84" s="57" t="s">
        <v>310</v>
      </c>
      <c r="C84" s="57" t="s">
        <v>70</v>
      </c>
      <c r="D84" s="57" t="s">
        <v>104</v>
      </c>
      <c r="E84" s="57" t="s">
        <v>47</v>
      </c>
      <c r="F84" s="57" t="s">
        <v>311</v>
      </c>
      <c r="G84" s="57" t="s">
        <v>312</v>
      </c>
      <c r="H84" s="57" t="s">
        <v>74</v>
      </c>
      <c r="I84" s="57" t="s">
        <v>75</v>
      </c>
      <c r="J84" s="102">
        <v>46140.67083333333</v>
      </c>
      <c r="K84" s="102">
        <v>46206.628472222219</v>
      </c>
      <c r="L84" s="103"/>
      <c r="M84" s="107" t="s">
        <v>85</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98">
        <v>83</v>
      </c>
      <c r="B85" s="57" t="s">
        <v>313</v>
      </c>
      <c r="C85" s="57" t="s">
        <v>70</v>
      </c>
      <c r="D85" s="57" t="s">
        <v>104</v>
      </c>
      <c r="E85" s="57" t="s">
        <v>47</v>
      </c>
      <c r="F85" s="57" t="s">
        <v>314</v>
      </c>
      <c r="G85" s="57" t="s">
        <v>315</v>
      </c>
      <c r="H85" s="57" t="s">
        <v>74</v>
      </c>
      <c r="I85" s="57" t="s">
        <v>75</v>
      </c>
      <c r="J85" s="102">
        <v>46140.671527777777</v>
      </c>
      <c r="K85" s="102">
        <v>46196.461805555555</v>
      </c>
      <c r="L85" s="103"/>
      <c r="M85" s="107"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98">
        <v>84</v>
      </c>
      <c r="B86" s="57" t="s">
        <v>316</v>
      </c>
      <c r="C86" s="57" t="s">
        <v>70</v>
      </c>
      <c r="D86" s="57" t="s">
        <v>104</v>
      </c>
      <c r="E86" s="57" t="s">
        <v>47</v>
      </c>
      <c r="F86" s="57" t="s">
        <v>317</v>
      </c>
      <c r="G86" s="57" t="s">
        <v>318</v>
      </c>
      <c r="H86" s="57" t="s">
        <v>74</v>
      </c>
      <c r="I86" s="57" t="s">
        <v>75</v>
      </c>
      <c r="J86" s="102">
        <v>46140.672222222223</v>
      </c>
      <c r="K86" s="103"/>
      <c r="L86" s="103"/>
      <c r="M86" s="107"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-54</v>
      </c>
      <c r="P86" s="61">
        <f t="shared" ca="1" si="4"/>
        <v>54</v>
      </c>
      <c r="Q86" s="61" t="str">
        <f t="shared" ca="1" si="3"/>
        <v>31-60 Days</v>
      </c>
    </row>
    <row r="87" spans="1:17" ht="96.6" x14ac:dyDescent="0.3">
      <c r="A87" s="98">
        <v>85</v>
      </c>
      <c r="B87" s="57" t="s">
        <v>319</v>
      </c>
      <c r="C87" s="57" t="s">
        <v>70</v>
      </c>
      <c r="D87" s="57" t="s">
        <v>199</v>
      </c>
      <c r="E87" s="57" t="s">
        <v>47</v>
      </c>
      <c r="F87" s="57" t="s">
        <v>320</v>
      </c>
      <c r="G87" s="57" t="s">
        <v>321</v>
      </c>
      <c r="H87" s="57" t="s">
        <v>74</v>
      </c>
      <c r="I87" s="57" t="s">
        <v>75</v>
      </c>
      <c r="J87" s="102">
        <v>46140.674305555556</v>
      </c>
      <c r="K87" s="103"/>
      <c r="L87" s="103"/>
      <c r="M87" s="107" t="s">
        <v>77</v>
      </c>
      <c r="N87" s="59">
        <f>IF(ISBLANK(J87),"",IF(OR(M87="Completed",M87="Closed"),"",IF(H87="Issue",IF(I87="High",WORKDAY(J87,2,DATA!A86:A114),IF(I87="Medium",WORKDAY(J87,14,DATA!A86:A114),IF(OR(I87="Low"),WORKDAY(J87,30,DATA!A86:A114),""))),
"")
))</f>
        <v>46160</v>
      </c>
      <c r="O87" s="60">
        <f ca="1">IF(OR(ISBLANK(#REF!), M87="Completed", M87="Closed", H87&lt;&gt;"Issue"), "",
   (NETWORKDAYS.INTL(TODAY(), N87, 1, DATA!A86:A114) - 1))</f>
        <v>-54</v>
      </c>
      <c r="P87" s="61">
        <f t="shared" ca="1" si="4"/>
        <v>54</v>
      </c>
      <c r="Q87" s="61" t="str">
        <f t="shared" ca="1" si="3"/>
        <v>31-60 Days</v>
      </c>
    </row>
    <row r="88" spans="1:17" ht="55.2" x14ac:dyDescent="0.3">
      <c r="A88" s="98">
        <v>86</v>
      </c>
      <c r="B88" s="57" t="s">
        <v>322</v>
      </c>
      <c r="C88" s="57" t="s">
        <v>70</v>
      </c>
      <c r="D88" s="57" t="s">
        <v>104</v>
      </c>
      <c r="E88" s="57" t="s">
        <v>47</v>
      </c>
      <c r="F88" s="57" t="s">
        <v>323</v>
      </c>
      <c r="G88" s="57" t="s">
        <v>324</v>
      </c>
      <c r="H88" s="57" t="s">
        <v>74</v>
      </c>
      <c r="I88" s="57" t="s">
        <v>75</v>
      </c>
      <c r="J88" s="102">
        <v>46140.679861111108</v>
      </c>
      <c r="K88" s="102">
        <v>46168.414583333331</v>
      </c>
      <c r="L88" s="103"/>
      <c r="M88" s="107" t="s">
        <v>85</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98">
        <v>87</v>
      </c>
      <c r="B89" s="57" t="s">
        <v>325</v>
      </c>
      <c r="C89" s="57" t="s">
        <v>70</v>
      </c>
      <c r="D89" s="57" t="s">
        <v>71</v>
      </c>
      <c r="E89" s="57" t="s">
        <v>47</v>
      </c>
      <c r="F89" s="57" t="s">
        <v>326</v>
      </c>
      <c r="G89" s="57" t="s">
        <v>327</v>
      </c>
      <c r="H89" s="57" t="s">
        <v>74</v>
      </c>
      <c r="I89" s="57" t="s">
        <v>75</v>
      </c>
      <c r="J89" s="102">
        <v>46140.718055555553</v>
      </c>
      <c r="K89" s="103"/>
      <c r="L89" s="103"/>
      <c r="M89" s="107"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-54</v>
      </c>
      <c r="P89" s="61">
        <f t="shared" ca="1" si="4"/>
        <v>54</v>
      </c>
      <c r="Q89" s="61" t="str">
        <f t="shared" ca="1" si="3"/>
        <v>31-60 Days</v>
      </c>
    </row>
    <row r="90" spans="1:17" ht="55.2" x14ac:dyDescent="0.3">
      <c r="A90" s="98">
        <v>88</v>
      </c>
      <c r="B90" s="57" t="s">
        <v>328</v>
      </c>
      <c r="C90" s="57" t="s">
        <v>70</v>
      </c>
      <c r="D90" s="57" t="s">
        <v>199</v>
      </c>
      <c r="E90" s="57" t="s">
        <v>47</v>
      </c>
      <c r="F90" s="57" t="s">
        <v>329</v>
      </c>
      <c r="G90" s="57" t="s">
        <v>330</v>
      </c>
      <c r="H90" s="57" t="s">
        <v>74</v>
      </c>
      <c r="I90" s="57" t="s">
        <v>75</v>
      </c>
      <c r="J90" s="102">
        <v>46148.588194444441</v>
      </c>
      <c r="K90" s="102">
        <v>46183.478472222225</v>
      </c>
      <c r="L90" s="102">
        <v>46183.478472222225</v>
      </c>
      <c r="M90" s="107"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98">
        <v>89</v>
      </c>
      <c r="B91" s="57" t="s">
        <v>331</v>
      </c>
      <c r="C91" s="57" t="s">
        <v>70</v>
      </c>
      <c r="D91" s="57" t="s">
        <v>199</v>
      </c>
      <c r="E91" s="57" t="s">
        <v>47</v>
      </c>
      <c r="F91" s="57" t="s">
        <v>332</v>
      </c>
      <c r="G91" s="57" t="s">
        <v>333</v>
      </c>
      <c r="H91" s="57" t="s">
        <v>74</v>
      </c>
      <c r="I91" s="57" t="s">
        <v>75</v>
      </c>
      <c r="J91" s="102">
        <v>46148.590277777781</v>
      </c>
      <c r="K91" s="103"/>
      <c r="L91" s="103"/>
      <c r="M91" s="107" t="s">
        <v>77</v>
      </c>
      <c r="N91" s="59">
        <f>IF(ISBLANK(J91),"",IF(OR(M91="Completed",M91="Closed"),"",IF(H91="Issue",IF(I91="High",WORKDAY(J91,2,DATA!A90:A118),IF(I91="Medium",WORKDAY(J91,14,DATA!A90:A118),IF(OR(I91="Low"),WORKDAY(J91,30,DATA!A90:A118),""))),
"")
))</f>
        <v>46168</v>
      </c>
      <c r="O91" s="60">
        <f ca="1">IF(OR(ISBLANK(#REF!), M91="Completed", M91="Closed", H91&lt;&gt;"Issue"), "",
   (NETWORKDAYS.INTL(TODAY(), N91, 1, DATA!A90:A118) - 1))</f>
        <v>-48</v>
      </c>
      <c r="P91" s="61">
        <f t="shared" ca="1" si="4"/>
        <v>48</v>
      </c>
      <c r="Q91" s="61" t="str">
        <f t="shared" ca="1" si="3"/>
        <v>31-60 Days</v>
      </c>
    </row>
    <row r="92" spans="1:17" ht="27.6" x14ac:dyDescent="0.3">
      <c r="A92" s="98">
        <v>90</v>
      </c>
      <c r="B92" s="57" t="s">
        <v>334</v>
      </c>
      <c r="C92" s="57" t="s">
        <v>70</v>
      </c>
      <c r="D92" s="57" t="s">
        <v>104</v>
      </c>
      <c r="E92" s="57" t="s">
        <v>47</v>
      </c>
      <c r="F92" s="57" t="s">
        <v>335</v>
      </c>
      <c r="G92" s="57" t="s">
        <v>336</v>
      </c>
      <c r="H92" s="57" t="s">
        <v>74</v>
      </c>
      <c r="I92" s="57" t="s">
        <v>75</v>
      </c>
      <c r="J92" s="102">
        <v>46150.705555555556</v>
      </c>
      <c r="K92" s="102">
        <v>46196.441666666666</v>
      </c>
      <c r="L92" s="103"/>
      <c r="M92" s="107"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98">
        <v>91</v>
      </c>
      <c r="B93" s="57" t="s">
        <v>337</v>
      </c>
      <c r="C93" s="57" t="s">
        <v>70</v>
      </c>
      <c r="D93" s="57" t="s">
        <v>87</v>
      </c>
      <c r="E93" s="57" t="s">
        <v>47</v>
      </c>
      <c r="F93" s="57" t="s">
        <v>338</v>
      </c>
      <c r="G93" s="57" t="s">
        <v>339</v>
      </c>
      <c r="H93" s="57" t="s">
        <v>74</v>
      </c>
      <c r="I93" s="57" t="s">
        <v>75</v>
      </c>
      <c r="J93" s="102">
        <v>46154.606944444444</v>
      </c>
      <c r="K93" s="102">
        <v>46164.480555555558</v>
      </c>
      <c r="L93" s="103"/>
      <c r="M93" s="107" t="s">
        <v>85</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98">
        <v>92</v>
      </c>
      <c r="B94" s="57" t="s">
        <v>340</v>
      </c>
      <c r="C94" s="57" t="s">
        <v>70</v>
      </c>
      <c r="D94" s="57" t="s">
        <v>87</v>
      </c>
      <c r="E94" s="57" t="s">
        <v>47</v>
      </c>
      <c r="F94" s="57" t="s">
        <v>341</v>
      </c>
      <c r="G94" s="57" t="s">
        <v>342</v>
      </c>
      <c r="H94" s="57" t="s">
        <v>74</v>
      </c>
      <c r="I94" s="57" t="s">
        <v>75</v>
      </c>
      <c r="J94" s="102">
        <v>46160.395833333336</v>
      </c>
      <c r="K94" s="103"/>
      <c r="L94" s="103"/>
      <c r="M94" s="107" t="s">
        <v>77</v>
      </c>
      <c r="N94" s="59">
        <f>IF(ISBLANK(J94),"",IF(OR(M94="Completed",M94="Closed"),"",IF(H94="Issue",IF(I94="High",WORKDAY(J94,2,DATA!A93:A121),IF(I94="Medium",WORKDAY(J94,14,DATA!A93:A121),IF(OR(I94="Low"),WORKDAY(J94,30,DATA!A93:A121),""))),
"")
))</f>
        <v>46178</v>
      </c>
      <c r="O94" s="60">
        <f ca="1">IF(OR(ISBLANK(#REF!), M94="Completed", M94="Closed", H94&lt;&gt;"Issue"), "",
   (NETWORKDAYS.INTL(TODAY(), N94, 1, DATA!A93:A121) - 1))</f>
        <v>-40</v>
      </c>
      <c r="P94" s="61">
        <f t="shared" ca="1" si="4"/>
        <v>40</v>
      </c>
      <c r="Q94" s="61" t="str">
        <f t="shared" ca="1" si="3"/>
        <v>31-60 Days</v>
      </c>
    </row>
    <row r="95" spans="1:17" ht="41.4" x14ac:dyDescent="0.3">
      <c r="A95" s="98">
        <v>93</v>
      </c>
      <c r="B95" s="57" t="s">
        <v>343</v>
      </c>
      <c r="C95" s="57" t="s">
        <v>70</v>
      </c>
      <c r="D95" s="57" t="s">
        <v>87</v>
      </c>
      <c r="E95" s="57" t="s">
        <v>47</v>
      </c>
      <c r="F95" s="57" t="s">
        <v>344</v>
      </c>
      <c r="G95" s="57" t="s">
        <v>345</v>
      </c>
      <c r="H95" s="57" t="s">
        <v>74</v>
      </c>
      <c r="I95" s="57" t="s">
        <v>75</v>
      </c>
      <c r="J95" s="102">
        <v>46162.338888888888</v>
      </c>
      <c r="K95" s="102">
        <v>46183.48333333333</v>
      </c>
      <c r="L95" s="102">
        <v>46183.48333333333</v>
      </c>
      <c r="M95" s="107"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98">
        <v>94</v>
      </c>
      <c r="B96" s="57" t="s">
        <v>346</v>
      </c>
      <c r="C96" s="57" t="s">
        <v>70</v>
      </c>
      <c r="D96" s="57" t="s">
        <v>104</v>
      </c>
      <c r="E96" s="57" t="s">
        <v>47</v>
      </c>
      <c r="F96" s="57" t="s">
        <v>347</v>
      </c>
      <c r="G96" s="57" t="s">
        <v>348</v>
      </c>
      <c r="H96" s="57" t="s">
        <v>74</v>
      </c>
      <c r="I96" s="57" t="s">
        <v>75</v>
      </c>
      <c r="J96" s="102">
        <v>46162.352083333331</v>
      </c>
      <c r="K96" s="103"/>
      <c r="L96" s="103"/>
      <c r="M96" s="107"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-38</v>
      </c>
      <c r="P96" s="61">
        <f t="shared" ca="1" si="4"/>
        <v>38</v>
      </c>
      <c r="Q96" s="61" t="str">
        <f t="shared" ca="1" si="3"/>
        <v>31-60 Days</v>
      </c>
    </row>
    <row r="97" spans="1:17" ht="41.4" x14ac:dyDescent="0.3">
      <c r="A97" s="98">
        <v>95</v>
      </c>
      <c r="B97" s="82" t="s">
        <v>1337</v>
      </c>
      <c r="C97" s="82" t="s">
        <v>70</v>
      </c>
      <c r="D97" s="82" t="s">
        <v>104</v>
      </c>
      <c r="E97" s="82" t="s">
        <v>47</v>
      </c>
      <c r="F97" s="82" t="s">
        <v>1338</v>
      </c>
      <c r="G97" s="82" t="s">
        <v>1339</v>
      </c>
      <c r="H97" s="57" t="s">
        <v>74</v>
      </c>
      <c r="I97" s="57" t="s">
        <v>75</v>
      </c>
      <c r="J97" s="102">
        <v>46167.362500000003</v>
      </c>
      <c r="K97" s="102">
        <v>46206.4375</v>
      </c>
      <c r="L97" s="103"/>
      <c r="M97" s="107" t="s">
        <v>85</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98">
        <v>96</v>
      </c>
      <c r="B98" s="82" t="s">
        <v>1340</v>
      </c>
      <c r="C98" s="82" t="s">
        <v>70</v>
      </c>
      <c r="D98" s="82" t="s">
        <v>104</v>
      </c>
      <c r="E98" s="82" t="s">
        <v>47</v>
      </c>
      <c r="F98" s="82" t="s">
        <v>1341</v>
      </c>
      <c r="G98" s="82" t="s">
        <v>1342</v>
      </c>
      <c r="H98" s="57" t="s">
        <v>74</v>
      </c>
      <c r="I98" s="57" t="s">
        <v>75</v>
      </c>
      <c r="J98" s="102">
        <v>46168.800694444442</v>
      </c>
      <c r="K98" s="102">
        <v>46206.46597222222</v>
      </c>
      <c r="L98" s="103"/>
      <c r="M98" s="107"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98">
        <v>97</v>
      </c>
      <c r="B99" s="82" t="s">
        <v>1343</v>
      </c>
      <c r="C99" s="84"/>
      <c r="D99" s="82" t="s">
        <v>87</v>
      </c>
      <c r="E99" s="82" t="s">
        <v>47</v>
      </c>
      <c r="F99" s="82" t="s">
        <v>1344</v>
      </c>
      <c r="G99" s="82" t="s">
        <v>1345</v>
      </c>
      <c r="H99" s="57" t="s">
        <v>74</v>
      </c>
      <c r="I99" s="57" t="s">
        <v>75</v>
      </c>
      <c r="J99" s="102">
        <v>46178.392361111109</v>
      </c>
      <c r="K99" s="103"/>
      <c r="L99" s="103"/>
      <c r="M99" s="107"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-26</v>
      </c>
      <c r="P99" s="61">
        <f t="shared" ca="1" si="4"/>
        <v>26</v>
      </c>
      <c r="Q99" s="61" t="str">
        <f t="shared" ca="1" si="3"/>
        <v>1-30 Days</v>
      </c>
    </row>
    <row r="100" spans="1:17" ht="96.6" x14ac:dyDescent="0.3">
      <c r="A100" s="98">
        <v>98</v>
      </c>
      <c r="B100" s="82" t="s">
        <v>1346</v>
      </c>
      <c r="C100" s="84"/>
      <c r="D100" s="82" t="s">
        <v>104</v>
      </c>
      <c r="E100" s="82" t="s">
        <v>47</v>
      </c>
      <c r="F100" s="82" t="s">
        <v>1347</v>
      </c>
      <c r="G100" s="82" t="s">
        <v>1348</v>
      </c>
      <c r="H100" s="57" t="s">
        <v>74</v>
      </c>
      <c r="I100" s="57" t="s">
        <v>75</v>
      </c>
      <c r="J100" s="102">
        <v>46178.397916666669</v>
      </c>
      <c r="K100" s="103"/>
      <c r="L100" s="103"/>
      <c r="M100" s="107"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-26</v>
      </c>
      <c r="P100" s="61">
        <f t="shared" ca="1" si="4"/>
        <v>26</v>
      </c>
      <c r="Q100" s="61" t="str">
        <f t="shared" ca="1" si="3"/>
        <v>1-30 Days</v>
      </c>
    </row>
    <row r="101" spans="1:17" ht="69" x14ac:dyDescent="0.3">
      <c r="A101" s="98">
        <v>99</v>
      </c>
      <c r="B101" s="82" t="s">
        <v>1349</v>
      </c>
      <c r="C101" s="82" t="s">
        <v>70</v>
      </c>
      <c r="D101" s="82" t="s">
        <v>135</v>
      </c>
      <c r="E101" s="82" t="s">
        <v>47</v>
      </c>
      <c r="F101" s="82" t="s">
        <v>1350</v>
      </c>
      <c r="G101" s="82" t="s">
        <v>1351</v>
      </c>
      <c r="H101" s="57" t="s">
        <v>74</v>
      </c>
      <c r="I101" s="57" t="s">
        <v>75</v>
      </c>
      <c r="J101" s="102">
        <v>46178.400694444441</v>
      </c>
      <c r="K101" s="102">
        <v>46183.511111111111</v>
      </c>
      <c r="L101" s="102">
        <v>46189.618750000001</v>
      </c>
      <c r="M101" s="107"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98">
        <v>100</v>
      </c>
      <c r="B102" s="82" t="s">
        <v>1352</v>
      </c>
      <c r="C102" s="84"/>
      <c r="D102" s="82" t="s">
        <v>104</v>
      </c>
      <c r="E102" s="82" t="s">
        <v>47</v>
      </c>
      <c r="F102" s="82" t="s">
        <v>1353</v>
      </c>
      <c r="G102" s="82" t="s">
        <v>1354</v>
      </c>
      <c r="H102" s="57" t="s">
        <v>74</v>
      </c>
      <c r="I102" s="57" t="s">
        <v>75</v>
      </c>
      <c r="J102" s="102">
        <v>46181.377083333333</v>
      </c>
      <c r="K102" s="103"/>
      <c r="L102" s="103"/>
      <c r="M102" s="107"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-25</v>
      </c>
      <c r="P102" s="61">
        <f t="shared" ca="1" si="4"/>
        <v>25</v>
      </c>
      <c r="Q102" s="61" t="str">
        <f t="shared" ca="1" si="3"/>
        <v>1-30 Days</v>
      </c>
    </row>
    <row r="103" spans="1:17" ht="41.4" x14ac:dyDescent="0.3">
      <c r="A103" s="98">
        <v>101</v>
      </c>
      <c r="B103" s="82" t="s">
        <v>1355</v>
      </c>
      <c r="C103" s="84"/>
      <c r="D103" s="82" t="s">
        <v>104</v>
      </c>
      <c r="E103" s="82" t="s">
        <v>47</v>
      </c>
      <c r="F103" s="82" t="s">
        <v>1356</v>
      </c>
      <c r="G103" s="82" t="s">
        <v>1357</v>
      </c>
      <c r="H103" s="57" t="s">
        <v>74</v>
      </c>
      <c r="I103" s="57" t="s">
        <v>75</v>
      </c>
      <c r="J103" s="102">
        <v>46185.699305555558</v>
      </c>
      <c r="K103" s="103"/>
      <c r="L103" s="103"/>
      <c r="M103" s="107"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-21</v>
      </c>
      <c r="P103" s="61">
        <f t="shared" ca="1" si="4"/>
        <v>21</v>
      </c>
      <c r="Q103" s="61" t="str">
        <f t="shared" ca="1" si="3"/>
        <v>1-30 Days</v>
      </c>
    </row>
    <row r="104" spans="1:17" ht="41.4" x14ac:dyDescent="0.3">
      <c r="A104" s="98">
        <v>102</v>
      </c>
      <c r="B104" s="82" t="s">
        <v>1358</v>
      </c>
      <c r="C104" s="84"/>
      <c r="D104" s="82" t="s">
        <v>104</v>
      </c>
      <c r="E104" s="82" t="s">
        <v>47</v>
      </c>
      <c r="F104" s="82" t="s">
        <v>1359</v>
      </c>
      <c r="G104" s="82" t="s">
        <v>1360</v>
      </c>
      <c r="H104" s="57" t="s">
        <v>74</v>
      </c>
      <c r="I104" s="57" t="s">
        <v>75</v>
      </c>
      <c r="J104" s="102">
        <v>46185.700694444444</v>
      </c>
      <c r="K104" s="103"/>
      <c r="L104" s="103"/>
      <c r="M104" s="107"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-21</v>
      </c>
      <c r="P104" s="61">
        <f t="shared" ca="1" si="4"/>
        <v>21</v>
      </c>
      <c r="Q104" s="61" t="str">
        <f t="shared" ca="1" si="3"/>
        <v>1-30 Days</v>
      </c>
    </row>
    <row r="105" spans="1:17" ht="82.8" x14ac:dyDescent="0.3">
      <c r="A105" s="98">
        <v>103</v>
      </c>
      <c r="B105" s="82" t="s">
        <v>1361</v>
      </c>
      <c r="C105" s="84"/>
      <c r="D105" s="82" t="s">
        <v>199</v>
      </c>
      <c r="E105" s="82" t="s">
        <v>47</v>
      </c>
      <c r="F105" s="82" t="s">
        <v>1362</v>
      </c>
      <c r="G105" s="82" t="s">
        <v>1363</v>
      </c>
      <c r="H105" s="57" t="s">
        <v>74</v>
      </c>
      <c r="I105" s="57" t="s">
        <v>75</v>
      </c>
      <c r="J105" s="102">
        <v>46195.448611111111</v>
      </c>
      <c r="K105" s="103"/>
      <c r="L105" s="103"/>
      <c r="M105" s="107"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-15</v>
      </c>
      <c r="P105" s="61">
        <f t="shared" ca="1" si="4"/>
        <v>15</v>
      </c>
      <c r="Q105" s="61" t="str">
        <f t="shared" ca="1" si="3"/>
        <v>1-30 Days</v>
      </c>
    </row>
    <row r="106" spans="1:17" ht="96.6" x14ac:dyDescent="0.3">
      <c r="A106" s="98">
        <v>104</v>
      </c>
      <c r="B106" s="82" t="s">
        <v>1364</v>
      </c>
      <c r="C106" s="84"/>
      <c r="D106" s="82" t="s">
        <v>71</v>
      </c>
      <c r="E106" s="82" t="s">
        <v>47</v>
      </c>
      <c r="F106" s="82" t="s">
        <v>1365</v>
      </c>
      <c r="G106" s="82" t="s">
        <v>1366</v>
      </c>
      <c r="H106" s="57" t="s">
        <v>74</v>
      </c>
      <c r="I106" s="57" t="s">
        <v>75</v>
      </c>
      <c r="J106" s="102">
        <v>46202.685416666667</v>
      </c>
      <c r="K106" s="103"/>
      <c r="L106" s="103"/>
      <c r="M106" s="107"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-10</v>
      </c>
      <c r="P106" s="61">
        <f t="shared" ca="1" si="4"/>
        <v>10</v>
      </c>
      <c r="Q106" s="61" t="str">
        <f t="shared" ca="1" si="3"/>
        <v>1-30 Days</v>
      </c>
    </row>
    <row r="107" spans="1:17" x14ac:dyDescent="0.3">
      <c r="A107" s="98">
        <v>105</v>
      </c>
      <c r="J107" s="104"/>
      <c r="K107" s="104"/>
      <c r="L107" s="104"/>
      <c r="P107" s="61" t="str">
        <f t="shared" si="4"/>
        <v/>
      </c>
      <c r="Q107" s="61" t="str">
        <f t="shared" si="3"/>
        <v/>
      </c>
    </row>
    <row r="108" spans="1:17" x14ac:dyDescent="0.3">
      <c r="A108" s="98">
        <v>106</v>
      </c>
      <c r="J108" s="104"/>
      <c r="K108" s="104"/>
      <c r="L108" s="104"/>
      <c r="P108" s="61" t="str">
        <f t="shared" si="4"/>
        <v/>
      </c>
      <c r="Q108" s="61" t="str">
        <f t="shared" si="3"/>
        <v/>
      </c>
    </row>
    <row r="109" spans="1:17" x14ac:dyDescent="0.3">
      <c r="A109" s="98">
        <v>107</v>
      </c>
      <c r="J109" s="104"/>
      <c r="K109" s="104"/>
      <c r="L109" s="104"/>
      <c r="P109" s="61" t="str">
        <f t="shared" si="4"/>
        <v/>
      </c>
      <c r="Q109" s="61" t="str">
        <f t="shared" si="3"/>
        <v/>
      </c>
    </row>
    <row r="110" spans="1:17" x14ac:dyDescent="0.3">
      <c r="A110" s="98">
        <v>108</v>
      </c>
      <c r="J110" s="104"/>
      <c r="K110" s="104"/>
      <c r="L110" s="104"/>
      <c r="P110" s="61" t="str">
        <f t="shared" si="4"/>
        <v/>
      </c>
      <c r="Q110" s="61" t="str">
        <f t="shared" si="3"/>
        <v/>
      </c>
    </row>
    <row r="111" spans="1:17" x14ac:dyDescent="0.3">
      <c r="A111" s="98">
        <v>109</v>
      </c>
      <c r="J111" s="104"/>
      <c r="K111" s="104"/>
      <c r="L111" s="104"/>
      <c r="P111" s="61" t="str">
        <f t="shared" si="4"/>
        <v/>
      </c>
      <c r="Q111" s="61" t="str">
        <f t="shared" si="3"/>
        <v/>
      </c>
    </row>
    <row r="112" spans="1:17" x14ac:dyDescent="0.3">
      <c r="A112" s="98">
        <v>110</v>
      </c>
      <c r="J112" s="104"/>
      <c r="K112" s="104"/>
      <c r="L112" s="104"/>
      <c r="P112" s="61" t="str">
        <f t="shared" si="4"/>
        <v/>
      </c>
      <c r="Q112" s="61" t="str">
        <f t="shared" si="3"/>
        <v/>
      </c>
    </row>
    <row r="113" spans="1:17" x14ac:dyDescent="0.3">
      <c r="A113" s="98">
        <v>111</v>
      </c>
      <c r="J113" s="104"/>
      <c r="K113" s="104"/>
      <c r="L113" s="104"/>
      <c r="P113" s="61" t="str">
        <f t="shared" si="4"/>
        <v/>
      </c>
      <c r="Q113" s="61" t="str">
        <f t="shared" si="3"/>
        <v/>
      </c>
    </row>
    <row r="114" spans="1:17" x14ac:dyDescent="0.3">
      <c r="A114" s="98">
        <v>112</v>
      </c>
      <c r="J114" s="104"/>
      <c r="K114" s="104"/>
      <c r="L114" s="104"/>
      <c r="P114" s="61" t="str">
        <f t="shared" si="4"/>
        <v/>
      </c>
      <c r="Q114" s="61" t="str">
        <f t="shared" si="3"/>
        <v/>
      </c>
    </row>
    <row r="115" spans="1:17" x14ac:dyDescent="0.3">
      <c r="A115" s="98">
        <v>113</v>
      </c>
      <c r="J115" s="104"/>
      <c r="K115" s="104"/>
      <c r="L115" s="104"/>
      <c r="P115" s="61" t="str">
        <f t="shared" si="4"/>
        <v/>
      </c>
      <c r="Q115" s="61" t="str">
        <f t="shared" si="3"/>
        <v/>
      </c>
    </row>
    <row r="116" spans="1:17" x14ac:dyDescent="0.3">
      <c r="A116" s="98">
        <v>114</v>
      </c>
      <c r="J116" s="104"/>
      <c r="K116" s="104"/>
      <c r="L116" s="104"/>
      <c r="P116" s="61" t="str">
        <f t="shared" si="4"/>
        <v/>
      </c>
      <c r="Q116" s="61" t="str">
        <f t="shared" si="3"/>
        <v/>
      </c>
    </row>
    <row r="117" spans="1:17" x14ac:dyDescent="0.3">
      <c r="A117" s="98">
        <v>115</v>
      </c>
      <c r="J117" s="104"/>
      <c r="K117" s="104"/>
      <c r="L117" s="104"/>
      <c r="P117" s="61" t="str">
        <f t="shared" si="4"/>
        <v/>
      </c>
      <c r="Q117" s="61" t="str">
        <f t="shared" si="3"/>
        <v/>
      </c>
    </row>
    <row r="118" spans="1:17" x14ac:dyDescent="0.3">
      <c r="A118" s="98">
        <v>116</v>
      </c>
      <c r="J118" s="104"/>
      <c r="K118" s="104"/>
      <c r="L118" s="104"/>
      <c r="P118" s="61" t="str">
        <f t="shared" si="4"/>
        <v/>
      </c>
      <c r="Q118" s="61" t="str">
        <f t="shared" si="3"/>
        <v/>
      </c>
    </row>
    <row r="119" spans="1:17" x14ac:dyDescent="0.3">
      <c r="A119" s="98">
        <v>117</v>
      </c>
      <c r="J119" s="104"/>
      <c r="K119" s="104"/>
      <c r="L119" s="104"/>
      <c r="P119" s="61" t="str">
        <f t="shared" si="4"/>
        <v/>
      </c>
      <c r="Q119" s="61" t="str">
        <f t="shared" si="3"/>
        <v/>
      </c>
    </row>
    <row r="120" spans="1:17" x14ac:dyDescent="0.3">
      <c r="A120" s="98">
        <v>118</v>
      </c>
      <c r="J120" s="104"/>
      <c r="K120" s="104"/>
      <c r="L120" s="104"/>
      <c r="P120" s="61" t="str">
        <f t="shared" si="4"/>
        <v/>
      </c>
      <c r="Q120" s="61" t="str">
        <f t="shared" si="3"/>
        <v/>
      </c>
    </row>
    <row r="121" spans="1:17" x14ac:dyDescent="0.3">
      <c r="A121" s="98">
        <v>119</v>
      </c>
      <c r="J121" s="104"/>
      <c r="K121" s="104"/>
      <c r="L121" s="104"/>
      <c r="P121" s="61" t="str">
        <f t="shared" si="4"/>
        <v/>
      </c>
      <c r="Q121" s="61" t="str">
        <f t="shared" si="3"/>
        <v/>
      </c>
    </row>
    <row r="122" spans="1:17" x14ac:dyDescent="0.3">
      <c r="A122" s="98">
        <v>120</v>
      </c>
      <c r="J122" s="104"/>
      <c r="K122" s="104"/>
      <c r="L122" s="104"/>
      <c r="P122" s="61" t="str">
        <f t="shared" si="4"/>
        <v/>
      </c>
      <c r="Q122" s="61" t="str">
        <f t="shared" si="3"/>
        <v/>
      </c>
    </row>
    <row r="123" spans="1:17" x14ac:dyDescent="0.3">
      <c r="A123" s="98">
        <v>121</v>
      </c>
      <c r="J123" s="104"/>
      <c r="K123" s="104"/>
      <c r="L123" s="104"/>
      <c r="P123" s="61" t="str">
        <f t="shared" si="4"/>
        <v/>
      </c>
      <c r="Q123" s="61" t="str">
        <f t="shared" si="3"/>
        <v/>
      </c>
    </row>
    <row r="124" spans="1:17" x14ac:dyDescent="0.3">
      <c r="A124" s="98">
        <v>122</v>
      </c>
      <c r="J124" s="104"/>
      <c r="K124" s="104"/>
      <c r="L124" s="104"/>
      <c r="P124" s="61" t="str">
        <f t="shared" si="4"/>
        <v/>
      </c>
      <c r="Q124" s="61" t="str">
        <f t="shared" si="3"/>
        <v/>
      </c>
    </row>
    <row r="125" spans="1:17" x14ac:dyDescent="0.3">
      <c r="A125" s="98">
        <v>123</v>
      </c>
      <c r="J125" s="104"/>
      <c r="K125" s="104"/>
      <c r="L125" s="104"/>
      <c r="P125" s="61" t="str">
        <f t="shared" si="4"/>
        <v/>
      </c>
      <c r="Q125" s="61" t="str">
        <f t="shared" si="3"/>
        <v/>
      </c>
    </row>
    <row r="126" spans="1:17" x14ac:dyDescent="0.3">
      <c r="A126" s="98">
        <v>124</v>
      </c>
      <c r="J126" s="104"/>
      <c r="K126" s="104"/>
      <c r="L126" s="104"/>
      <c r="P126" s="61" t="str">
        <f t="shared" si="4"/>
        <v/>
      </c>
      <c r="Q126" s="61" t="str">
        <f t="shared" si="3"/>
        <v/>
      </c>
    </row>
    <row r="127" spans="1:17" x14ac:dyDescent="0.3">
      <c r="A127" s="98">
        <v>125</v>
      </c>
      <c r="J127" s="104"/>
      <c r="K127" s="104"/>
      <c r="L127" s="104"/>
      <c r="P127" s="61" t="str">
        <f t="shared" si="4"/>
        <v/>
      </c>
      <c r="Q127" s="61" t="str">
        <f t="shared" si="3"/>
        <v/>
      </c>
    </row>
    <row r="128" spans="1:17" x14ac:dyDescent="0.3">
      <c r="A128" s="98">
        <v>126</v>
      </c>
      <c r="J128" s="104"/>
      <c r="K128" s="104"/>
      <c r="L128" s="104"/>
      <c r="P128" s="61" t="str">
        <f t="shared" si="4"/>
        <v/>
      </c>
      <c r="Q128" s="61" t="str">
        <f t="shared" si="3"/>
        <v/>
      </c>
    </row>
    <row r="129" spans="1:17" x14ac:dyDescent="0.3">
      <c r="A129" s="98">
        <v>127</v>
      </c>
      <c r="J129" s="104"/>
      <c r="K129" s="104"/>
      <c r="L129" s="104"/>
      <c r="P129" s="61" t="str">
        <f t="shared" si="4"/>
        <v/>
      </c>
      <c r="Q129" s="61" t="str">
        <f t="shared" si="3"/>
        <v/>
      </c>
    </row>
    <row r="130" spans="1:17" x14ac:dyDescent="0.3">
      <c r="A130" s="98">
        <v>128</v>
      </c>
      <c r="J130" s="104"/>
      <c r="K130" s="104"/>
      <c r="L130" s="104"/>
      <c r="P130" s="61" t="str">
        <f t="shared" si="4"/>
        <v/>
      </c>
      <c r="Q130" s="61" t="str">
        <f t="shared" si="3"/>
        <v/>
      </c>
    </row>
    <row r="131" spans="1:17" x14ac:dyDescent="0.3">
      <c r="A131" s="98">
        <v>129</v>
      </c>
      <c r="J131" s="104"/>
      <c r="K131" s="104"/>
      <c r="L131" s="104"/>
      <c r="P131" s="61" t="str">
        <f t="shared" si="4"/>
        <v/>
      </c>
      <c r="Q131" s="61" t="str">
        <f t="shared" si="3"/>
        <v/>
      </c>
    </row>
    <row r="132" spans="1:17" x14ac:dyDescent="0.3">
      <c r="A132" s="98">
        <v>130</v>
      </c>
      <c r="J132" s="104"/>
      <c r="K132" s="104"/>
      <c r="L132" s="104"/>
      <c r="P132" s="61" t="str">
        <f t="shared" si="4"/>
        <v/>
      </c>
      <c r="Q132" s="61" t="str">
        <f t="shared" ref="Q132:Q195" si="5">IF(P132="","",
IF(P132&lt;=0,"Not Due",
IF(P132&lt;=30,"1-30 Days",
IF(P132&lt;=60,"31-60 Days",
"&gt;60 Days"))))</f>
        <v/>
      </c>
    </row>
    <row r="133" spans="1:17" x14ac:dyDescent="0.3">
      <c r="A133" s="98">
        <v>131</v>
      </c>
      <c r="J133" s="104"/>
      <c r="K133" s="104"/>
      <c r="L133" s="104"/>
      <c r="P133" s="61" t="str">
        <f t="shared" si="4"/>
        <v/>
      </c>
      <c r="Q133" s="61" t="str">
        <f t="shared" si="5"/>
        <v/>
      </c>
    </row>
    <row r="134" spans="1:17" x14ac:dyDescent="0.3">
      <c r="A134" s="98">
        <v>132</v>
      </c>
      <c r="J134" s="104"/>
      <c r="K134" s="104"/>
      <c r="L134" s="104"/>
      <c r="P134" s="61" t="str">
        <f t="shared" si="4"/>
        <v/>
      </c>
      <c r="Q134" s="61" t="str">
        <f t="shared" si="5"/>
        <v/>
      </c>
    </row>
    <row r="135" spans="1:17" x14ac:dyDescent="0.3">
      <c r="A135" s="98">
        <v>133</v>
      </c>
      <c r="J135" s="104"/>
      <c r="K135" s="104"/>
      <c r="L135" s="104"/>
      <c r="P135" s="61" t="str">
        <f t="shared" si="4"/>
        <v/>
      </c>
      <c r="Q135" s="61" t="str">
        <f t="shared" si="5"/>
        <v/>
      </c>
    </row>
    <row r="136" spans="1:17" x14ac:dyDescent="0.3">
      <c r="A136" s="98">
        <v>134</v>
      </c>
      <c r="J136" s="104"/>
      <c r="K136" s="104"/>
      <c r="L136" s="104"/>
      <c r="P136" s="61" t="str">
        <f t="shared" si="4"/>
        <v/>
      </c>
      <c r="Q136" s="61" t="str">
        <f t="shared" si="5"/>
        <v/>
      </c>
    </row>
    <row r="137" spans="1:17" x14ac:dyDescent="0.3">
      <c r="A137" s="98">
        <v>135</v>
      </c>
      <c r="J137" s="104"/>
      <c r="K137" s="104"/>
      <c r="L137" s="104"/>
      <c r="P137" s="61" t="str">
        <f t="shared" si="4"/>
        <v/>
      </c>
      <c r="Q137" s="61" t="str">
        <f t="shared" si="5"/>
        <v/>
      </c>
    </row>
    <row r="138" spans="1:17" x14ac:dyDescent="0.3">
      <c r="A138" s="98">
        <v>136</v>
      </c>
      <c r="J138" s="104"/>
      <c r="K138" s="104"/>
      <c r="L138" s="104"/>
      <c r="P138" s="61" t="str">
        <f t="shared" si="4"/>
        <v/>
      </c>
      <c r="Q138" s="61" t="str">
        <f t="shared" si="5"/>
        <v/>
      </c>
    </row>
    <row r="139" spans="1:17" x14ac:dyDescent="0.3">
      <c r="A139" s="98">
        <v>137</v>
      </c>
      <c r="J139" s="104"/>
      <c r="K139" s="104"/>
      <c r="L139" s="104"/>
      <c r="P139" s="61" t="str">
        <f t="shared" si="4"/>
        <v/>
      </c>
      <c r="Q139" s="61" t="str">
        <f t="shared" si="5"/>
        <v/>
      </c>
    </row>
    <row r="140" spans="1:17" x14ac:dyDescent="0.3">
      <c r="A140" s="98">
        <v>138</v>
      </c>
      <c r="J140" s="104"/>
      <c r="K140" s="104"/>
      <c r="L140" s="104"/>
      <c r="P140" s="61" t="str">
        <f t="shared" si="4"/>
        <v/>
      </c>
      <c r="Q140" s="61" t="str">
        <f t="shared" si="5"/>
        <v/>
      </c>
    </row>
    <row r="141" spans="1:17" x14ac:dyDescent="0.3">
      <c r="A141" s="98">
        <v>139</v>
      </c>
      <c r="J141" s="104"/>
      <c r="K141" s="104"/>
      <c r="L141" s="104"/>
      <c r="P141" s="61" t="str">
        <f t="shared" si="4"/>
        <v/>
      </c>
      <c r="Q141" s="61" t="str">
        <f t="shared" si="5"/>
        <v/>
      </c>
    </row>
    <row r="142" spans="1:17" x14ac:dyDescent="0.3">
      <c r="A142" s="98">
        <v>140</v>
      </c>
      <c r="J142" s="104"/>
      <c r="K142" s="104"/>
      <c r="L142" s="104"/>
      <c r="P142" s="61" t="str">
        <f t="shared" si="4"/>
        <v/>
      </c>
      <c r="Q142" s="61" t="str">
        <f t="shared" si="5"/>
        <v/>
      </c>
    </row>
    <row r="143" spans="1:17" x14ac:dyDescent="0.3">
      <c r="A143" s="98">
        <v>141</v>
      </c>
      <c r="J143" s="104"/>
      <c r="K143" s="104"/>
      <c r="L143" s="104"/>
      <c r="P143" s="61" t="str">
        <f t="shared" si="4"/>
        <v/>
      </c>
      <c r="Q143" s="61" t="str">
        <f t="shared" si="5"/>
        <v/>
      </c>
    </row>
    <row r="144" spans="1:17" x14ac:dyDescent="0.3">
      <c r="A144" s="98">
        <v>142</v>
      </c>
      <c r="J144" s="104"/>
      <c r="K144" s="104"/>
      <c r="L144" s="104"/>
      <c r="P144" s="61" t="str">
        <f t="shared" ref="P144:P207" si="6">IF(O144="","",LEFT(O144,10)*(-1))</f>
        <v/>
      </c>
      <c r="Q144" s="61" t="str">
        <f t="shared" si="5"/>
        <v/>
      </c>
    </row>
    <row r="145" spans="1:17" x14ac:dyDescent="0.3">
      <c r="A145" s="98">
        <v>143</v>
      </c>
      <c r="J145" s="104"/>
      <c r="K145" s="104"/>
      <c r="L145" s="104"/>
      <c r="P145" s="61" t="str">
        <f t="shared" si="6"/>
        <v/>
      </c>
      <c r="Q145" s="61" t="str">
        <f t="shared" si="5"/>
        <v/>
      </c>
    </row>
    <row r="146" spans="1:17" x14ac:dyDescent="0.3">
      <c r="A146" s="98">
        <v>144</v>
      </c>
      <c r="J146" s="104"/>
      <c r="K146" s="104"/>
      <c r="L146" s="104"/>
      <c r="P146" s="61" t="str">
        <f t="shared" si="6"/>
        <v/>
      </c>
      <c r="Q146" s="61" t="str">
        <f t="shared" si="5"/>
        <v/>
      </c>
    </row>
    <row r="147" spans="1:17" x14ac:dyDescent="0.3">
      <c r="A147" s="98">
        <v>145</v>
      </c>
      <c r="J147" s="104"/>
      <c r="K147" s="104"/>
      <c r="L147" s="104"/>
      <c r="P147" s="61" t="str">
        <f t="shared" si="6"/>
        <v/>
      </c>
      <c r="Q147" s="61" t="str">
        <f t="shared" si="5"/>
        <v/>
      </c>
    </row>
    <row r="148" spans="1:17" x14ac:dyDescent="0.3">
      <c r="A148" s="98">
        <v>146</v>
      </c>
      <c r="J148" s="104"/>
      <c r="K148" s="104"/>
      <c r="L148" s="104"/>
      <c r="P148" s="61" t="str">
        <f t="shared" si="6"/>
        <v/>
      </c>
      <c r="Q148" s="61" t="str">
        <f t="shared" si="5"/>
        <v/>
      </c>
    </row>
    <row r="149" spans="1:17" x14ac:dyDescent="0.3">
      <c r="A149" s="98">
        <v>147</v>
      </c>
      <c r="J149" s="104"/>
      <c r="K149" s="104"/>
      <c r="L149" s="104"/>
      <c r="P149" s="61" t="str">
        <f t="shared" si="6"/>
        <v/>
      </c>
      <c r="Q149" s="61" t="str">
        <f t="shared" si="5"/>
        <v/>
      </c>
    </row>
    <row r="150" spans="1:17" x14ac:dyDescent="0.3">
      <c r="A150" s="98">
        <v>148</v>
      </c>
      <c r="J150" s="104"/>
      <c r="K150" s="104"/>
      <c r="L150" s="104"/>
      <c r="P150" s="61" t="str">
        <f t="shared" si="6"/>
        <v/>
      </c>
      <c r="Q150" s="61" t="str">
        <f t="shared" si="5"/>
        <v/>
      </c>
    </row>
    <row r="151" spans="1:17" x14ac:dyDescent="0.3">
      <c r="A151" s="98">
        <v>149</v>
      </c>
      <c r="J151" s="104"/>
      <c r="K151" s="104"/>
      <c r="L151" s="104"/>
      <c r="P151" s="61" t="str">
        <f t="shared" si="6"/>
        <v/>
      </c>
      <c r="Q151" s="61" t="str">
        <f t="shared" si="5"/>
        <v/>
      </c>
    </row>
    <row r="152" spans="1:17" x14ac:dyDescent="0.3">
      <c r="A152" s="98">
        <v>150</v>
      </c>
      <c r="J152" s="104"/>
      <c r="K152" s="104"/>
      <c r="L152" s="104"/>
      <c r="P152" s="61" t="str">
        <f t="shared" si="6"/>
        <v/>
      </c>
      <c r="Q152" s="61" t="str">
        <f t="shared" si="5"/>
        <v/>
      </c>
    </row>
    <row r="153" spans="1:17" x14ac:dyDescent="0.3">
      <c r="A153" s="98">
        <v>151</v>
      </c>
      <c r="J153" s="104"/>
      <c r="K153" s="104"/>
      <c r="L153" s="104"/>
      <c r="P153" s="61" t="str">
        <f t="shared" si="6"/>
        <v/>
      </c>
      <c r="Q153" s="61" t="str">
        <f t="shared" si="5"/>
        <v/>
      </c>
    </row>
    <row r="154" spans="1:17" x14ac:dyDescent="0.3">
      <c r="A154" s="98">
        <v>152</v>
      </c>
      <c r="J154" s="104"/>
      <c r="K154" s="104"/>
      <c r="L154" s="104"/>
      <c r="P154" s="61" t="str">
        <f t="shared" si="6"/>
        <v/>
      </c>
      <c r="Q154" s="61" t="str">
        <f t="shared" si="5"/>
        <v/>
      </c>
    </row>
    <row r="155" spans="1:17" x14ac:dyDescent="0.3">
      <c r="A155" s="98">
        <v>153</v>
      </c>
      <c r="J155" s="104"/>
      <c r="K155" s="104"/>
      <c r="L155" s="104"/>
      <c r="P155" s="61" t="str">
        <f t="shared" si="6"/>
        <v/>
      </c>
      <c r="Q155" s="61" t="str">
        <f t="shared" si="5"/>
        <v/>
      </c>
    </row>
    <row r="156" spans="1:17" x14ac:dyDescent="0.3">
      <c r="A156" s="98">
        <v>154</v>
      </c>
      <c r="J156" s="104"/>
      <c r="K156" s="104"/>
      <c r="L156" s="104"/>
      <c r="P156" s="61" t="str">
        <f t="shared" si="6"/>
        <v/>
      </c>
      <c r="Q156" s="61" t="str">
        <f t="shared" si="5"/>
        <v/>
      </c>
    </row>
    <row r="157" spans="1:17" x14ac:dyDescent="0.3">
      <c r="A157" s="98">
        <v>155</v>
      </c>
      <c r="J157" s="104"/>
      <c r="K157" s="104"/>
      <c r="L157" s="104"/>
      <c r="P157" s="61" t="str">
        <f t="shared" si="6"/>
        <v/>
      </c>
      <c r="Q157" s="61" t="str">
        <f t="shared" si="5"/>
        <v/>
      </c>
    </row>
    <row r="158" spans="1:17" x14ac:dyDescent="0.3">
      <c r="A158" s="98">
        <v>156</v>
      </c>
      <c r="J158" s="104"/>
      <c r="K158" s="104"/>
      <c r="L158" s="104"/>
      <c r="P158" s="61" t="str">
        <f t="shared" si="6"/>
        <v/>
      </c>
      <c r="Q158" s="61" t="str">
        <f t="shared" si="5"/>
        <v/>
      </c>
    </row>
    <row r="159" spans="1:17" x14ac:dyDescent="0.3">
      <c r="A159" s="98">
        <v>157</v>
      </c>
      <c r="J159" s="104"/>
      <c r="K159" s="104"/>
      <c r="L159" s="104"/>
      <c r="P159" s="61" t="str">
        <f t="shared" si="6"/>
        <v/>
      </c>
      <c r="Q159" s="61" t="str">
        <f t="shared" si="5"/>
        <v/>
      </c>
    </row>
    <row r="160" spans="1:17" x14ac:dyDescent="0.3">
      <c r="A160" s="98">
        <v>158</v>
      </c>
      <c r="J160" s="104"/>
      <c r="K160" s="104"/>
      <c r="L160" s="104"/>
      <c r="P160" s="61" t="str">
        <f t="shared" si="6"/>
        <v/>
      </c>
      <c r="Q160" s="61" t="str">
        <f t="shared" si="5"/>
        <v/>
      </c>
    </row>
    <row r="161" spans="1:17" x14ac:dyDescent="0.3">
      <c r="A161" s="98">
        <v>159</v>
      </c>
      <c r="J161" s="104"/>
      <c r="K161" s="104"/>
      <c r="L161" s="104"/>
      <c r="P161" s="61" t="str">
        <f t="shared" si="6"/>
        <v/>
      </c>
      <c r="Q161" s="61" t="str">
        <f t="shared" si="5"/>
        <v/>
      </c>
    </row>
    <row r="162" spans="1:17" x14ac:dyDescent="0.3">
      <c r="A162" s="98">
        <v>160</v>
      </c>
      <c r="J162" s="104"/>
      <c r="K162" s="104"/>
      <c r="L162" s="104"/>
      <c r="P162" s="61" t="str">
        <f t="shared" si="6"/>
        <v/>
      </c>
      <c r="Q162" s="61" t="str">
        <f t="shared" si="5"/>
        <v/>
      </c>
    </row>
    <row r="163" spans="1:17" x14ac:dyDescent="0.3">
      <c r="A163" s="98">
        <v>161</v>
      </c>
      <c r="J163" s="104"/>
      <c r="K163" s="104"/>
      <c r="L163" s="104"/>
      <c r="P163" s="61" t="str">
        <f t="shared" si="6"/>
        <v/>
      </c>
      <c r="Q163" s="61" t="str">
        <f t="shared" si="5"/>
        <v/>
      </c>
    </row>
    <row r="164" spans="1:17" x14ac:dyDescent="0.3">
      <c r="A164" s="98">
        <v>162</v>
      </c>
      <c r="J164" s="104"/>
      <c r="K164" s="104"/>
      <c r="L164" s="104"/>
      <c r="P164" s="61" t="str">
        <f t="shared" si="6"/>
        <v/>
      </c>
      <c r="Q164" s="61" t="str">
        <f t="shared" si="5"/>
        <v/>
      </c>
    </row>
    <row r="165" spans="1:17" x14ac:dyDescent="0.3">
      <c r="A165" s="98">
        <v>163</v>
      </c>
      <c r="J165" s="104"/>
      <c r="K165" s="104"/>
      <c r="L165" s="104"/>
      <c r="P165" s="61" t="str">
        <f t="shared" si="6"/>
        <v/>
      </c>
      <c r="Q165" s="61" t="str">
        <f t="shared" si="5"/>
        <v/>
      </c>
    </row>
    <row r="166" spans="1:17" x14ac:dyDescent="0.3">
      <c r="A166" s="98">
        <v>164</v>
      </c>
      <c r="J166" s="104"/>
      <c r="K166" s="104"/>
      <c r="L166" s="104"/>
      <c r="P166" s="61" t="str">
        <f t="shared" si="6"/>
        <v/>
      </c>
      <c r="Q166" s="61" t="str">
        <f t="shared" si="5"/>
        <v/>
      </c>
    </row>
    <row r="167" spans="1:17" x14ac:dyDescent="0.3">
      <c r="A167" s="98">
        <v>165</v>
      </c>
      <c r="J167" s="104"/>
      <c r="K167" s="104"/>
      <c r="L167" s="104"/>
      <c r="P167" s="61" t="str">
        <f t="shared" si="6"/>
        <v/>
      </c>
      <c r="Q167" s="61" t="str">
        <f t="shared" si="5"/>
        <v/>
      </c>
    </row>
    <row r="168" spans="1:17" x14ac:dyDescent="0.3">
      <c r="A168" s="98">
        <v>166</v>
      </c>
      <c r="J168" s="104"/>
      <c r="K168" s="104"/>
      <c r="L168" s="104"/>
      <c r="P168" s="61" t="str">
        <f t="shared" si="6"/>
        <v/>
      </c>
      <c r="Q168" s="61" t="str">
        <f t="shared" si="5"/>
        <v/>
      </c>
    </row>
    <row r="169" spans="1:17" x14ac:dyDescent="0.3">
      <c r="A169" s="98">
        <v>167</v>
      </c>
      <c r="J169" s="104"/>
      <c r="K169" s="104"/>
      <c r="L169" s="104"/>
      <c r="P169" s="61" t="str">
        <f t="shared" si="6"/>
        <v/>
      </c>
      <c r="Q169" s="61" t="str">
        <f t="shared" si="5"/>
        <v/>
      </c>
    </row>
    <row r="170" spans="1:17" x14ac:dyDescent="0.3">
      <c r="A170" s="98">
        <v>168</v>
      </c>
      <c r="J170" s="104"/>
      <c r="K170" s="104"/>
      <c r="L170" s="104"/>
      <c r="P170" s="61" t="str">
        <f t="shared" si="6"/>
        <v/>
      </c>
      <c r="Q170" s="61" t="str">
        <f t="shared" si="5"/>
        <v/>
      </c>
    </row>
    <row r="171" spans="1:17" x14ac:dyDescent="0.3">
      <c r="A171" s="98">
        <v>169</v>
      </c>
      <c r="J171" s="104"/>
      <c r="K171" s="104"/>
      <c r="L171" s="104"/>
      <c r="P171" s="61" t="str">
        <f t="shared" si="6"/>
        <v/>
      </c>
      <c r="Q171" s="61" t="str">
        <f t="shared" si="5"/>
        <v/>
      </c>
    </row>
    <row r="172" spans="1:17" x14ac:dyDescent="0.3">
      <c r="A172" s="98">
        <v>170</v>
      </c>
      <c r="J172" s="104"/>
      <c r="K172" s="104"/>
      <c r="L172" s="104"/>
      <c r="P172" s="61" t="str">
        <f t="shared" si="6"/>
        <v/>
      </c>
      <c r="Q172" s="61" t="str">
        <f t="shared" si="5"/>
        <v/>
      </c>
    </row>
    <row r="173" spans="1:17" x14ac:dyDescent="0.3">
      <c r="A173" s="98">
        <v>171</v>
      </c>
      <c r="J173" s="104"/>
      <c r="K173" s="104"/>
      <c r="L173" s="104"/>
      <c r="P173" s="61" t="str">
        <f t="shared" si="6"/>
        <v/>
      </c>
      <c r="Q173" s="61" t="str">
        <f t="shared" si="5"/>
        <v/>
      </c>
    </row>
    <row r="174" spans="1:17" x14ac:dyDescent="0.3">
      <c r="A174" s="98">
        <v>172</v>
      </c>
      <c r="J174" s="104"/>
      <c r="K174" s="104"/>
      <c r="L174" s="104"/>
      <c r="P174" s="61" t="str">
        <f t="shared" si="6"/>
        <v/>
      </c>
      <c r="Q174" s="61" t="str">
        <f t="shared" si="5"/>
        <v/>
      </c>
    </row>
    <row r="175" spans="1:17" x14ac:dyDescent="0.3">
      <c r="A175" s="98">
        <v>173</v>
      </c>
      <c r="J175" s="104"/>
      <c r="K175" s="104"/>
      <c r="L175" s="104"/>
      <c r="P175" s="61" t="str">
        <f t="shared" si="6"/>
        <v/>
      </c>
      <c r="Q175" s="61" t="str">
        <f t="shared" si="5"/>
        <v/>
      </c>
    </row>
    <row r="176" spans="1:17" x14ac:dyDescent="0.3">
      <c r="A176" s="98">
        <v>174</v>
      </c>
      <c r="J176" s="104"/>
      <c r="K176" s="104"/>
      <c r="L176" s="104"/>
      <c r="P176" s="61" t="str">
        <f t="shared" si="6"/>
        <v/>
      </c>
      <c r="Q176" s="61" t="str">
        <f t="shared" si="5"/>
        <v/>
      </c>
    </row>
    <row r="177" spans="1:17" x14ac:dyDescent="0.3">
      <c r="A177" s="98">
        <v>175</v>
      </c>
      <c r="J177" s="104"/>
      <c r="K177" s="104"/>
      <c r="L177" s="104"/>
      <c r="P177" s="61" t="str">
        <f t="shared" si="6"/>
        <v/>
      </c>
      <c r="Q177" s="61" t="str">
        <f t="shared" si="5"/>
        <v/>
      </c>
    </row>
    <row r="178" spans="1:17" x14ac:dyDescent="0.3">
      <c r="A178" s="98">
        <v>176</v>
      </c>
      <c r="J178" s="104"/>
      <c r="K178" s="104"/>
      <c r="L178" s="104"/>
      <c r="P178" s="61" t="str">
        <f t="shared" si="6"/>
        <v/>
      </c>
      <c r="Q178" s="61" t="str">
        <f t="shared" si="5"/>
        <v/>
      </c>
    </row>
    <row r="179" spans="1:17" x14ac:dyDescent="0.3">
      <c r="A179" s="98">
        <v>177</v>
      </c>
      <c r="J179" s="104"/>
      <c r="K179" s="104"/>
      <c r="L179" s="104"/>
      <c r="P179" s="61" t="str">
        <f t="shared" si="6"/>
        <v/>
      </c>
      <c r="Q179" s="61" t="str">
        <f t="shared" si="5"/>
        <v/>
      </c>
    </row>
    <row r="180" spans="1:17" x14ac:dyDescent="0.3">
      <c r="A180" s="98">
        <v>178</v>
      </c>
      <c r="J180" s="104"/>
      <c r="K180" s="104"/>
      <c r="L180" s="104"/>
      <c r="P180" s="61" t="str">
        <f t="shared" si="6"/>
        <v/>
      </c>
      <c r="Q180" s="61" t="str">
        <f t="shared" si="5"/>
        <v/>
      </c>
    </row>
    <row r="181" spans="1:17" x14ac:dyDescent="0.3">
      <c r="A181" s="98">
        <v>179</v>
      </c>
      <c r="J181" s="104"/>
      <c r="K181" s="104"/>
      <c r="L181" s="104"/>
      <c r="P181" s="61" t="str">
        <f t="shared" si="6"/>
        <v/>
      </c>
      <c r="Q181" s="61" t="str">
        <f t="shared" si="5"/>
        <v/>
      </c>
    </row>
    <row r="182" spans="1:17" x14ac:dyDescent="0.3">
      <c r="A182" s="98">
        <v>180</v>
      </c>
      <c r="J182" s="104"/>
      <c r="K182" s="104"/>
      <c r="L182" s="104"/>
      <c r="P182" s="61" t="str">
        <f t="shared" si="6"/>
        <v/>
      </c>
      <c r="Q182" s="61" t="str">
        <f t="shared" si="5"/>
        <v/>
      </c>
    </row>
    <row r="183" spans="1:17" x14ac:dyDescent="0.3">
      <c r="A183" s="98">
        <v>181</v>
      </c>
      <c r="J183" s="104"/>
      <c r="K183" s="104"/>
      <c r="L183" s="104"/>
      <c r="P183" s="61" t="str">
        <f t="shared" si="6"/>
        <v/>
      </c>
      <c r="Q183" s="61" t="str">
        <f t="shared" si="5"/>
        <v/>
      </c>
    </row>
    <row r="184" spans="1:17" x14ac:dyDescent="0.3">
      <c r="A184" s="98">
        <v>182</v>
      </c>
      <c r="J184" s="104"/>
      <c r="K184" s="104"/>
      <c r="L184" s="104"/>
      <c r="P184" s="61" t="str">
        <f t="shared" si="6"/>
        <v/>
      </c>
      <c r="Q184" s="61" t="str">
        <f t="shared" si="5"/>
        <v/>
      </c>
    </row>
    <row r="185" spans="1:17" x14ac:dyDescent="0.3">
      <c r="A185" s="98">
        <v>183</v>
      </c>
      <c r="J185" s="104"/>
      <c r="K185" s="104"/>
      <c r="L185" s="104"/>
      <c r="P185" s="61" t="str">
        <f t="shared" si="6"/>
        <v/>
      </c>
      <c r="Q185" s="61" t="str">
        <f t="shared" si="5"/>
        <v/>
      </c>
    </row>
    <row r="186" spans="1:17" x14ac:dyDescent="0.3">
      <c r="A186" s="98">
        <v>184</v>
      </c>
      <c r="J186" s="104"/>
      <c r="K186" s="104"/>
      <c r="L186" s="104"/>
      <c r="P186" s="61" t="str">
        <f t="shared" si="6"/>
        <v/>
      </c>
      <c r="Q186" s="61" t="str">
        <f t="shared" si="5"/>
        <v/>
      </c>
    </row>
    <row r="187" spans="1:17" x14ac:dyDescent="0.3">
      <c r="A187" s="98">
        <v>185</v>
      </c>
      <c r="J187" s="104"/>
      <c r="K187" s="104"/>
      <c r="L187" s="104"/>
      <c r="P187" s="61" t="str">
        <f t="shared" si="6"/>
        <v/>
      </c>
      <c r="Q187" s="61" t="str">
        <f t="shared" si="5"/>
        <v/>
      </c>
    </row>
    <row r="188" spans="1:17" x14ac:dyDescent="0.3">
      <c r="A188" s="98">
        <v>186</v>
      </c>
      <c r="J188" s="104"/>
      <c r="K188" s="104"/>
      <c r="L188" s="104"/>
      <c r="P188" s="61" t="str">
        <f t="shared" si="6"/>
        <v/>
      </c>
      <c r="Q188" s="61" t="str">
        <f t="shared" si="5"/>
        <v/>
      </c>
    </row>
    <row r="189" spans="1:17" x14ac:dyDescent="0.3">
      <c r="A189" s="98">
        <v>187</v>
      </c>
      <c r="J189" s="104"/>
      <c r="K189" s="104"/>
      <c r="L189" s="104"/>
      <c r="P189" s="61" t="str">
        <f t="shared" si="6"/>
        <v/>
      </c>
      <c r="Q189" s="61" t="str">
        <f t="shared" si="5"/>
        <v/>
      </c>
    </row>
    <row r="190" spans="1:17" x14ac:dyDescent="0.3">
      <c r="A190" s="98">
        <v>188</v>
      </c>
      <c r="J190" s="104"/>
      <c r="K190" s="104"/>
      <c r="L190" s="104"/>
      <c r="P190" s="61" t="str">
        <f t="shared" si="6"/>
        <v/>
      </c>
      <c r="Q190" s="61" t="str">
        <f t="shared" si="5"/>
        <v/>
      </c>
    </row>
    <row r="191" spans="1:17" x14ac:dyDescent="0.3">
      <c r="A191" s="98">
        <v>189</v>
      </c>
      <c r="J191" s="104"/>
      <c r="K191" s="104"/>
      <c r="L191" s="104"/>
      <c r="P191" s="61" t="str">
        <f t="shared" si="6"/>
        <v/>
      </c>
      <c r="Q191" s="61" t="str">
        <f t="shared" si="5"/>
        <v/>
      </c>
    </row>
    <row r="192" spans="1:17" x14ac:dyDescent="0.3">
      <c r="A192" s="98">
        <v>190</v>
      </c>
      <c r="J192" s="104"/>
      <c r="K192" s="104"/>
      <c r="L192" s="104"/>
      <c r="P192" s="61" t="str">
        <f t="shared" si="6"/>
        <v/>
      </c>
      <c r="Q192" s="61" t="str">
        <f t="shared" si="5"/>
        <v/>
      </c>
    </row>
    <row r="193" spans="1:17" x14ac:dyDescent="0.3">
      <c r="A193" s="98">
        <v>191</v>
      </c>
      <c r="J193" s="104"/>
      <c r="K193" s="104"/>
      <c r="L193" s="104"/>
      <c r="P193" s="61" t="str">
        <f t="shared" si="6"/>
        <v/>
      </c>
      <c r="Q193" s="61" t="str">
        <f t="shared" si="5"/>
        <v/>
      </c>
    </row>
    <row r="194" spans="1:17" x14ac:dyDescent="0.3">
      <c r="A194" s="98">
        <v>192</v>
      </c>
      <c r="J194" s="104"/>
      <c r="K194" s="104"/>
      <c r="L194" s="104"/>
      <c r="P194" s="61" t="str">
        <f t="shared" si="6"/>
        <v/>
      </c>
      <c r="Q194" s="61" t="str">
        <f t="shared" si="5"/>
        <v/>
      </c>
    </row>
    <row r="195" spans="1:17" x14ac:dyDescent="0.3">
      <c r="A195" s="98">
        <v>193</v>
      </c>
      <c r="J195" s="104"/>
      <c r="K195" s="104"/>
      <c r="L195" s="104"/>
      <c r="P195" s="61" t="str">
        <f t="shared" si="6"/>
        <v/>
      </c>
      <c r="Q195" s="61" t="str">
        <f t="shared" si="5"/>
        <v/>
      </c>
    </row>
    <row r="196" spans="1:17" x14ac:dyDescent="0.3">
      <c r="A196" s="98">
        <v>194</v>
      </c>
      <c r="J196" s="104"/>
      <c r="K196" s="104"/>
      <c r="L196" s="104"/>
      <c r="P196" s="61" t="str">
        <f t="shared" si="6"/>
        <v/>
      </c>
      <c r="Q196" s="61" t="str">
        <f t="shared" ref="Q196:Q259" si="7">IF(P196="","",
IF(P196&lt;=0,"Not Due",
IF(P196&lt;=30,"1-30 Days",
IF(P196&lt;=60,"31-60 Days",
"&gt;60 Days"))))</f>
        <v/>
      </c>
    </row>
    <row r="197" spans="1:17" x14ac:dyDescent="0.3">
      <c r="A197" s="98">
        <v>195</v>
      </c>
      <c r="J197" s="104"/>
      <c r="K197" s="104"/>
      <c r="L197" s="104"/>
      <c r="P197" s="61" t="str">
        <f t="shared" si="6"/>
        <v/>
      </c>
      <c r="Q197" s="61" t="str">
        <f t="shared" si="7"/>
        <v/>
      </c>
    </row>
    <row r="198" spans="1:17" x14ac:dyDescent="0.3">
      <c r="A198" s="98">
        <v>196</v>
      </c>
      <c r="J198" s="104"/>
      <c r="K198" s="104"/>
      <c r="L198" s="104"/>
      <c r="P198" s="61" t="str">
        <f t="shared" si="6"/>
        <v/>
      </c>
      <c r="Q198" s="61" t="str">
        <f t="shared" si="7"/>
        <v/>
      </c>
    </row>
    <row r="199" spans="1:17" x14ac:dyDescent="0.3">
      <c r="A199" s="98">
        <v>197</v>
      </c>
      <c r="J199" s="104"/>
      <c r="K199" s="104"/>
      <c r="L199" s="104"/>
      <c r="P199" s="61" t="str">
        <f t="shared" si="6"/>
        <v/>
      </c>
      <c r="Q199" s="61" t="str">
        <f t="shared" si="7"/>
        <v/>
      </c>
    </row>
    <row r="200" spans="1:17" x14ac:dyDescent="0.3">
      <c r="A200" s="98">
        <v>198</v>
      </c>
      <c r="J200" s="104"/>
      <c r="K200" s="104"/>
      <c r="L200" s="104"/>
      <c r="P200" s="61" t="str">
        <f t="shared" si="6"/>
        <v/>
      </c>
      <c r="Q200" s="61" t="str">
        <f t="shared" si="7"/>
        <v/>
      </c>
    </row>
    <row r="201" spans="1:17" x14ac:dyDescent="0.3">
      <c r="A201" s="98">
        <v>199</v>
      </c>
      <c r="J201" s="104"/>
      <c r="K201" s="104"/>
      <c r="L201" s="104"/>
      <c r="P201" s="61" t="str">
        <f t="shared" si="6"/>
        <v/>
      </c>
      <c r="Q201" s="61" t="str">
        <f t="shared" si="7"/>
        <v/>
      </c>
    </row>
    <row r="202" spans="1:17" x14ac:dyDescent="0.3">
      <c r="A202" s="98">
        <v>200</v>
      </c>
      <c r="J202" s="104"/>
      <c r="K202" s="104"/>
      <c r="L202" s="104"/>
      <c r="P202" s="61" t="str">
        <f t="shared" si="6"/>
        <v/>
      </c>
      <c r="Q202" s="61" t="str">
        <f t="shared" si="7"/>
        <v/>
      </c>
    </row>
    <row r="203" spans="1:17" x14ac:dyDescent="0.3">
      <c r="A203" s="98">
        <v>201</v>
      </c>
      <c r="J203" s="104"/>
      <c r="K203" s="104"/>
      <c r="L203" s="104"/>
      <c r="P203" s="61" t="str">
        <f t="shared" si="6"/>
        <v/>
      </c>
      <c r="Q203" s="61" t="str">
        <f t="shared" si="7"/>
        <v/>
      </c>
    </row>
    <row r="204" spans="1:17" x14ac:dyDescent="0.3">
      <c r="A204" s="98">
        <v>202</v>
      </c>
      <c r="J204" s="104"/>
      <c r="K204" s="104"/>
      <c r="L204" s="104"/>
      <c r="P204" s="61" t="str">
        <f t="shared" si="6"/>
        <v/>
      </c>
      <c r="Q204" s="61" t="str">
        <f t="shared" si="7"/>
        <v/>
      </c>
    </row>
    <row r="205" spans="1:17" x14ac:dyDescent="0.3">
      <c r="A205" s="98">
        <v>203</v>
      </c>
      <c r="J205" s="104"/>
      <c r="K205" s="104"/>
      <c r="L205" s="104"/>
      <c r="P205" s="61" t="str">
        <f t="shared" si="6"/>
        <v/>
      </c>
      <c r="Q205" s="61" t="str">
        <f t="shared" si="7"/>
        <v/>
      </c>
    </row>
    <row r="206" spans="1:17" x14ac:dyDescent="0.3">
      <c r="A206" s="98">
        <v>204</v>
      </c>
      <c r="J206" s="104"/>
      <c r="K206" s="104"/>
      <c r="L206" s="104"/>
      <c r="P206" s="61" t="str">
        <f t="shared" si="6"/>
        <v/>
      </c>
      <c r="Q206" s="61" t="str">
        <f t="shared" si="7"/>
        <v/>
      </c>
    </row>
    <row r="207" spans="1:17" x14ac:dyDescent="0.3">
      <c r="A207" s="98">
        <v>205</v>
      </c>
      <c r="J207" s="104"/>
      <c r="K207" s="104"/>
      <c r="L207" s="104"/>
      <c r="P207" s="61" t="str">
        <f t="shared" si="6"/>
        <v/>
      </c>
      <c r="Q207" s="61" t="str">
        <f t="shared" si="7"/>
        <v/>
      </c>
    </row>
    <row r="208" spans="1:17" x14ac:dyDescent="0.3">
      <c r="A208" s="98">
        <v>206</v>
      </c>
      <c r="J208" s="104"/>
      <c r="K208" s="104"/>
      <c r="L208" s="104"/>
      <c r="P208" s="61" t="str">
        <f t="shared" ref="P208:P271" si="8">IF(O208="","",LEFT(O208,10)*(-1))</f>
        <v/>
      </c>
      <c r="Q208" s="61" t="str">
        <f t="shared" si="7"/>
        <v/>
      </c>
    </row>
    <row r="209" spans="1:17" x14ac:dyDescent="0.3">
      <c r="A209" s="98">
        <v>207</v>
      </c>
      <c r="J209" s="104"/>
      <c r="K209" s="104"/>
      <c r="L209" s="104"/>
      <c r="P209" s="61" t="str">
        <f t="shared" si="8"/>
        <v/>
      </c>
      <c r="Q209" s="61" t="str">
        <f t="shared" si="7"/>
        <v/>
      </c>
    </row>
    <row r="210" spans="1:17" x14ac:dyDescent="0.3">
      <c r="A210" s="98">
        <v>208</v>
      </c>
      <c r="J210" s="104"/>
      <c r="K210" s="104"/>
      <c r="L210" s="104"/>
      <c r="P210" s="61" t="str">
        <f t="shared" si="8"/>
        <v/>
      </c>
      <c r="Q210" s="61" t="str">
        <f t="shared" si="7"/>
        <v/>
      </c>
    </row>
    <row r="211" spans="1:17" x14ac:dyDescent="0.3">
      <c r="A211" s="98">
        <v>209</v>
      </c>
      <c r="J211" s="104"/>
      <c r="K211" s="104"/>
      <c r="L211" s="104"/>
      <c r="P211" s="61" t="str">
        <f t="shared" si="8"/>
        <v/>
      </c>
      <c r="Q211" s="61" t="str">
        <f t="shared" si="7"/>
        <v/>
      </c>
    </row>
    <row r="212" spans="1:17" x14ac:dyDescent="0.3">
      <c r="A212" s="98">
        <v>210</v>
      </c>
      <c r="J212" s="104"/>
      <c r="K212" s="104"/>
      <c r="L212" s="104"/>
      <c r="P212" s="61" t="str">
        <f t="shared" si="8"/>
        <v/>
      </c>
      <c r="Q212" s="61" t="str">
        <f t="shared" si="7"/>
        <v/>
      </c>
    </row>
    <row r="213" spans="1:17" x14ac:dyDescent="0.3">
      <c r="A213" s="98">
        <v>211</v>
      </c>
      <c r="J213" s="104"/>
      <c r="K213" s="104"/>
      <c r="L213" s="104"/>
      <c r="P213" s="61" t="str">
        <f t="shared" si="8"/>
        <v/>
      </c>
      <c r="Q213" s="61" t="str">
        <f t="shared" si="7"/>
        <v/>
      </c>
    </row>
    <row r="214" spans="1:17" x14ac:dyDescent="0.3">
      <c r="A214" s="98">
        <v>212</v>
      </c>
      <c r="J214" s="104"/>
      <c r="K214" s="104"/>
      <c r="L214" s="104"/>
      <c r="P214" s="61" t="str">
        <f t="shared" si="8"/>
        <v/>
      </c>
      <c r="Q214" s="61" t="str">
        <f t="shared" si="7"/>
        <v/>
      </c>
    </row>
    <row r="215" spans="1:17" x14ac:dyDescent="0.3">
      <c r="A215" s="98">
        <v>213</v>
      </c>
      <c r="J215" s="104"/>
      <c r="K215" s="104"/>
      <c r="L215" s="104"/>
      <c r="P215" s="61" t="str">
        <f t="shared" si="8"/>
        <v/>
      </c>
      <c r="Q215" s="61" t="str">
        <f t="shared" si="7"/>
        <v/>
      </c>
    </row>
    <row r="216" spans="1:17" x14ac:dyDescent="0.3">
      <c r="A216" s="98">
        <v>214</v>
      </c>
      <c r="J216" s="104"/>
      <c r="K216" s="104"/>
      <c r="L216" s="104"/>
      <c r="P216" s="61" t="str">
        <f t="shared" si="8"/>
        <v/>
      </c>
      <c r="Q216" s="61" t="str">
        <f t="shared" si="7"/>
        <v/>
      </c>
    </row>
    <row r="217" spans="1:17" x14ac:dyDescent="0.3">
      <c r="A217" s="98">
        <v>215</v>
      </c>
      <c r="J217" s="104"/>
      <c r="K217" s="104"/>
      <c r="L217" s="104"/>
      <c r="P217" s="61" t="str">
        <f t="shared" si="8"/>
        <v/>
      </c>
      <c r="Q217" s="61" t="str">
        <f t="shared" si="7"/>
        <v/>
      </c>
    </row>
    <row r="218" spans="1:17" x14ac:dyDescent="0.3">
      <c r="A218" s="98">
        <v>216</v>
      </c>
      <c r="J218" s="104"/>
      <c r="K218" s="104"/>
      <c r="L218" s="104"/>
      <c r="P218" s="61" t="str">
        <f t="shared" si="8"/>
        <v/>
      </c>
      <c r="Q218" s="61" t="str">
        <f t="shared" si="7"/>
        <v/>
      </c>
    </row>
    <row r="219" spans="1:17" x14ac:dyDescent="0.3">
      <c r="A219" s="98">
        <v>217</v>
      </c>
      <c r="J219" s="104"/>
      <c r="K219" s="104"/>
      <c r="L219" s="104"/>
      <c r="P219" s="61" t="str">
        <f t="shared" si="8"/>
        <v/>
      </c>
      <c r="Q219" s="61" t="str">
        <f t="shared" si="7"/>
        <v/>
      </c>
    </row>
    <row r="220" spans="1:17" x14ac:dyDescent="0.3">
      <c r="A220" s="98">
        <v>218</v>
      </c>
      <c r="J220" s="104"/>
      <c r="K220" s="104"/>
      <c r="L220" s="104"/>
      <c r="P220" s="61" t="str">
        <f t="shared" si="8"/>
        <v/>
      </c>
      <c r="Q220" s="61" t="str">
        <f t="shared" si="7"/>
        <v/>
      </c>
    </row>
    <row r="221" spans="1:17" x14ac:dyDescent="0.3">
      <c r="A221" s="98">
        <v>219</v>
      </c>
      <c r="J221" s="104"/>
      <c r="K221" s="104"/>
      <c r="L221" s="104"/>
      <c r="P221" s="61" t="str">
        <f t="shared" si="8"/>
        <v/>
      </c>
      <c r="Q221" s="61" t="str">
        <f t="shared" si="7"/>
        <v/>
      </c>
    </row>
    <row r="222" spans="1:17" x14ac:dyDescent="0.3">
      <c r="A222" s="98">
        <v>220</v>
      </c>
      <c r="J222" s="104"/>
      <c r="K222" s="104"/>
      <c r="L222" s="104"/>
      <c r="P222" s="61" t="str">
        <f t="shared" si="8"/>
        <v/>
      </c>
      <c r="Q222" s="61" t="str">
        <f t="shared" si="7"/>
        <v/>
      </c>
    </row>
    <row r="223" spans="1:17" x14ac:dyDescent="0.3">
      <c r="A223" s="98">
        <v>221</v>
      </c>
      <c r="J223" s="104"/>
      <c r="K223" s="104"/>
      <c r="L223" s="104"/>
      <c r="P223" s="61" t="str">
        <f t="shared" si="8"/>
        <v/>
      </c>
      <c r="Q223" s="61" t="str">
        <f t="shared" si="7"/>
        <v/>
      </c>
    </row>
    <row r="224" spans="1:17" x14ac:dyDescent="0.3">
      <c r="A224" s="98">
        <v>222</v>
      </c>
      <c r="J224" s="104"/>
      <c r="K224" s="104"/>
      <c r="L224" s="104"/>
      <c r="P224" s="61" t="str">
        <f t="shared" si="8"/>
        <v/>
      </c>
      <c r="Q224" s="61" t="str">
        <f t="shared" si="7"/>
        <v/>
      </c>
    </row>
    <row r="225" spans="1:17" x14ac:dyDescent="0.3">
      <c r="A225" s="98">
        <v>223</v>
      </c>
      <c r="J225" s="104"/>
      <c r="K225" s="104"/>
      <c r="L225" s="104"/>
      <c r="P225" s="61" t="str">
        <f t="shared" si="8"/>
        <v/>
      </c>
      <c r="Q225" s="61" t="str">
        <f t="shared" si="7"/>
        <v/>
      </c>
    </row>
    <row r="226" spans="1:17" x14ac:dyDescent="0.3">
      <c r="A226" s="98">
        <v>224</v>
      </c>
      <c r="J226" s="104"/>
      <c r="K226" s="104"/>
      <c r="L226" s="104"/>
      <c r="P226" s="61" t="str">
        <f t="shared" si="8"/>
        <v/>
      </c>
      <c r="Q226" s="61" t="str">
        <f t="shared" si="7"/>
        <v/>
      </c>
    </row>
    <row r="227" spans="1:17" x14ac:dyDescent="0.3">
      <c r="A227" s="98">
        <v>225</v>
      </c>
      <c r="J227" s="104"/>
      <c r="K227" s="104"/>
      <c r="L227" s="104"/>
      <c r="P227" s="61" t="str">
        <f t="shared" si="8"/>
        <v/>
      </c>
      <c r="Q227" s="61" t="str">
        <f t="shared" si="7"/>
        <v/>
      </c>
    </row>
    <row r="228" spans="1:17" x14ac:dyDescent="0.3">
      <c r="A228" s="98">
        <v>226</v>
      </c>
      <c r="J228" s="104"/>
      <c r="K228" s="104"/>
      <c r="L228" s="104"/>
      <c r="P228" s="61" t="str">
        <f t="shared" si="8"/>
        <v/>
      </c>
      <c r="Q228" s="61" t="str">
        <f t="shared" si="7"/>
        <v/>
      </c>
    </row>
    <row r="229" spans="1:17" x14ac:dyDescent="0.3">
      <c r="A229" s="98">
        <v>227</v>
      </c>
      <c r="J229" s="104"/>
      <c r="K229" s="104"/>
      <c r="L229" s="104"/>
      <c r="P229" s="61" t="str">
        <f t="shared" si="8"/>
        <v/>
      </c>
      <c r="Q229" s="61" t="str">
        <f t="shared" si="7"/>
        <v/>
      </c>
    </row>
    <row r="230" spans="1:17" x14ac:dyDescent="0.3">
      <c r="A230" s="98">
        <v>228</v>
      </c>
      <c r="J230" s="104"/>
      <c r="K230" s="104"/>
      <c r="L230" s="104"/>
      <c r="P230" s="61" t="str">
        <f t="shared" si="8"/>
        <v/>
      </c>
      <c r="Q230" s="61" t="str">
        <f t="shared" si="7"/>
        <v/>
      </c>
    </row>
    <row r="231" spans="1:17" x14ac:dyDescent="0.3">
      <c r="A231" s="98">
        <v>229</v>
      </c>
      <c r="J231" s="104"/>
      <c r="K231" s="104"/>
      <c r="L231" s="104"/>
      <c r="P231" s="61" t="str">
        <f t="shared" si="8"/>
        <v/>
      </c>
      <c r="Q231" s="61" t="str">
        <f t="shared" si="7"/>
        <v/>
      </c>
    </row>
    <row r="232" spans="1:17" x14ac:dyDescent="0.3">
      <c r="A232" s="98">
        <v>230</v>
      </c>
      <c r="J232" s="104"/>
      <c r="K232" s="104"/>
      <c r="L232" s="104"/>
      <c r="P232" s="61" t="str">
        <f t="shared" si="8"/>
        <v/>
      </c>
      <c r="Q232" s="61" t="str">
        <f t="shared" si="7"/>
        <v/>
      </c>
    </row>
    <row r="233" spans="1:17" x14ac:dyDescent="0.3">
      <c r="A233" s="98">
        <v>231</v>
      </c>
      <c r="J233" s="104"/>
      <c r="K233" s="104"/>
      <c r="L233" s="104"/>
      <c r="P233" s="61" t="str">
        <f t="shared" si="8"/>
        <v/>
      </c>
      <c r="Q233" s="61" t="str">
        <f t="shared" si="7"/>
        <v/>
      </c>
    </row>
    <row r="234" spans="1:17" x14ac:dyDescent="0.3">
      <c r="A234" s="98">
        <v>232</v>
      </c>
      <c r="J234" s="104"/>
      <c r="K234" s="104"/>
      <c r="L234" s="104"/>
      <c r="P234" s="61" t="str">
        <f t="shared" si="8"/>
        <v/>
      </c>
      <c r="Q234" s="61" t="str">
        <f t="shared" si="7"/>
        <v/>
      </c>
    </row>
    <row r="235" spans="1:17" x14ac:dyDescent="0.3">
      <c r="A235" s="98">
        <v>233</v>
      </c>
      <c r="J235" s="104"/>
      <c r="K235" s="104"/>
      <c r="L235" s="104"/>
      <c r="P235" s="61" t="str">
        <f t="shared" si="8"/>
        <v/>
      </c>
      <c r="Q235" s="61" t="str">
        <f t="shared" si="7"/>
        <v/>
      </c>
    </row>
    <row r="236" spans="1:17" x14ac:dyDescent="0.3">
      <c r="A236" s="98">
        <v>234</v>
      </c>
      <c r="J236" s="104"/>
      <c r="K236" s="104"/>
      <c r="L236" s="104"/>
      <c r="P236" s="61" t="str">
        <f t="shared" si="8"/>
        <v/>
      </c>
      <c r="Q236" s="61" t="str">
        <f t="shared" si="7"/>
        <v/>
      </c>
    </row>
    <row r="237" spans="1:17" x14ac:dyDescent="0.3">
      <c r="A237" s="98">
        <v>235</v>
      </c>
      <c r="J237" s="104"/>
      <c r="K237" s="104"/>
      <c r="L237" s="104"/>
      <c r="P237" s="61" t="str">
        <f t="shared" si="8"/>
        <v/>
      </c>
      <c r="Q237" s="61" t="str">
        <f t="shared" si="7"/>
        <v/>
      </c>
    </row>
    <row r="238" spans="1:17" x14ac:dyDescent="0.3">
      <c r="A238" s="98">
        <v>236</v>
      </c>
      <c r="J238" s="104"/>
      <c r="K238" s="104"/>
      <c r="L238" s="104"/>
      <c r="P238" s="61" t="str">
        <f t="shared" si="8"/>
        <v/>
      </c>
      <c r="Q238" s="61" t="str">
        <f t="shared" si="7"/>
        <v/>
      </c>
    </row>
    <row r="239" spans="1:17" x14ac:dyDescent="0.3">
      <c r="A239" s="98">
        <v>237</v>
      </c>
      <c r="J239" s="104"/>
      <c r="K239" s="104"/>
      <c r="L239" s="104"/>
      <c r="P239" s="61" t="str">
        <f t="shared" si="8"/>
        <v/>
      </c>
      <c r="Q239" s="61" t="str">
        <f t="shared" si="7"/>
        <v/>
      </c>
    </row>
    <row r="240" spans="1:17" x14ac:dyDescent="0.3">
      <c r="A240" s="98">
        <v>238</v>
      </c>
      <c r="J240" s="104"/>
      <c r="K240" s="104"/>
      <c r="L240" s="104"/>
      <c r="P240" s="61" t="str">
        <f t="shared" si="8"/>
        <v/>
      </c>
      <c r="Q240" s="61" t="str">
        <f t="shared" si="7"/>
        <v/>
      </c>
    </row>
    <row r="241" spans="1:17" x14ac:dyDescent="0.3">
      <c r="A241" s="98">
        <v>239</v>
      </c>
      <c r="J241" s="104"/>
      <c r="K241" s="104"/>
      <c r="L241" s="104"/>
      <c r="P241" s="61" t="str">
        <f t="shared" si="8"/>
        <v/>
      </c>
      <c r="Q241" s="61" t="str">
        <f t="shared" si="7"/>
        <v/>
      </c>
    </row>
    <row r="242" spans="1:17" x14ac:dyDescent="0.3">
      <c r="A242" s="98">
        <v>240</v>
      </c>
      <c r="J242" s="104"/>
      <c r="K242" s="104"/>
      <c r="L242" s="104"/>
      <c r="P242" s="61" t="str">
        <f t="shared" si="8"/>
        <v/>
      </c>
      <c r="Q242" s="61" t="str">
        <f t="shared" si="7"/>
        <v/>
      </c>
    </row>
    <row r="243" spans="1:17" x14ac:dyDescent="0.3">
      <c r="A243" s="98">
        <v>241</v>
      </c>
      <c r="J243" s="104"/>
      <c r="K243" s="104"/>
      <c r="L243" s="104"/>
      <c r="P243" s="61" t="str">
        <f t="shared" si="8"/>
        <v/>
      </c>
      <c r="Q243" s="61" t="str">
        <f t="shared" si="7"/>
        <v/>
      </c>
    </row>
    <row r="244" spans="1:17" x14ac:dyDescent="0.3">
      <c r="A244" s="98">
        <v>242</v>
      </c>
      <c r="J244" s="104"/>
      <c r="K244" s="104"/>
      <c r="L244" s="104"/>
      <c r="P244" s="61" t="str">
        <f t="shared" si="8"/>
        <v/>
      </c>
      <c r="Q244" s="61" t="str">
        <f t="shared" si="7"/>
        <v/>
      </c>
    </row>
    <row r="245" spans="1:17" x14ac:dyDescent="0.3">
      <c r="A245" s="98">
        <v>243</v>
      </c>
      <c r="J245" s="104"/>
      <c r="K245" s="104"/>
      <c r="L245" s="104"/>
      <c r="P245" s="61" t="str">
        <f t="shared" si="8"/>
        <v/>
      </c>
      <c r="Q245" s="61" t="str">
        <f t="shared" si="7"/>
        <v/>
      </c>
    </row>
    <row r="246" spans="1:17" x14ac:dyDescent="0.3">
      <c r="A246" s="98">
        <v>244</v>
      </c>
      <c r="J246" s="104"/>
      <c r="K246" s="104"/>
      <c r="L246" s="104"/>
      <c r="P246" s="61" t="str">
        <f t="shared" si="8"/>
        <v/>
      </c>
      <c r="Q246" s="61" t="str">
        <f t="shared" si="7"/>
        <v/>
      </c>
    </row>
    <row r="247" spans="1:17" x14ac:dyDescent="0.3">
      <c r="A247" s="98">
        <v>245</v>
      </c>
      <c r="J247" s="104"/>
      <c r="K247" s="104"/>
      <c r="L247" s="104"/>
      <c r="P247" s="61" t="str">
        <f t="shared" si="8"/>
        <v/>
      </c>
      <c r="Q247" s="61" t="str">
        <f t="shared" si="7"/>
        <v/>
      </c>
    </row>
    <row r="248" spans="1:17" x14ac:dyDescent="0.3">
      <c r="A248" s="98">
        <v>246</v>
      </c>
      <c r="J248" s="104"/>
      <c r="K248" s="104"/>
      <c r="L248" s="104"/>
      <c r="P248" s="61" t="str">
        <f t="shared" si="8"/>
        <v/>
      </c>
      <c r="Q248" s="61" t="str">
        <f t="shared" si="7"/>
        <v/>
      </c>
    </row>
    <row r="249" spans="1:17" x14ac:dyDescent="0.3">
      <c r="A249" s="98">
        <v>247</v>
      </c>
      <c r="J249" s="104"/>
      <c r="K249" s="104"/>
      <c r="L249" s="104"/>
      <c r="P249" s="61" t="str">
        <f t="shared" si="8"/>
        <v/>
      </c>
      <c r="Q249" s="61" t="str">
        <f t="shared" si="7"/>
        <v/>
      </c>
    </row>
    <row r="250" spans="1:17" x14ac:dyDescent="0.3">
      <c r="A250" s="98">
        <v>248</v>
      </c>
      <c r="J250" s="104"/>
      <c r="K250" s="104"/>
      <c r="L250" s="104"/>
      <c r="P250" s="61" t="str">
        <f t="shared" si="8"/>
        <v/>
      </c>
      <c r="Q250" s="61" t="str">
        <f t="shared" si="7"/>
        <v/>
      </c>
    </row>
    <row r="251" spans="1:17" x14ac:dyDescent="0.3">
      <c r="A251" s="98">
        <v>249</v>
      </c>
      <c r="J251" s="104"/>
      <c r="K251" s="104"/>
      <c r="L251" s="104"/>
      <c r="P251" s="61" t="str">
        <f t="shared" si="8"/>
        <v/>
      </c>
      <c r="Q251" s="61" t="str">
        <f t="shared" si="7"/>
        <v/>
      </c>
    </row>
    <row r="252" spans="1:17" x14ac:dyDescent="0.3">
      <c r="A252" s="98">
        <v>250</v>
      </c>
      <c r="J252" s="104"/>
      <c r="K252" s="104"/>
      <c r="L252" s="104"/>
      <c r="P252" s="61" t="str">
        <f t="shared" si="8"/>
        <v/>
      </c>
      <c r="Q252" s="61" t="str">
        <f t="shared" si="7"/>
        <v/>
      </c>
    </row>
    <row r="253" spans="1:17" x14ac:dyDescent="0.3">
      <c r="A253" s="98">
        <v>251</v>
      </c>
      <c r="J253" s="104"/>
      <c r="K253" s="104"/>
      <c r="L253" s="104"/>
      <c r="P253" s="61" t="str">
        <f t="shared" si="8"/>
        <v/>
      </c>
      <c r="Q253" s="61" t="str">
        <f t="shared" si="7"/>
        <v/>
      </c>
    </row>
    <row r="254" spans="1:17" x14ac:dyDescent="0.3">
      <c r="A254" s="98">
        <v>252</v>
      </c>
      <c r="J254" s="104"/>
      <c r="K254" s="104"/>
      <c r="L254" s="104"/>
      <c r="P254" s="61" t="str">
        <f t="shared" si="8"/>
        <v/>
      </c>
      <c r="Q254" s="61" t="str">
        <f t="shared" si="7"/>
        <v/>
      </c>
    </row>
    <row r="255" spans="1:17" x14ac:dyDescent="0.3">
      <c r="A255" s="98">
        <v>253</v>
      </c>
      <c r="J255" s="104"/>
      <c r="K255" s="104"/>
      <c r="L255" s="104"/>
      <c r="P255" s="61" t="str">
        <f t="shared" si="8"/>
        <v/>
      </c>
      <c r="Q255" s="61" t="str">
        <f t="shared" si="7"/>
        <v/>
      </c>
    </row>
    <row r="256" spans="1:17" x14ac:dyDescent="0.3">
      <c r="A256" s="98">
        <v>254</v>
      </c>
      <c r="J256" s="104"/>
      <c r="K256" s="104"/>
      <c r="L256" s="104"/>
      <c r="P256" s="61" t="str">
        <f t="shared" si="8"/>
        <v/>
      </c>
      <c r="Q256" s="61" t="str">
        <f t="shared" si="7"/>
        <v/>
      </c>
    </row>
    <row r="257" spans="1:17" x14ac:dyDescent="0.3">
      <c r="A257" s="98">
        <v>255</v>
      </c>
      <c r="J257" s="104"/>
      <c r="K257" s="104"/>
      <c r="L257" s="104"/>
      <c r="P257" s="61" t="str">
        <f t="shared" si="8"/>
        <v/>
      </c>
      <c r="Q257" s="61" t="str">
        <f t="shared" si="7"/>
        <v/>
      </c>
    </row>
    <row r="258" spans="1:17" x14ac:dyDescent="0.3">
      <c r="A258" s="98">
        <v>256</v>
      </c>
      <c r="J258" s="104"/>
      <c r="K258" s="104"/>
      <c r="L258" s="104"/>
      <c r="P258" s="61" t="str">
        <f t="shared" si="8"/>
        <v/>
      </c>
      <c r="Q258" s="61" t="str">
        <f t="shared" si="7"/>
        <v/>
      </c>
    </row>
    <row r="259" spans="1:17" x14ac:dyDescent="0.3">
      <c r="A259" s="98">
        <v>257</v>
      </c>
      <c r="J259" s="104"/>
      <c r="K259" s="104"/>
      <c r="L259" s="104"/>
      <c r="P259" s="61" t="str">
        <f t="shared" si="8"/>
        <v/>
      </c>
      <c r="Q259" s="61" t="str">
        <f t="shared" si="7"/>
        <v/>
      </c>
    </row>
    <row r="260" spans="1:17" x14ac:dyDescent="0.3">
      <c r="A260" s="98">
        <v>258</v>
      </c>
      <c r="J260" s="104"/>
      <c r="K260" s="104"/>
      <c r="L260" s="104"/>
      <c r="P260" s="61" t="str">
        <f t="shared" si="8"/>
        <v/>
      </c>
      <c r="Q260" s="61" t="str">
        <f t="shared" ref="Q260:Q277" si="9">IF(P260="","",
IF(P260&lt;=0,"Not Due",
IF(P260&lt;=30,"1-30 Days",
IF(P260&lt;=60,"31-60 Days",
"&gt;60 Days"))))</f>
        <v/>
      </c>
    </row>
    <row r="261" spans="1:17" x14ac:dyDescent="0.3">
      <c r="A261" s="98">
        <v>259</v>
      </c>
      <c r="J261" s="104"/>
      <c r="K261" s="104"/>
      <c r="L261" s="104"/>
      <c r="P261" s="61" t="str">
        <f t="shared" si="8"/>
        <v/>
      </c>
      <c r="Q261" s="61" t="str">
        <f t="shared" si="9"/>
        <v/>
      </c>
    </row>
    <row r="262" spans="1:17" x14ac:dyDescent="0.3">
      <c r="A262" s="98">
        <v>260</v>
      </c>
      <c r="J262" s="104"/>
      <c r="K262" s="104"/>
      <c r="L262" s="104"/>
      <c r="P262" s="61" t="str">
        <f t="shared" si="8"/>
        <v/>
      </c>
      <c r="Q262" s="61" t="str">
        <f t="shared" si="9"/>
        <v/>
      </c>
    </row>
    <row r="263" spans="1:17" x14ac:dyDescent="0.3">
      <c r="A263" s="98">
        <v>261</v>
      </c>
      <c r="J263" s="104"/>
      <c r="K263" s="104"/>
      <c r="L263" s="104"/>
      <c r="P263" s="61" t="str">
        <f t="shared" si="8"/>
        <v/>
      </c>
      <c r="Q263" s="61" t="str">
        <f t="shared" si="9"/>
        <v/>
      </c>
    </row>
    <row r="264" spans="1:17" x14ac:dyDescent="0.3">
      <c r="A264" s="98">
        <v>262</v>
      </c>
      <c r="J264" s="104"/>
      <c r="K264" s="104"/>
      <c r="L264" s="104"/>
      <c r="P264" s="61" t="str">
        <f t="shared" si="8"/>
        <v/>
      </c>
      <c r="Q264" s="61" t="str">
        <f t="shared" si="9"/>
        <v/>
      </c>
    </row>
    <row r="265" spans="1:17" x14ac:dyDescent="0.3">
      <c r="A265" s="98">
        <v>263</v>
      </c>
      <c r="J265" s="104"/>
      <c r="K265" s="104"/>
      <c r="L265" s="104"/>
      <c r="P265" s="61" t="str">
        <f t="shared" si="8"/>
        <v/>
      </c>
      <c r="Q265" s="61" t="str">
        <f t="shared" si="9"/>
        <v/>
      </c>
    </row>
    <row r="266" spans="1:17" x14ac:dyDescent="0.3">
      <c r="A266" s="98">
        <v>264</v>
      </c>
      <c r="J266" s="104"/>
      <c r="K266" s="104"/>
      <c r="L266" s="104"/>
      <c r="P266" s="61" t="str">
        <f t="shared" si="8"/>
        <v/>
      </c>
      <c r="Q266" s="61" t="str">
        <f t="shared" si="9"/>
        <v/>
      </c>
    </row>
    <row r="267" spans="1:17" x14ac:dyDescent="0.3">
      <c r="A267" s="98">
        <v>265</v>
      </c>
      <c r="J267" s="104"/>
      <c r="K267" s="104"/>
      <c r="L267" s="104"/>
      <c r="P267" s="61" t="str">
        <f t="shared" si="8"/>
        <v/>
      </c>
      <c r="Q267" s="61" t="str">
        <f t="shared" si="9"/>
        <v/>
      </c>
    </row>
    <row r="268" spans="1:17" x14ac:dyDescent="0.3">
      <c r="A268" s="98">
        <v>266</v>
      </c>
      <c r="J268" s="104"/>
      <c r="K268" s="104"/>
      <c r="L268" s="104"/>
      <c r="P268" s="61" t="str">
        <f t="shared" si="8"/>
        <v/>
      </c>
      <c r="Q268" s="61" t="str">
        <f t="shared" si="9"/>
        <v/>
      </c>
    </row>
    <row r="269" spans="1:17" x14ac:dyDescent="0.3">
      <c r="A269" s="98">
        <v>267</v>
      </c>
      <c r="J269" s="104"/>
      <c r="K269" s="104"/>
      <c r="L269" s="104"/>
      <c r="P269" s="61" t="str">
        <f t="shared" si="8"/>
        <v/>
      </c>
      <c r="Q269" s="61" t="str">
        <f t="shared" si="9"/>
        <v/>
      </c>
    </row>
    <row r="270" spans="1:17" x14ac:dyDescent="0.3">
      <c r="A270" s="98">
        <v>268</v>
      </c>
      <c r="J270" s="104"/>
      <c r="K270" s="104"/>
      <c r="L270" s="104"/>
      <c r="P270" s="61" t="str">
        <f t="shared" si="8"/>
        <v/>
      </c>
      <c r="Q270" s="61" t="str">
        <f t="shared" si="9"/>
        <v/>
      </c>
    </row>
    <row r="271" spans="1:17" x14ac:dyDescent="0.3">
      <c r="A271" s="98">
        <v>269</v>
      </c>
      <c r="J271" s="104"/>
      <c r="K271" s="104"/>
      <c r="L271" s="104"/>
      <c r="P271" s="61" t="str">
        <f t="shared" si="8"/>
        <v/>
      </c>
      <c r="Q271" s="61" t="str">
        <f t="shared" si="9"/>
        <v/>
      </c>
    </row>
    <row r="272" spans="1:17" x14ac:dyDescent="0.3">
      <c r="A272" s="98">
        <v>270</v>
      </c>
      <c r="J272" s="104"/>
      <c r="K272" s="104"/>
      <c r="L272" s="104"/>
      <c r="P272" s="61" t="str">
        <f t="shared" ref="P272:P277" si="10">IF(O272="","",LEFT(O272,10)*(-1))</f>
        <v/>
      </c>
      <c r="Q272" s="61" t="str">
        <f t="shared" si="9"/>
        <v/>
      </c>
    </row>
    <row r="273" spans="1:17" x14ac:dyDescent="0.3">
      <c r="A273" s="98">
        <v>271</v>
      </c>
      <c r="J273" s="104"/>
      <c r="K273" s="104"/>
      <c r="L273" s="104"/>
      <c r="P273" s="61" t="str">
        <f t="shared" si="10"/>
        <v/>
      </c>
      <c r="Q273" s="61" t="str">
        <f t="shared" si="9"/>
        <v/>
      </c>
    </row>
    <row r="274" spans="1:17" x14ac:dyDescent="0.3">
      <c r="A274" s="98">
        <v>272</v>
      </c>
      <c r="J274" s="104"/>
      <c r="K274" s="104"/>
      <c r="L274" s="104"/>
      <c r="P274" s="61" t="str">
        <f t="shared" si="10"/>
        <v/>
      </c>
      <c r="Q274" s="61" t="str">
        <f t="shared" si="9"/>
        <v/>
      </c>
    </row>
    <row r="275" spans="1:17" x14ac:dyDescent="0.3">
      <c r="A275" s="98">
        <v>273</v>
      </c>
      <c r="J275" s="104"/>
      <c r="K275" s="104"/>
      <c r="L275" s="104"/>
      <c r="P275" s="61" t="str">
        <f t="shared" si="10"/>
        <v/>
      </c>
      <c r="Q275" s="61" t="str">
        <f t="shared" si="9"/>
        <v/>
      </c>
    </row>
    <row r="276" spans="1:17" x14ac:dyDescent="0.3">
      <c r="A276" s="98">
        <v>274</v>
      </c>
      <c r="J276" s="104"/>
      <c r="K276" s="104"/>
      <c r="L276" s="104"/>
      <c r="P276" s="61" t="str">
        <f t="shared" si="10"/>
        <v/>
      </c>
      <c r="Q276" s="61" t="str">
        <f t="shared" si="9"/>
        <v/>
      </c>
    </row>
    <row r="277" spans="1:17" x14ac:dyDescent="0.3">
      <c r="A277" s="98">
        <v>275</v>
      </c>
      <c r="J277" s="104"/>
      <c r="K277" s="104"/>
      <c r="L277" s="104"/>
      <c r="P277" s="61" t="str">
        <f t="shared" si="10"/>
        <v/>
      </c>
      <c r="Q277" s="61" t="str">
        <f t="shared" si="9"/>
        <v/>
      </c>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106"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F1" zoomScale="80" zoomScaleNormal="80" workbookViewId="0">
      <selection activeCell="K60" sqref="K60"/>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52</v>
      </c>
      <c r="D1" s="47" t="s">
        <v>50</v>
      </c>
      <c r="E1" s="48">
        <f>SUM(T3:T4)</f>
        <v>16</v>
      </c>
      <c r="F1" s="49" t="s">
        <v>51</v>
      </c>
      <c r="G1" s="50">
        <f>SUM(T5:T6)</f>
        <v>36</v>
      </c>
      <c r="H1" s="51"/>
      <c r="I1" s="51"/>
      <c r="J1" s="51"/>
      <c r="K1" s="51"/>
      <c r="L1" s="51"/>
      <c r="M1" s="51"/>
      <c r="N1" s="51"/>
      <c r="O1" s="51"/>
    </row>
    <row r="2" spans="1:22" s="56" customFormat="1" ht="27.6" x14ac:dyDescent="0.3">
      <c r="A2" s="81" t="s">
        <v>52</v>
      </c>
      <c r="B2" s="81" t="s">
        <v>53</v>
      </c>
      <c r="C2" s="81" t="s">
        <v>54</v>
      </c>
      <c r="D2" s="81" t="s">
        <v>55</v>
      </c>
      <c r="E2" s="81" t="s">
        <v>56</v>
      </c>
      <c r="F2" s="81" t="s">
        <v>57</v>
      </c>
      <c r="G2" s="81" t="s">
        <v>58</v>
      </c>
      <c r="H2" s="81" t="s">
        <v>59</v>
      </c>
      <c r="I2" s="81" t="s">
        <v>60</v>
      </c>
      <c r="J2" s="81" t="s">
        <v>61</v>
      </c>
      <c r="K2" s="81" t="s">
        <v>62</v>
      </c>
      <c r="L2" s="81" t="s">
        <v>63</v>
      </c>
      <c r="M2" s="81" t="s">
        <v>64</v>
      </c>
      <c r="N2" s="81" t="s">
        <v>65</v>
      </c>
      <c r="O2" s="81" t="s">
        <v>66</v>
      </c>
      <c r="P2" s="56" t="s">
        <v>67</v>
      </c>
      <c r="Q2" s="56" t="s">
        <v>68</v>
      </c>
    </row>
    <row r="3" spans="1:22" s="64" customFormat="1" ht="41.4" x14ac:dyDescent="0.3">
      <c r="A3" s="82">
        <v>1</v>
      </c>
      <c r="B3" s="93" t="s">
        <v>1025</v>
      </c>
      <c r="C3" s="93" t="s">
        <v>70</v>
      </c>
      <c r="D3" s="93" t="s">
        <v>238</v>
      </c>
      <c r="E3" s="93" t="s">
        <v>357</v>
      </c>
      <c r="F3" s="93" t="s">
        <v>1026</v>
      </c>
      <c r="G3" s="93" t="s">
        <v>1027</v>
      </c>
      <c r="H3" s="93" t="s">
        <v>74</v>
      </c>
      <c r="I3" s="57" t="s">
        <v>75</v>
      </c>
      <c r="J3" s="94">
        <v>45988.450694444444</v>
      </c>
      <c r="K3" s="94">
        <v>46113.657638888886</v>
      </c>
      <c r="L3" s="79"/>
      <c r="M3" s="93"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15</v>
      </c>
    </row>
    <row r="4" spans="1:22" s="64" customFormat="1" ht="41.4" x14ac:dyDescent="0.3">
      <c r="A4" s="82">
        <v>2</v>
      </c>
      <c r="B4" s="93" t="s">
        <v>1028</v>
      </c>
      <c r="C4" s="79"/>
      <c r="D4" s="93" t="s">
        <v>500</v>
      </c>
      <c r="E4" s="93" t="s">
        <v>357</v>
      </c>
      <c r="F4" s="93" t="s">
        <v>1029</v>
      </c>
      <c r="G4" s="93" t="s">
        <v>1030</v>
      </c>
      <c r="H4" s="93" t="s">
        <v>74</v>
      </c>
      <c r="I4" s="57" t="s">
        <v>75</v>
      </c>
      <c r="J4" s="94">
        <v>45988.45208333333</v>
      </c>
      <c r="K4" s="79"/>
      <c r="L4" s="79"/>
      <c r="M4" s="93" t="s">
        <v>77</v>
      </c>
      <c r="N4" s="59">
        <f>IF(ISBLANK(J4),"",IF(OR(M4="Completed",M4="Closed"),"",IF(H4="Issue",IF(I4="High",WORKDAY(J4,2,DATA!A3:A31),IF(I4="Medium",WORKDAY(J4,14,DATA!A3:A31),IF(OR(I4="Low"),WORKDAY(J4,30,DATA!A3:A31),""))),
"")
))</f>
        <v>46008</v>
      </c>
      <c r="O4" s="60">
        <f ca="1">IF(OR(ISBLANK(#REF!), M4="Completed", M4="Closed", H4&lt;&gt;"Issue"), "",
   (NETWORKDAYS.INTL(TODAY(), N4, 1, DATA!A3:A31) - 1))</f>
        <v>-152</v>
      </c>
      <c r="P4" s="64">
        <f t="shared" ref="P4:P67" ca="1" si="0">IF(O4="","",LEFT(O4,10)*(-1))</f>
        <v>152</v>
      </c>
      <c r="Q4" s="64" t="str">
        <f t="shared" ref="Q4:Q62" ca="1" si="1">IF(P4="","",
IF(P4&lt;=0,"Not Due",
IF(P4&lt;=30,"1-30 Days",
IF(P4&lt;=60,"31-60 Days",
"&gt;60 Days"))))</f>
        <v>&gt;60 Days</v>
      </c>
      <c r="S4" s="63" t="s">
        <v>80</v>
      </c>
      <c r="T4" s="64">
        <f>COUNTIF(M3:M299, "InProgress")</f>
        <v>1</v>
      </c>
    </row>
    <row r="5" spans="1:22" s="64" customFormat="1" ht="27.6" x14ac:dyDescent="0.3">
      <c r="A5" s="82">
        <v>3</v>
      </c>
      <c r="B5" s="93" t="s">
        <v>1031</v>
      </c>
      <c r="C5" s="79"/>
      <c r="D5" s="93" t="s">
        <v>238</v>
      </c>
      <c r="E5" s="93" t="s">
        <v>357</v>
      </c>
      <c r="F5" s="93" t="s">
        <v>1032</v>
      </c>
      <c r="G5" s="93" t="s">
        <v>1033</v>
      </c>
      <c r="H5" s="93" t="s">
        <v>74</v>
      </c>
      <c r="I5" s="57" t="s">
        <v>75</v>
      </c>
      <c r="J5" s="94">
        <v>45992.390972222223</v>
      </c>
      <c r="K5" s="79"/>
      <c r="L5" s="79"/>
      <c r="M5" s="93" t="s">
        <v>77</v>
      </c>
      <c r="N5" s="59">
        <f>IF(ISBLANK(J5),"",IF(OR(M5="Completed",M5="Closed"),"",IF(H5="Issue",IF(I5="High",WORKDAY(J5,2,DATA!A4:A32),IF(I5="Medium",WORKDAY(J5,14,DATA!A4:A32),IF(OR(I5="Low"),WORKDAY(J5,30,DATA!A4:A32),""))),
"")
))</f>
        <v>46010</v>
      </c>
      <c r="O5" s="60">
        <f ca="1">IF(OR(ISBLANK(#REF!), M5="Completed", M5="Closed", H5&lt;&gt;"Issue"), "",
   (NETWORKDAYS.INTL(TODAY(), N5, 1, DATA!A4:A32) - 1))</f>
        <v>-151</v>
      </c>
      <c r="P5" s="64">
        <f t="shared" ca="1" si="0"/>
        <v>151</v>
      </c>
      <c r="Q5" s="64" t="str">
        <f t="shared" ca="1" si="1"/>
        <v>&gt;60 Days</v>
      </c>
      <c r="S5" s="65" t="s">
        <v>85</v>
      </c>
      <c r="T5" s="64">
        <f>COUNTIF(M3:M299, "Completed")</f>
        <v>8</v>
      </c>
    </row>
    <row r="6" spans="1:22" s="64" customFormat="1" ht="41.4" x14ac:dyDescent="0.3">
      <c r="A6" s="82">
        <v>4</v>
      </c>
      <c r="B6" s="93" t="s">
        <v>1034</v>
      </c>
      <c r="C6" s="93" t="s">
        <v>70</v>
      </c>
      <c r="D6" s="93" t="s">
        <v>238</v>
      </c>
      <c r="E6" s="93" t="s">
        <v>357</v>
      </c>
      <c r="F6" s="93" t="s">
        <v>1035</v>
      </c>
      <c r="G6" s="93" t="s">
        <v>1036</v>
      </c>
      <c r="H6" s="93" t="s">
        <v>74</v>
      </c>
      <c r="I6" s="57" t="s">
        <v>75</v>
      </c>
      <c r="J6" s="94">
        <v>45992.422222222223</v>
      </c>
      <c r="K6" s="94">
        <v>46209.441666666666</v>
      </c>
      <c r="L6" s="94">
        <v>46209.442361111112</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28</v>
      </c>
    </row>
    <row r="7" spans="1:22" s="64" customFormat="1" ht="41.4" x14ac:dyDescent="0.3">
      <c r="A7" s="82">
        <v>5</v>
      </c>
      <c r="B7" s="93" t="s">
        <v>1037</v>
      </c>
      <c r="C7" s="93" t="s">
        <v>70</v>
      </c>
      <c r="D7" s="93" t="s">
        <v>238</v>
      </c>
      <c r="E7" s="93" t="s">
        <v>357</v>
      </c>
      <c r="F7" s="93" t="s">
        <v>1038</v>
      </c>
      <c r="G7" s="93" t="s">
        <v>1039</v>
      </c>
      <c r="H7" s="93" t="s">
        <v>74</v>
      </c>
      <c r="I7" s="57" t="s">
        <v>75</v>
      </c>
      <c r="J7" s="94">
        <v>45994.727083333331</v>
      </c>
      <c r="K7" s="94">
        <v>46209.434027777781</v>
      </c>
      <c r="L7" s="79"/>
      <c r="M7" s="93"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52</v>
      </c>
    </row>
    <row r="8" spans="1:22" s="64" customFormat="1" ht="41.4" x14ac:dyDescent="0.3">
      <c r="A8" s="82">
        <v>6</v>
      </c>
      <c r="B8" s="93" t="s">
        <v>1040</v>
      </c>
      <c r="C8" s="79"/>
      <c r="D8" s="93" t="s">
        <v>238</v>
      </c>
      <c r="E8" s="93" t="s">
        <v>357</v>
      </c>
      <c r="F8" s="93" t="s">
        <v>1041</v>
      </c>
      <c r="G8" s="93" t="s">
        <v>1042</v>
      </c>
      <c r="H8" s="93" t="s">
        <v>74</v>
      </c>
      <c r="I8" s="57" t="s">
        <v>75</v>
      </c>
      <c r="J8" s="94">
        <v>46002.45208333333</v>
      </c>
      <c r="K8" s="79"/>
      <c r="L8" s="79"/>
      <c r="M8" s="93" t="s">
        <v>77</v>
      </c>
      <c r="N8" s="59">
        <f>IF(ISBLANK(J8),"",IF(OR(M8="Completed",M8="Closed"),"",IF(H8="Issue",IF(I8="High",WORKDAY(J8,2,DATA!A7:A35),IF(I8="Medium",WORKDAY(J8,14,DATA!A7:A35),IF(OR(I8="Low"),WORKDAY(J8,30,DATA!A7:A35),""))),
"")
))</f>
        <v>46022</v>
      </c>
      <c r="O8" s="60">
        <f ca="1">IF(OR(ISBLANK(#REF!), M8="Completed", M8="Closed", H8&lt;&gt;"Issue"), "",
   (NETWORKDAYS.INTL(TODAY(), N8, 1, DATA!A7:A35) - 1))</f>
        <v>-146</v>
      </c>
      <c r="P8" s="64">
        <f t="shared" ca="1" si="0"/>
        <v>146</v>
      </c>
      <c r="Q8" s="64" t="str">
        <f t="shared" ca="1" si="1"/>
        <v>&gt;60 Days</v>
      </c>
      <c r="S8" s="238" t="s">
        <v>66</v>
      </c>
      <c r="T8" s="69" t="s">
        <v>94</v>
      </c>
      <c r="U8" s="69" t="s">
        <v>95</v>
      </c>
      <c r="V8" s="69" t="s">
        <v>96</v>
      </c>
    </row>
    <row r="9" spans="1:22" s="64" customFormat="1" ht="27.6" x14ac:dyDescent="0.3">
      <c r="A9" s="82">
        <v>7</v>
      </c>
      <c r="B9" s="93" t="s">
        <v>1043</v>
      </c>
      <c r="C9" s="93" t="s">
        <v>70</v>
      </c>
      <c r="D9" s="93" t="s">
        <v>452</v>
      </c>
      <c r="E9" s="93" t="s">
        <v>357</v>
      </c>
      <c r="F9" s="93" t="s">
        <v>1044</v>
      </c>
      <c r="G9" s="93" t="s">
        <v>1045</v>
      </c>
      <c r="H9" s="93" t="s">
        <v>1046</v>
      </c>
      <c r="I9" s="57" t="s">
        <v>75</v>
      </c>
      <c r="J9" s="94">
        <v>46003.512499999997</v>
      </c>
      <c r="K9" s="79"/>
      <c r="L9" s="79"/>
      <c r="M9" s="93"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238"/>
      <c r="T9" s="70">
        <f ca="1">COUNTIFS(P3:P277,"&gt;=1",P3:P277,"&lt;=30")</f>
        <v>2</v>
      </c>
      <c r="U9" s="70">
        <f ca="1">COUNTIFS(P3:P277,"&gt;=31",P3:P277,"&lt;=60")</f>
        <v>6</v>
      </c>
      <c r="V9" s="70">
        <f ca="1">COUNTIFS(P3:P277,"&gt;60")</f>
        <v>7</v>
      </c>
    </row>
    <row r="10" spans="1:22" s="64" customFormat="1" ht="41.4" x14ac:dyDescent="0.3">
      <c r="A10" s="82">
        <v>8</v>
      </c>
      <c r="B10" s="93" t="s">
        <v>1047</v>
      </c>
      <c r="C10" s="93" t="s">
        <v>70</v>
      </c>
      <c r="D10" s="93" t="s">
        <v>375</v>
      </c>
      <c r="E10" s="93" t="s">
        <v>357</v>
      </c>
      <c r="F10" s="93" t="s">
        <v>1048</v>
      </c>
      <c r="G10" s="93" t="s">
        <v>1049</v>
      </c>
      <c r="H10" s="93" t="s">
        <v>74</v>
      </c>
      <c r="I10" s="57" t="s">
        <v>75</v>
      </c>
      <c r="J10" s="94">
        <v>46010.436111111114</v>
      </c>
      <c r="K10" s="94">
        <v>46010.915972222225</v>
      </c>
      <c r="L10" s="94">
        <v>46069.677777777775</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82">
        <v>9</v>
      </c>
      <c r="B11" s="93" t="s">
        <v>1050</v>
      </c>
      <c r="C11" s="79"/>
      <c r="D11" s="93" t="s">
        <v>375</v>
      </c>
      <c r="E11" s="93" t="s">
        <v>357</v>
      </c>
      <c r="F11" s="93" t="s">
        <v>1051</v>
      </c>
      <c r="G11" s="93" t="s">
        <v>1052</v>
      </c>
      <c r="H11" s="93" t="s">
        <v>74</v>
      </c>
      <c r="I11" s="57" t="s">
        <v>75</v>
      </c>
      <c r="J11" s="94">
        <v>46010.439583333333</v>
      </c>
      <c r="K11" s="79"/>
      <c r="L11" s="79"/>
      <c r="M11" s="93"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-143</v>
      </c>
      <c r="P11" s="64">
        <f t="shared" ca="1" si="0"/>
        <v>143</v>
      </c>
      <c r="Q11" s="64" t="str">
        <f t="shared" ca="1" si="1"/>
        <v>&gt;60 Days</v>
      </c>
    </row>
    <row r="12" spans="1:22" s="64" customFormat="1" ht="55.2" x14ac:dyDescent="0.3">
      <c r="A12" s="82">
        <v>10</v>
      </c>
      <c r="B12" s="93" t="s">
        <v>1053</v>
      </c>
      <c r="C12" s="93" t="s">
        <v>70</v>
      </c>
      <c r="D12" s="93" t="s">
        <v>375</v>
      </c>
      <c r="E12" s="93" t="s">
        <v>357</v>
      </c>
      <c r="F12" s="93" t="s">
        <v>1054</v>
      </c>
      <c r="G12" s="93" t="s">
        <v>1055</v>
      </c>
      <c r="H12" s="93" t="s">
        <v>74</v>
      </c>
      <c r="I12" s="57" t="s">
        <v>75</v>
      </c>
      <c r="J12" s="94">
        <v>46010.445138888892</v>
      </c>
      <c r="K12" s="94">
        <v>46010.896527777775</v>
      </c>
      <c r="L12" s="94">
        <v>46069.586111111108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82">
        <v>11</v>
      </c>
      <c r="B13" s="93" t="s">
        <v>1056</v>
      </c>
      <c r="C13" s="93" t="s">
        <v>70</v>
      </c>
      <c r="D13" s="93" t="s">
        <v>375</v>
      </c>
      <c r="E13" s="93" t="s">
        <v>357</v>
      </c>
      <c r="F13" s="93" t="s">
        <v>1057</v>
      </c>
      <c r="G13" s="93" t="s">
        <v>1058</v>
      </c>
      <c r="H13" s="93" t="s">
        <v>74</v>
      </c>
      <c r="I13" s="57" t="s">
        <v>75</v>
      </c>
      <c r="J13" s="94">
        <v>46010.449305555558</v>
      </c>
      <c r="K13" s="94">
        <v>46010.959027777775</v>
      </c>
      <c r="L13" s="94">
        <v>46069.585416666669</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82">
        <v>12</v>
      </c>
      <c r="B14" s="93" t="s">
        <v>1059</v>
      </c>
      <c r="C14" s="93" t="s">
        <v>70</v>
      </c>
      <c r="D14" s="93" t="s">
        <v>1060</v>
      </c>
      <c r="E14" s="93" t="s">
        <v>357</v>
      </c>
      <c r="F14" s="93" t="s">
        <v>1061</v>
      </c>
      <c r="G14" s="93" t="s">
        <v>1062</v>
      </c>
      <c r="H14" s="93" t="s">
        <v>74</v>
      </c>
      <c r="I14" s="57" t="s">
        <v>75</v>
      </c>
      <c r="J14" s="94">
        <v>46010.454861111109</v>
      </c>
      <c r="K14" s="94">
        <v>46085.500694444447</v>
      </c>
      <c r="L14" s="94">
        <v>46085.501388888886</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82">
        <v>13</v>
      </c>
      <c r="B15" s="93" t="s">
        <v>1063</v>
      </c>
      <c r="C15" s="79"/>
      <c r="D15" s="93" t="s">
        <v>238</v>
      </c>
      <c r="E15" s="93" t="s">
        <v>357</v>
      </c>
      <c r="F15" s="93" t="s">
        <v>1064</v>
      </c>
      <c r="G15" s="93" t="s">
        <v>1065</v>
      </c>
      <c r="H15" s="93" t="s">
        <v>74</v>
      </c>
      <c r="I15" s="57" t="s">
        <v>75</v>
      </c>
      <c r="J15" s="94">
        <v>46013.345138888886</v>
      </c>
      <c r="K15" s="79"/>
      <c r="L15" s="79"/>
      <c r="M15" s="93"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-144</v>
      </c>
      <c r="P15" s="64">
        <f t="shared" ca="1" si="0"/>
        <v>144</v>
      </c>
      <c r="Q15" s="64" t="str">
        <f t="shared" ca="1" si="1"/>
        <v>&gt;60 Days</v>
      </c>
    </row>
    <row r="16" spans="1:22" s="64" customFormat="1" ht="27.6" x14ac:dyDescent="0.3">
      <c r="A16" s="82">
        <v>14</v>
      </c>
      <c r="B16" s="93" t="s">
        <v>364</v>
      </c>
      <c r="C16" s="93" t="s">
        <v>70</v>
      </c>
      <c r="D16" s="93" t="s">
        <v>238</v>
      </c>
      <c r="E16" s="93" t="s">
        <v>357</v>
      </c>
      <c r="F16" s="93" t="s">
        <v>365</v>
      </c>
      <c r="G16" s="93" t="s">
        <v>366</v>
      </c>
      <c r="H16" s="93" t="s">
        <v>74</v>
      </c>
      <c r="I16" s="57" t="s">
        <v>75</v>
      </c>
      <c r="J16" s="94">
        <v>46030.699305555558</v>
      </c>
      <c r="K16" s="94">
        <v>46077.435416666667</v>
      </c>
      <c r="L16" s="94">
        <v>46086.407638888886</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82">
        <v>15</v>
      </c>
      <c r="B17" s="93" t="s">
        <v>367</v>
      </c>
      <c r="C17" s="93" t="s">
        <v>70</v>
      </c>
      <c r="D17" s="93" t="s">
        <v>368</v>
      </c>
      <c r="E17" s="93" t="s">
        <v>357</v>
      </c>
      <c r="F17" s="93" t="s">
        <v>369</v>
      </c>
      <c r="G17" s="93" t="s">
        <v>370</v>
      </c>
      <c r="H17" s="93" t="s">
        <v>74</v>
      </c>
      <c r="I17" s="57" t="s">
        <v>75</v>
      </c>
      <c r="J17" s="94">
        <v>46041.433333333334</v>
      </c>
      <c r="K17" s="94">
        <v>46073.430555555555</v>
      </c>
      <c r="L17" s="94">
        <v>46073.606249999997</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x14ac:dyDescent="0.3">
      <c r="A18" s="82">
        <v>16</v>
      </c>
      <c r="B18" s="93" t="s">
        <v>371</v>
      </c>
      <c r="C18" s="93" t="s">
        <v>70</v>
      </c>
      <c r="D18" s="93" t="s">
        <v>368</v>
      </c>
      <c r="E18" s="93" t="s">
        <v>357</v>
      </c>
      <c r="F18" s="93" t="s">
        <v>372</v>
      </c>
      <c r="G18" s="93" t="s">
        <v>373</v>
      </c>
      <c r="H18" s="93" t="s">
        <v>74</v>
      </c>
      <c r="I18" s="57" t="s">
        <v>75</v>
      </c>
      <c r="J18" s="94">
        <v>46042.675000000003</v>
      </c>
      <c r="K18" s="94">
        <v>46077.71875</v>
      </c>
      <c r="L18" s="94">
        <v>46086.408333333333</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82">
        <v>17</v>
      </c>
      <c r="B19" s="93" t="s">
        <v>374</v>
      </c>
      <c r="C19" s="93" t="s">
        <v>70</v>
      </c>
      <c r="D19" s="93" t="s">
        <v>375</v>
      </c>
      <c r="E19" s="93" t="s">
        <v>357</v>
      </c>
      <c r="F19" s="93" t="s">
        <v>376</v>
      </c>
      <c r="G19" s="93" t="s">
        <v>377</v>
      </c>
      <c r="H19" s="93" t="s">
        <v>74</v>
      </c>
      <c r="I19" s="57" t="s">
        <v>75</v>
      </c>
      <c r="J19" s="94">
        <v>46045.480555555558</v>
      </c>
      <c r="K19" s="94">
        <v>46045.494444444441</v>
      </c>
      <c r="L19" s="94">
        <v>46050.507638888892</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82">
        <v>18</v>
      </c>
      <c r="B20" s="93" t="s">
        <v>378</v>
      </c>
      <c r="C20" s="93" t="s">
        <v>70</v>
      </c>
      <c r="D20" s="93" t="s">
        <v>379</v>
      </c>
      <c r="E20" s="93" t="s">
        <v>357</v>
      </c>
      <c r="F20" s="93" t="s">
        <v>380</v>
      </c>
      <c r="G20" s="93" t="s">
        <v>381</v>
      </c>
      <c r="H20" s="93" t="s">
        <v>74</v>
      </c>
      <c r="I20" s="57" t="s">
        <v>75</v>
      </c>
      <c r="J20" s="94">
        <v>46050.392361111109</v>
      </c>
      <c r="K20" s="94">
        <v>46091.633333333331</v>
      </c>
      <c r="L20" s="94">
        <v>46159.845138888886</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82">
        <v>19</v>
      </c>
      <c r="B21" s="93" t="s">
        <v>382</v>
      </c>
      <c r="C21" s="93" t="s">
        <v>70</v>
      </c>
      <c r="D21" s="93" t="s">
        <v>368</v>
      </c>
      <c r="E21" s="93" t="s">
        <v>357</v>
      </c>
      <c r="F21" s="93" t="s">
        <v>383</v>
      </c>
      <c r="G21" s="93" t="s">
        <v>384</v>
      </c>
      <c r="H21" s="93" t="s">
        <v>74</v>
      </c>
      <c r="I21" s="57" t="s">
        <v>75</v>
      </c>
      <c r="J21" s="94">
        <v>46062.665972222225</v>
      </c>
      <c r="K21" s="94">
        <v>46064.535416666666</v>
      </c>
      <c r="L21" s="94">
        <v>46084.708333333336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82">
        <v>20</v>
      </c>
      <c r="B22" s="93" t="s">
        <v>385</v>
      </c>
      <c r="C22" s="93" t="s">
        <v>70</v>
      </c>
      <c r="D22" s="93" t="s">
        <v>238</v>
      </c>
      <c r="E22" s="93" t="s">
        <v>357</v>
      </c>
      <c r="F22" s="93" t="s">
        <v>386</v>
      </c>
      <c r="G22" s="93" t="s">
        <v>387</v>
      </c>
      <c r="H22" s="93" t="s">
        <v>74</v>
      </c>
      <c r="I22" s="57" t="s">
        <v>75</v>
      </c>
      <c r="J22" s="94">
        <v>46064.470833333333</v>
      </c>
      <c r="K22" s="94">
        <v>46076.633333333331</v>
      </c>
      <c r="L22" s="94">
        <v>46085.444444444445</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82">
        <v>21</v>
      </c>
      <c r="B23" s="93" t="s">
        <v>388</v>
      </c>
      <c r="C23" s="93" t="s">
        <v>70</v>
      </c>
      <c r="D23" s="93" t="s">
        <v>368</v>
      </c>
      <c r="E23" s="93" t="s">
        <v>357</v>
      </c>
      <c r="F23" s="93" t="s">
        <v>389</v>
      </c>
      <c r="G23" s="93" t="s">
        <v>390</v>
      </c>
      <c r="H23" s="93" t="s">
        <v>74</v>
      </c>
      <c r="I23" s="57" t="s">
        <v>75</v>
      </c>
      <c r="J23" s="94">
        <v>46073.398611111108</v>
      </c>
      <c r="K23" s="94">
        <v>46076.606944444444</v>
      </c>
      <c r="L23" s="94">
        <v>46086.40902777778</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82">
        <v>22</v>
      </c>
      <c r="B24" s="93" t="s">
        <v>391</v>
      </c>
      <c r="C24" s="93" t="s">
        <v>70</v>
      </c>
      <c r="D24" s="93" t="s">
        <v>238</v>
      </c>
      <c r="E24" s="93" t="s">
        <v>357</v>
      </c>
      <c r="F24" s="93" t="s">
        <v>392</v>
      </c>
      <c r="G24" s="93" t="s">
        <v>393</v>
      </c>
      <c r="H24" s="93" t="s">
        <v>74</v>
      </c>
      <c r="I24" s="57" t="s">
        <v>75</v>
      </c>
      <c r="J24" s="94">
        <v>46077.390972222223</v>
      </c>
      <c r="K24" s="94">
        <v>46080.519444444442</v>
      </c>
      <c r="L24" s="94">
        <v>46090.682638888888</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82">
        <v>23</v>
      </c>
      <c r="B25" s="93" t="s">
        <v>394</v>
      </c>
      <c r="C25" s="79"/>
      <c r="D25" s="93" t="s">
        <v>238</v>
      </c>
      <c r="E25" s="93" t="s">
        <v>357</v>
      </c>
      <c r="F25" s="93" t="s">
        <v>395</v>
      </c>
      <c r="G25" s="93" t="s">
        <v>396</v>
      </c>
      <c r="H25" s="93" t="s">
        <v>74</v>
      </c>
      <c r="I25" s="57" t="s">
        <v>75</v>
      </c>
      <c r="J25" s="94">
        <v>46078.399305555555</v>
      </c>
      <c r="K25" s="79"/>
      <c r="L25" s="79"/>
      <c r="M25" s="93"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-98</v>
      </c>
      <c r="P25" s="64">
        <f t="shared" ca="1" si="0"/>
        <v>98</v>
      </c>
      <c r="Q25" s="64" t="str">
        <f t="shared" ca="1" si="1"/>
        <v>&gt;60 Days</v>
      </c>
    </row>
    <row r="26" spans="1:17" s="64" customFormat="1" x14ac:dyDescent="0.3">
      <c r="A26" s="82">
        <v>24</v>
      </c>
      <c r="B26" s="93" t="s">
        <v>397</v>
      </c>
      <c r="C26" s="93" t="s">
        <v>70</v>
      </c>
      <c r="D26" s="93" t="s">
        <v>238</v>
      </c>
      <c r="E26" s="93" t="s">
        <v>357</v>
      </c>
      <c r="F26" s="93" t="s">
        <v>398</v>
      </c>
      <c r="G26" s="93" t="s">
        <v>399</v>
      </c>
      <c r="H26" s="93" t="s">
        <v>74</v>
      </c>
      <c r="I26" s="57" t="s">
        <v>75</v>
      </c>
      <c r="J26" s="94">
        <v>46079.620833333334</v>
      </c>
      <c r="K26" s="94">
        <v>46079.686805555553</v>
      </c>
      <c r="L26" s="94">
        <v>46079.686805555553</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x14ac:dyDescent="0.3">
      <c r="A27" s="82">
        <v>25</v>
      </c>
      <c r="B27" s="93" t="s">
        <v>400</v>
      </c>
      <c r="C27" s="93" t="s">
        <v>70</v>
      </c>
      <c r="D27" s="93" t="s">
        <v>368</v>
      </c>
      <c r="E27" s="93" t="s">
        <v>357</v>
      </c>
      <c r="F27" s="93" t="s">
        <v>401</v>
      </c>
      <c r="G27" s="93" t="s">
        <v>402</v>
      </c>
      <c r="H27" s="93" t="s">
        <v>74</v>
      </c>
      <c r="I27" s="57" t="s">
        <v>75</v>
      </c>
      <c r="J27" s="94">
        <v>46086.453472222223</v>
      </c>
      <c r="K27" s="94">
        <v>46114.616666666669</v>
      </c>
      <c r="L27" s="94">
        <v>46159.849305555559</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82">
        <v>26</v>
      </c>
      <c r="B28" s="93" t="s">
        <v>403</v>
      </c>
      <c r="C28" s="93" t="s">
        <v>70</v>
      </c>
      <c r="D28" s="93" t="s">
        <v>368</v>
      </c>
      <c r="E28" s="93" t="s">
        <v>357</v>
      </c>
      <c r="F28" s="93" t="s">
        <v>404</v>
      </c>
      <c r="G28" s="93" t="s">
        <v>405</v>
      </c>
      <c r="H28" s="93" t="s">
        <v>74</v>
      </c>
      <c r="I28" s="57" t="s">
        <v>75</v>
      </c>
      <c r="J28" s="94">
        <v>46086.492361111108</v>
      </c>
      <c r="K28" s="94">
        <v>46114.621527777781</v>
      </c>
      <c r="L28" s="94">
        <v>46159.85</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82">
        <v>27</v>
      </c>
      <c r="B29" s="93" t="s">
        <v>406</v>
      </c>
      <c r="C29" s="93" t="s">
        <v>70</v>
      </c>
      <c r="D29" s="93" t="s">
        <v>368</v>
      </c>
      <c r="E29" s="93" t="s">
        <v>357</v>
      </c>
      <c r="F29" s="93" t="s">
        <v>407</v>
      </c>
      <c r="G29" s="93" t="s">
        <v>408</v>
      </c>
      <c r="H29" s="93" t="s">
        <v>74</v>
      </c>
      <c r="I29" s="57" t="s">
        <v>75</v>
      </c>
      <c r="J29" s="94">
        <v>46086.515972222223</v>
      </c>
      <c r="K29" s="94">
        <v>46114.656944444447</v>
      </c>
      <c r="L29" s="94">
        <v>46114.657638888886</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82">
        <v>28</v>
      </c>
      <c r="B30" s="93" t="s">
        <v>409</v>
      </c>
      <c r="C30" s="79"/>
      <c r="D30" s="93" t="s">
        <v>238</v>
      </c>
      <c r="E30" s="93" t="s">
        <v>357</v>
      </c>
      <c r="F30" s="93" t="s">
        <v>410</v>
      </c>
      <c r="G30" s="93" t="s">
        <v>411</v>
      </c>
      <c r="H30" s="93" t="s">
        <v>74</v>
      </c>
      <c r="I30" s="57" t="s">
        <v>75</v>
      </c>
      <c r="J30" s="94">
        <v>46091.655555555553</v>
      </c>
      <c r="K30" s="79"/>
      <c r="L30" s="79"/>
      <c r="M30" s="93"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-89</v>
      </c>
      <c r="P30" s="64">
        <f t="shared" ca="1" si="0"/>
        <v>89</v>
      </c>
      <c r="Q30" s="64" t="str">
        <f t="shared" ca="1" si="1"/>
        <v>&gt;60 Days</v>
      </c>
    </row>
    <row r="31" spans="1:17" s="64" customFormat="1" ht="27.6" x14ac:dyDescent="0.3">
      <c r="A31" s="82">
        <v>29</v>
      </c>
      <c r="B31" s="93" t="s">
        <v>412</v>
      </c>
      <c r="C31" s="93" t="s">
        <v>70</v>
      </c>
      <c r="D31" s="93" t="s">
        <v>379</v>
      </c>
      <c r="E31" s="93" t="s">
        <v>357</v>
      </c>
      <c r="F31" s="93" t="s">
        <v>413</v>
      </c>
      <c r="G31" s="93" t="s">
        <v>414</v>
      </c>
      <c r="H31" s="93" t="s">
        <v>74</v>
      </c>
      <c r="I31" s="57" t="s">
        <v>75</v>
      </c>
      <c r="J31" s="94">
        <v>46097.490972222222</v>
      </c>
      <c r="K31" s="94">
        <v>46098.38958333333</v>
      </c>
      <c r="L31" s="94">
        <v>46113.443749999999</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x14ac:dyDescent="0.3">
      <c r="A32" s="82">
        <v>30</v>
      </c>
      <c r="B32" s="93" t="s">
        <v>415</v>
      </c>
      <c r="C32" s="93" t="s">
        <v>70</v>
      </c>
      <c r="D32" s="93" t="s">
        <v>238</v>
      </c>
      <c r="E32" s="93" t="s">
        <v>357</v>
      </c>
      <c r="F32" s="93" t="s">
        <v>416</v>
      </c>
      <c r="G32" s="93" t="s">
        <v>417</v>
      </c>
      <c r="H32" s="93" t="s">
        <v>74</v>
      </c>
      <c r="I32" s="57" t="s">
        <v>75</v>
      </c>
      <c r="J32" s="94">
        <v>46113.354166666664</v>
      </c>
      <c r="K32" s="94">
        <v>46113.411111111112</v>
      </c>
      <c r="L32" s="94">
        <v>46159.928472222222</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82">
        <v>31</v>
      </c>
      <c r="B33" s="93" t="s">
        <v>418</v>
      </c>
      <c r="C33" s="93" t="s">
        <v>70</v>
      </c>
      <c r="D33" s="93" t="s">
        <v>238</v>
      </c>
      <c r="E33" s="93" t="s">
        <v>357</v>
      </c>
      <c r="F33" s="93" t="s">
        <v>419</v>
      </c>
      <c r="G33" s="93" t="s">
        <v>420</v>
      </c>
      <c r="H33" s="93" t="s">
        <v>74</v>
      </c>
      <c r="I33" s="57" t="s">
        <v>75</v>
      </c>
      <c r="J33" s="94">
        <v>46115.648611111108</v>
      </c>
      <c r="K33" s="94">
        <v>46119.4375</v>
      </c>
      <c r="L33" s="94">
        <v>46125.45208333333</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82">
        <v>32</v>
      </c>
      <c r="B34" s="93" t="s">
        <v>421</v>
      </c>
      <c r="C34" s="93" t="s">
        <v>70</v>
      </c>
      <c r="D34" s="93" t="s">
        <v>375</v>
      </c>
      <c r="E34" s="93" t="s">
        <v>357</v>
      </c>
      <c r="F34" s="93" t="s">
        <v>375</v>
      </c>
      <c r="G34" s="93" t="s">
        <v>422</v>
      </c>
      <c r="H34" s="93" t="s">
        <v>74</v>
      </c>
      <c r="I34" s="57" t="s">
        <v>75</v>
      </c>
      <c r="J34" s="94">
        <v>46128.377083333333</v>
      </c>
      <c r="K34" s="94">
        <v>46128.486111111109</v>
      </c>
      <c r="L34" s="94">
        <v>46128.59652777778</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82">
        <v>33</v>
      </c>
      <c r="B35" s="93" t="s">
        <v>423</v>
      </c>
      <c r="C35" s="93" t="s">
        <v>70</v>
      </c>
      <c r="D35" s="93" t="s">
        <v>238</v>
      </c>
      <c r="E35" s="93" t="s">
        <v>357</v>
      </c>
      <c r="F35" s="93" t="s">
        <v>424</v>
      </c>
      <c r="G35" s="93" t="s">
        <v>425</v>
      </c>
      <c r="H35" s="93" t="s">
        <v>74</v>
      </c>
      <c r="I35" s="57" t="s">
        <v>75</v>
      </c>
      <c r="J35" s="94">
        <v>46128.436805555553</v>
      </c>
      <c r="K35" s="94">
        <v>46129.654166666667</v>
      </c>
      <c r="L35" s="94">
        <v>46129.690972222219</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x14ac:dyDescent="0.3">
      <c r="A36" s="82">
        <v>34</v>
      </c>
      <c r="B36" s="93" t="s">
        <v>426</v>
      </c>
      <c r="C36" s="93" t="s">
        <v>70</v>
      </c>
      <c r="D36" s="93" t="s">
        <v>375</v>
      </c>
      <c r="E36" s="93" t="s">
        <v>357</v>
      </c>
      <c r="F36" s="93" t="s">
        <v>427</v>
      </c>
      <c r="G36" s="93" t="s">
        <v>428</v>
      </c>
      <c r="H36" s="93" t="s">
        <v>74</v>
      </c>
      <c r="I36" s="57" t="s">
        <v>75</v>
      </c>
      <c r="J36" s="94">
        <v>46132.374305555553</v>
      </c>
      <c r="K36" s="94">
        <v>46134.690972222219</v>
      </c>
      <c r="L36" s="94">
        <v>46159.954861111109</v>
      </c>
      <c r="M36" s="93"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82">
        <v>35</v>
      </c>
      <c r="B37" s="93" t="s">
        <v>429</v>
      </c>
      <c r="C37" s="79"/>
      <c r="D37" s="93" t="s">
        <v>238</v>
      </c>
      <c r="E37" s="93" t="s">
        <v>357</v>
      </c>
      <c r="F37" s="93" t="s">
        <v>430</v>
      </c>
      <c r="G37" s="93" t="s">
        <v>431</v>
      </c>
      <c r="H37" s="93" t="s">
        <v>74</v>
      </c>
      <c r="I37" s="57" t="s">
        <v>75</v>
      </c>
      <c r="J37" s="94">
        <v>46133.489583333336</v>
      </c>
      <c r="K37" s="79"/>
      <c r="L37" s="79"/>
      <c r="M37" s="93" t="s">
        <v>77</v>
      </c>
      <c r="N37" s="59">
        <f>IF(ISBLANK(J37),"",IF(OR(M37="Completed",M37="Closed"),"",IF(H37="Issue",IF(I37="High",WORKDAY(J37,2,DATA!A36:A64),IF(I37="Medium",WORKDAY(J37,14,DATA!A36:A64),IF(OR(I37="Low"),WORKDAY(J37,30,DATA!A36:A64),""))),
"")
))</f>
        <v>46153</v>
      </c>
      <c r="O37" s="60">
        <f ca="1">IF(OR(ISBLANK(#REF!), M37="Completed", M37="Closed", H37&lt;&gt;"Issue"), "",
   (NETWORKDAYS.INTL(TODAY(), N37, 1, DATA!A36:A64) - 1))</f>
        <v>-59</v>
      </c>
      <c r="P37" s="64">
        <f t="shared" ca="1" si="0"/>
        <v>59</v>
      </c>
      <c r="Q37" s="64" t="str">
        <f t="shared" ca="1" si="1"/>
        <v>31-60 Days</v>
      </c>
    </row>
    <row r="38" spans="1:17" s="64" customFormat="1" ht="41.4" x14ac:dyDescent="0.3">
      <c r="A38" s="82">
        <v>36</v>
      </c>
      <c r="B38" s="93" t="s">
        <v>432</v>
      </c>
      <c r="C38" s="93" t="s">
        <v>70</v>
      </c>
      <c r="D38" s="93" t="s">
        <v>368</v>
      </c>
      <c r="E38" s="93" t="s">
        <v>357</v>
      </c>
      <c r="F38" s="93" t="s">
        <v>433</v>
      </c>
      <c r="G38" s="93" t="s">
        <v>434</v>
      </c>
      <c r="H38" s="93" t="s">
        <v>74</v>
      </c>
      <c r="I38" s="57" t="s">
        <v>75</v>
      </c>
      <c r="J38" s="94">
        <v>46133.658333333333</v>
      </c>
      <c r="K38" s="94">
        <v>46142.648611111108</v>
      </c>
      <c r="L38" s="94">
        <v>46159.957638888889</v>
      </c>
      <c r="M38" s="93"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82">
        <v>37</v>
      </c>
      <c r="B39" s="93" t="s">
        <v>435</v>
      </c>
      <c r="C39" s="79"/>
      <c r="D39" s="93" t="s">
        <v>238</v>
      </c>
      <c r="E39" s="93" t="s">
        <v>357</v>
      </c>
      <c r="F39" s="93" t="s">
        <v>436</v>
      </c>
      <c r="G39" s="93" t="s">
        <v>437</v>
      </c>
      <c r="H39" s="93" t="s">
        <v>74</v>
      </c>
      <c r="I39" s="57" t="s">
        <v>75</v>
      </c>
      <c r="J39" s="94">
        <v>46140.476388888892</v>
      </c>
      <c r="K39" s="79"/>
      <c r="L39" s="79"/>
      <c r="M39" s="93"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-54</v>
      </c>
      <c r="P39" s="64">
        <f t="shared" ca="1" si="0"/>
        <v>54</v>
      </c>
      <c r="Q39" s="64" t="str">
        <f t="shared" ca="1" si="1"/>
        <v>31-60 Days</v>
      </c>
    </row>
    <row r="40" spans="1:17" s="64" customFormat="1" ht="41.4" x14ac:dyDescent="0.3">
      <c r="A40" s="82">
        <v>38</v>
      </c>
      <c r="B40" s="93" t="s">
        <v>438</v>
      </c>
      <c r="C40" s="93" t="s">
        <v>70</v>
      </c>
      <c r="D40" s="93" t="s">
        <v>238</v>
      </c>
      <c r="E40" s="93" t="s">
        <v>357</v>
      </c>
      <c r="F40" s="93" t="s">
        <v>439</v>
      </c>
      <c r="G40" s="93" t="s">
        <v>440</v>
      </c>
      <c r="H40" s="93" t="s">
        <v>74</v>
      </c>
      <c r="I40" s="57" t="s">
        <v>75</v>
      </c>
      <c r="J40" s="94">
        <v>46142.654861111114</v>
      </c>
      <c r="K40" s="94">
        <v>46146.595833333333</v>
      </c>
      <c r="L40" s="79"/>
      <c r="M40" s="93" t="s">
        <v>85</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82">
        <v>39</v>
      </c>
      <c r="B41" s="93" t="s">
        <v>441</v>
      </c>
      <c r="C41" s="93" t="s">
        <v>70</v>
      </c>
      <c r="D41" s="93" t="s">
        <v>238</v>
      </c>
      <c r="E41" s="93" t="s">
        <v>357</v>
      </c>
      <c r="F41" s="93" t="s">
        <v>442</v>
      </c>
      <c r="G41" s="93" t="s">
        <v>443</v>
      </c>
      <c r="H41" s="93" t="s">
        <v>74</v>
      </c>
      <c r="I41" s="57" t="s">
        <v>75</v>
      </c>
      <c r="J41" s="94">
        <v>46146.44027777778</v>
      </c>
      <c r="K41" s="94">
        <v>46148.508333333331</v>
      </c>
      <c r="L41" s="79"/>
      <c r="M41" s="93" t="s">
        <v>85</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82"/>
      <c r="B42" s="93" t="s">
        <v>444</v>
      </c>
      <c r="C42" s="79"/>
      <c r="D42" s="93" t="s">
        <v>445</v>
      </c>
      <c r="E42" s="93" t="s">
        <v>357</v>
      </c>
      <c r="F42" s="93" t="s">
        <v>446</v>
      </c>
      <c r="G42" s="93" t="s">
        <v>447</v>
      </c>
      <c r="H42" s="93" t="s">
        <v>74</v>
      </c>
      <c r="I42" s="57" t="s">
        <v>75</v>
      </c>
      <c r="J42" s="94">
        <v>46153.392361111109</v>
      </c>
      <c r="K42" s="79"/>
      <c r="L42" s="79"/>
      <c r="M42" s="93"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-45</v>
      </c>
      <c r="P42" s="64">
        <f t="shared" ca="1" si="0"/>
        <v>45</v>
      </c>
      <c r="Q42" s="64" t="str">
        <f t="shared" ca="1" si="1"/>
        <v>31-60 Days</v>
      </c>
    </row>
    <row r="43" spans="1:17" s="64" customFormat="1" ht="27.6" x14ac:dyDescent="0.3">
      <c r="A43" s="82"/>
      <c r="B43" s="93" t="s">
        <v>448</v>
      </c>
      <c r="C43" s="79"/>
      <c r="D43" s="93" t="s">
        <v>238</v>
      </c>
      <c r="E43" s="93" t="s">
        <v>357</v>
      </c>
      <c r="F43" s="93" t="s">
        <v>449</v>
      </c>
      <c r="G43" s="93" t="s">
        <v>450</v>
      </c>
      <c r="H43" s="93" t="s">
        <v>74</v>
      </c>
      <c r="I43" s="57" t="s">
        <v>75</v>
      </c>
      <c r="J43" s="94">
        <v>46154.63958333333</v>
      </c>
      <c r="K43" s="79"/>
      <c r="L43" s="79"/>
      <c r="M43" s="93" t="s">
        <v>77</v>
      </c>
      <c r="N43" s="59">
        <f>IF(ISBLANK(J43),"",IF(OR(M43="Completed",M43="Closed"),"",IF(H43="Issue",IF(I43="High",WORKDAY(J43,2,DATA!A42:A70),IF(I43="Medium",WORKDAY(J43,14,DATA!A42:A70),IF(OR(I43="Low"),WORKDAY(J43,30,DATA!A42:A70),""))),
"")
))</f>
        <v>46174</v>
      </c>
      <c r="O43" s="60">
        <f ca="1">IF(OR(ISBLANK(#REF!), M43="Completed", M43="Closed", H43&lt;&gt;"Issue"), "",
   (NETWORKDAYS.INTL(TODAY(), N43, 1, DATA!A42:A70) - 1))</f>
        <v>-44</v>
      </c>
      <c r="P43" s="64">
        <f t="shared" ca="1" si="0"/>
        <v>44</v>
      </c>
      <c r="Q43" s="64" t="str">
        <f t="shared" ca="1" si="1"/>
        <v>31-60 Days</v>
      </c>
    </row>
    <row r="44" spans="1:17" s="64" customFormat="1" ht="27.6" x14ac:dyDescent="0.3">
      <c r="A44" s="82"/>
      <c r="B44" s="93" t="s">
        <v>451</v>
      </c>
      <c r="C44" s="79"/>
      <c r="D44" s="93" t="s">
        <v>452</v>
      </c>
      <c r="E44" s="93" t="s">
        <v>357</v>
      </c>
      <c r="F44" s="93" t="s">
        <v>453</v>
      </c>
      <c r="G44" s="93" t="s">
        <v>454</v>
      </c>
      <c r="H44" s="93" t="s">
        <v>74</v>
      </c>
      <c r="I44" s="57" t="s">
        <v>75</v>
      </c>
      <c r="J44" s="94">
        <v>46160.413194444445</v>
      </c>
      <c r="K44" s="79"/>
      <c r="L44" s="79"/>
      <c r="M44" s="93"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-40</v>
      </c>
      <c r="P44" s="64">
        <f t="shared" ca="1" si="0"/>
        <v>40</v>
      </c>
      <c r="Q44" s="64" t="str">
        <f t="shared" ca="1" si="1"/>
        <v>31-60 Days</v>
      </c>
    </row>
    <row r="45" spans="1:17" s="64" customFormat="1" ht="41.4" x14ac:dyDescent="0.3">
      <c r="A45" s="82"/>
      <c r="B45" s="93" t="s">
        <v>455</v>
      </c>
      <c r="C45" s="79"/>
      <c r="D45" s="93" t="s">
        <v>238</v>
      </c>
      <c r="E45" s="93" t="s">
        <v>357</v>
      </c>
      <c r="F45" s="93" t="s">
        <v>456</v>
      </c>
      <c r="G45" s="93" t="s">
        <v>457</v>
      </c>
      <c r="H45" s="93" t="s">
        <v>74</v>
      </c>
      <c r="I45" s="57" t="s">
        <v>75</v>
      </c>
      <c r="J45" s="94">
        <v>46160.457638888889</v>
      </c>
      <c r="K45" s="79"/>
      <c r="L45" s="79"/>
      <c r="M45" s="93" t="s">
        <v>77</v>
      </c>
      <c r="N45" s="59">
        <f>IF(ISBLANK(J45),"",IF(OR(M45="Completed",M45="Closed"),"",IF(H45="Issue",IF(I45="High",WORKDAY(J45,2,DATA!A44:A72),IF(I45="Medium",WORKDAY(J45,14,DATA!A44:A72),IF(OR(I45="Low"),WORKDAY(J45,30,DATA!A44:A72),""))),
"")
))</f>
        <v>46178</v>
      </c>
      <c r="O45" s="60">
        <f ca="1">IF(OR(ISBLANK(#REF!), M45="Completed", M45="Closed", H45&lt;&gt;"Issue"), "",
   (NETWORKDAYS.INTL(TODAY(), N45, 1, DATA!A44:A72) - 1))</f>
        <v>-40</v>
      </c>
      <c r="P45" s="64">
        <f t="shared" ca="1" si="0"/>
        <v>40</v>
      </c>
      <c r="Q45" s="64" t="str">
        <f t="shared" ca="1" si="1"/>
        <v>31-60 Days</v>
      </c>
    </row>
    <row r="46" spans="1:17" s="64" customFormat="1" ht="41.4" x14ac:dyDescent="0.3">
      <c r="A46" s="82"/>
      <c r="B46" s="93" t="s">
        <v>458</v>
      </c>
      <c r="C46" s="93" t="s">
        <v>70</v>
      </c>
      <c r="D46" s="93" t="s">
        <v>375</v>
      </c>
      <c r="E46" s="93" t="s">
        <v>357</v>
      </c>
      <c r="F46" s="93" t="s">
        <v>459</v>
      </c>
      <c r="G46" s="93" t="s">
        <v>460</v>
      </c>
      <c r="H46" s="93" t="s">
        <v>74</v>
      </c>
      <c r="I46" s="57" t="s">
        <v>75</v>
      </c>
      <c r="J46" s="94">
        <v>46160.481249999997</v>
      </c>
      <c r="K46" s="94">
        <v>46181.713194444441</v>
      </c>
      <c r="L46" s="79"/>
      <c r="M46" s="93" t="s">
        <v>85</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82"/>
      <c r="B47" s="93" t="s">
        <v>461</v>
      </c>
      <c r="C47" s="93" t="s">
        <v>70</v>
      </c>
      <c r="D47" s="93" t="s">
        <v>238</v>
      </c>
      <c r="E47" s="93" t="s">
        <v>357</v>
      </c>
      <c r="F47" s="93" t="s">
        <v>462</v>
      </c>
      <c r="G47" s="93" t="s">
        <v>463</v>
      </c>
      <c r="H47" s="93" t="s">
        <v>74</v>
      </c>
      <c r="I47" s="57" t="s">
        <v>75</v>
      </c>
      <c r="J47" s="94">
        <v>46160.642361111109</v>
      </c>
      <c r="K47" s="94">
        <v>46191.477083333331</v>
      </c>
      <c r="L47" s="94">
        <v>46191.477777777778</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82"/>
      <c r="B48" s="93" t="s">
        <v>1066</v>
      </c>
      <c r="C48" s="93" t="s">
        <v>70</v>
      </c>
      <c r="D48" s="93" t="s">
        <v>238</v>
      </c>
      <c r="E48" s="93" t="s">
        <v>357</v>
      </c>
      <c r="F48" s="93" t="s">
        <v>1067</v>
      </c>
      <c r="G48" s="93" t="s">
        <v>1068</v>
      </c>
      <c r="H48" s="93" t="s">
        <v>74</v>
      </c>
      <c r="I48" s="57" t="s">
        <v>75</v>
      </c>
      <c r="J48" s="94">
        <v>46163.518055555556</v>
      </c>
      <c r="K48" s="94">
        <v>46191.461111111108</v>
      </c>
      <c r="L48" s="94">
        <v>46191.461111111108</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82"/>
      <c r="B49" s="93" t="s">
        <v>1069</v>
      </c>
      <c r="C49" s="93" t="s">
        <v>70</v>
      </c>
      <c r="D49" s="93" t="s">
        <v>238</v>
      </c>
      <c r="E49" s="93" t="s">
        <v>357</v>
      </c>
      <c r="F49" s="93" t="s">
        <v>1067</v>
      </c>
      <c r="G49" s="93" t="s">
        <v>1070</v>
      </c>
      <c r="H49" s="93" t="s">
        <v>74</v>
      </c>
      <c r="I49" s="57" t="s">
        <v>75</v>
      </c>
      <c r="J49" s="94">
        <v>46167.600694444445</v>
      </c>
      <c r="K49" s="94">
        <v>46191.459027777775</v>
      </c>
      <c r="L49" s="79"/>
      <c r="M49" s="93" t="s">
        <v>85</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82"/>
      <c r="B50" s="93" t="s">
        <v>1071</v>
      </c>
      <c r="C50" s="93" t="s">
        <v>70</v>
      </c>
      <c r="D50" s="93" t="s">
        <v>238</v>
      </c>
      <c r="E50" s="93" t="s">
        <v>357</v>
      </c>
      <c r="F50" s="93" t="s">
        <v>1072</v>
      </c>
      <c r="G50" s="93" t="s">
        <v>1073</v>
      </c>
      <c r="H50" s="93" t="s">
        <v>74</v>
      </c>
      <c r="I50" s="57" t="s">
        <v>75</v>
      </c>
      <c r="J50" s="94">
        <v>46184.440972222219</v>
      </c>
      <c r="K50" s="94">
        <v>46191.429861111108</v>
      </c>
      <c r="L50" s="94">
        <v>46191.429861111108</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82"/>
      <c r="B51" s="93" t="s">
        <v>1367</v>
      </c>
      <c r="C51" s="93" t="s">
        <v>70</v>
      </c>
      <c r="D51" s="93" t="s">
        <v>375</v>
      </c>
      <c r="E51" s="93" t="s">
        <v>357</v>
      </c>
      <c r="F51" s="93" t="s">
        <v>1368</v>
      </c>
      <c r="G51" s="93" t="s">
        <v>1369</v>
      </c>
      <c r="H51" s="93" t="s">
        <v>74</v>
      </c>
      <c r="I51" s="57" t="s">
        <v>75</v>
      </c>
      <c r="J51" s="94">
        <v>46192.397222222222</v>
      </c>
      <c r="K51" s="94">
        <v>46195.436111111114</v>
      </c>
      <c r="L51" s="79"/>
      <c r="M51" s="93"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c r="B52" s="93" t="s">
        <v>1370</v>
      </c>
      <c r="C52" s="79"/>
      <c r="D52" s="93" t="s">
        <v>238</v>
      </c>
      <c r="E52" s="93" t="s">
        <v>357</v>
      </c>
      <c r="F52" s="93" t="s">
        <v>1072</v>
      </c>
      <c r="G52" s="93" t="s">
        <v>1371</v>
      </c>
      <c r="H52" s="93" t="s">
        <v>74</v>
      </c>
      <c r="I52" s="57" t="s">
        <v>75</v>
      </c>
      <c r="J52" s="94">
        <v>46192.491666666669</v>
      </c>
      <c r="K52" s="79"/>
      <c r="L52" s="79"/>
      <c r="M52" s="93" t="s">
        <v>77</v>
      </c>
      <c r="N52" s="59">
        <f>IF(ISBLANK(J52),"",IF(OR(M52="Completed",M52="Closed"),"",IF(H52="Issue",IF(I52="High",WORKDAY(J52,2,DATA!A51:A79),IF(I52="Medium",WORKDAY(J52,14,DATA!A51:A79),IF(OR(I52="Low"),WORKDAY(J52,30,DATA!A51:A79),""))),
"")
))</f>
        <v>46212</v>
      </c>
      <c r="O52" s="60">
        <f ca="1">IF(OR(ISBLANK(#REF!), M52="Completed", M52="Closed", H52&lt;&gt;"Issue"), "",
   (NETWORKDAYS.INTL(TODAY(), N52, 1, DATA!A51:A79) - 1))</f>
        <v>-16</v>
      </c>
      <c r="P52" s="64">
        <f t="shared" ca="1" si="0"/>
        <v>16</v>
      </c>
      <c r="Q52" s="64" t="str">
        <f t="shared" ca="1" si="1"/>
        <v>1-30 Days</v>
      </c>
    </row>
    <row r="53" spans="1:17" s="64" customFormat="1" ht="27.6" x14ac:dyDescent="0.3">
      <c r="A53" s="57"/>
      <c r="B53" s="93" t="s">
        <v>1372</v>
      </c>
      <c r="C53" s="93" t="s">
        <v>70</v>
      </c>
      <c r="D53" s="93" t="s">
        <v>379</v>
      </c>
      <c r="E53" s="93" t="s">
        <v>357</v>
      </c>
      <c r="F53" s="93" t="s">
        <v>1373</v>
      </c>
      <c r="G53" s="93" t="s">
        <v>1374</v>
      </c>
      <c r="H53" s="93" t="s">
        <v>74</v>
      </c>
      <c r="I53" s="57" t="s">
        <v>75</v>
      </c>
      <c r="J53" s="94">
        <v>46195.500694444447</v>
      </c>
      <c r="K53" s="94">
        <v>46195.710416666669</v>
      </c>
      <c r="L53" s="79"/>
      <c r="M53" s="93"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c r="B54" s="93" t="s">
        <v>1375</v>
      </c>
      <c r="C54" s="79"/>
      <c r="D54" s="93" t="s">
        <v>238</v>
      </c>
      <c r="E54" s="93" t="s">
        <v>357</v>
      </c>
      <c r="F54" s="93" t="s">
        <v>1376</v>
      </c>
      <c r="G54" s="93" t="s">
        <v>1377</v>
      </c>
      <c r="H54" s="93" t="s">
        <v>74</v>
      </c>
      <c r="I54" s="57" t="s">
        <v>75</v>
      </c>
      <c r="J54" s="94">
        <v>46197.647916666669</v>
      </c>
      <c r="K54" s="79"/>
      <c r="L54" s="79"/>
      <c r="M54" s="93" t="s">
        <v>77</v>
      </c>
      <c r="N54" s="59">
        <f>IF(ISBLANK(J54),"",IF(OR(M54="Completed",M54="Closed"),"",IF(H54="Issue",IF(I54="High",WORKDAY(J54,2,DATA!A53:A81),IF(I54="Medium",WORKDAY(J54,14,DATA!A53:A81),IF(OR(I54="Low"),WORKDAY(J54,30,DATA!A53:A81),""))),
"")
))</f>
        <v>46217</v>
      </c>
      <c r="O54" s="60">
        <f ca="1">IF(OR(ISBLANK(#REF!), M54="Completed", M54="Closed", H54&lt;&gt;"Issue"), "",
   (NETWORKDAYS.INTL(TODAY(), N54, 1, DATA!A53:A81) - 1))</f>
        <v>-13</v>
      </c>
      <c r="P54" s="64">
        <f t="shared" ca="1" si="0"/>
        <v>13</v>
      </c>
      <c r="Q54" s="64" t="str">
        <f t="shared" ca="1" si="1"/>
        <v>1-30 Days</v>
      </c>
    </row>
    <row r="55" spans="1:17" s="64" customFormat="1"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4" t="str">
        <f t="shared" ca="1" si="0"/>
        <v/>
      </c>
      <c r="Q56" s="64" t="str">
        <f t="shared" ca="1" si="1"/>
        <v/>
      </c>
    </row>
    <row r="57" spans="1:17" s="64" customFormat="1"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4" t="str">
        <f t="shared" ca="1" si="0"/>
        <v/>
      </c>
      <c r="Q57" s="64" t="str">
        <f t="shared" ca="1" si="1"/>
        <v/>
      </c>
    </row>
    <row r="58" spans="1:17" s="64" customFormat="1"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4" t="str">
        <f t="shared" ca="1" si="0"/>
        <v/>
      </c>
      <c r="Q60" s="64" t="str">
        <f t="shared" ca="1" si="1"/>
        <v/>
      </c>
    </row>
    <row r="61" spans="1:17" s="64" customFormat="1"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7" s="64" customFormat="1"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7" s="64" customFormat="1"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7" s="64" customFormat="1"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Q95" ca="1" si="3">IF(P67="","",
IF(P67&lt;=30,"1-30 Days",
IF(AND(P67&gt;=31,P67&lt;=60),"31-60 Days",
"&gt;60 Days")))</f>
        <v/>
      </c>
    </row>
    <row r="68" spans="1:17" s="64" customFormat="1"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4" t="str">
        <f t="shared" ref="P68:P95" ca="1" si="4">IF(O68="","",LEFT(O68,10)*(-1))</f>
        <v/>
      </c>
      <c r="Q68" s="64" t="str">
        <f t="shared" ca="1" si="3"/>
        <v/>
      </c>
    </row>
    <row r="69" spans="1:17" s="64" customFormat="1"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64" t="str">
        <f t="shared" ca="1" si="4"/>
        <v/>
      </c>
      <c r="Q69" s="64" t="str">
        <f t="shared" ca="1" si="3"/>
        <v/>
      </c>
    </row>
    <row r="70" spans="1:17" s="64" customFormat="1"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4" t="str">
        <f t="shared" ca="1" si="4"/>
        <v/>
      </c>
      <c r="Q70" s="64" t="str">
        <f t="shared" ca="1" si="3"/>
        <v/>
      </c>
    </row>
    <row r="71" spans="1:17" s="64" customFormat="1"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4" t="str">
        <f t="shared" ca="1" si="4"/>
        <v/>
      </c>
      <c r="Q71" s="64" t="str">
        <f t="shared" ca="1" si="3"/>
        <v/>
      </c>
    </row>
    <row r="72" spans="1:17" s="64" customFormat="1"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4" t="str">
        <f t="shared" ca="1" si="4"/>
        <v/>
      </c>
      <c r="Q72" s="64" t="str">
        <f t="shared" ca="1" si="3"/>
        <v/>
      </c>
    </row>
    <row r="73" spans="1:17" s="64" customFormat="1"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4" t="str">
        <f t="shared" ca="1" si="4"/>
        <v/>
      </c>
      <c r="Q73" s="64" t="str">
        <f t="shared" ca="1" si="3"/>
        <v/>
      </c>
    </row>
    <row r="74" spans="1:17" s="64" customFormat="1"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4" t="str">
        <f t="shared" ca="1" si="4"/>
        <v/>
      </c>
      <c r="Q74" s="64" t="str">
        <f t="shared" ca="1" si="3"/>
        <v/>
      </c>
    </row>
    <row r="75" spans="1:17" s="64" customFormat="1"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4" t="str">
        <f t="shared" ca="1" si="4"/>
        <v/>
      </c>
      <c r="Q75" s="64" t="str">
        <f t="shared" ca="1" si="3"/>
        <v/>
      </c>
    </row>
    <row r="76" spans="1:17" s="64" customFormat="1"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4" t="str">
        <f t="shared" ca="1" si="4"/>
        <v/>
      </c>
      <c r="Q76" s="64" t="str">
        <f t="shared" ca="1" si="3"/>
        <v/>
      </c>
    </row>
    <row r="77" spans="1:17" s="64" customFormat="1"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4" t="str">
        <f t="shared" ca="1" si="4"/>
        <v/>
      </c>
      <c r="Q77" s="64" t="str">
        <f t="shared" ca="1" si="3"/>
        <v/>
      </c>
    </row>
    <row r="78" spans="1:17" s="64" customFormat="1"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4" t="str">
        <f t="shared" ca="1" si="4"/>
        <v/>
      </c>
      <c r="Q78" s="64" t="str">
        <f t="shared" ca="1" si="3"/>
        <v/>
      </c>
    </row>
    <row r="79" spans="1:17" s="64" customFormat="1"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4" t="str">
        <f t="shared" ca="1" si="4"/>
        <v/>
      </c>
      <c r="Q79" s="64" t="str">
        <f t="shared" ca="1" si="3"/>
        <v/>
      </c>
    </row>
    <row r="80" spans="1:17" s="64" customFormat="1"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4" t="str">
        <f t="shared" ca="1" si="4"/>
        <v/>
      </c>
      <c r="Q80" s="64" t="str">
        <f t="shared" ca="1" si="3"/>
        <v/>
      </c>
    </row>
    <row r="81" spans="1:17" s="64" customFormat="1"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4" t="str">
        <f t="shared" ca="1" si="4"/>
        <v/>
      </c>
      <c r="Q81" s="64" t="str">
        <f t="shared" ca="1" si="3"/>
        <v/>
      </c>
    </row>
    <row r="82" spans="1:17" s="64" customFormat="1"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4" t="str">
        <f t="shared" ca="1" si="4"/>
        <v/>
      </c>
      <c r="Q82" s="64" t="str">
        <f t="shared" ca="1" si="3"/>
        <v/>
      </c>
    </row>
    <row r="83" spans="1:17" s="64" customFormat="1"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4" t="str">
        <f t="shared" ca="1" si="4"/>
        <v/>
      </c>
      <c r="Q83" s="64" t="str">
        <f t="shared" ca="1" si="3"/>
        <v/>
      </c>
    </row>
    <row r="84" spans="1:17" s="64" customFormat="1"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4" t="str">
        <f t="shared" ca="1" si="4"/>
        <v/>
      </c>
      <c r="Q84" s="64" t="str">
        <f t="shared" ca="1" si="3"/>
        <v/>
      </c>
    </row>
    <row r="85" spans="1:17" s="64" customFormat="1"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4" t="str">
        <f t="shared" ca="1" si="4"/>
        <v/>
      </c>
      <c r="Q85" s="64" t="str">
        <f t="shared" ca="1" si="3"/>
        <v/>
      </c>
    </row>
    <row r="86" spans="1:17" s="64" customFormat="1"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64" t="str">
        <f t="shared" ca="1" si="4"/>
        <v/>
      </c>
      <c r="Q86" s="64" t="str">
        <f t="shared" ca="1" si="3"/>
        <v/>
      </c>
    </row>
    <row r="87" spans="1:17" s="64" customFormat="1"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4" t="str">
        <f t="shared" ca="1" si="4"/>
        <v/>
      </c>
      <c r="Q87" s="64" t="str">
        <f t="shared" ca="1" si="3"/>
        <v/>
      </c>
    </row>
    <row r="88" spans="1:17" s="64" customFormat="1"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4" t="str">
        <f t="shared" ca="1" si="4"/>
        <v/>
      </c>
      <c r="Q88" s="64" t="str">
        <f t="shared" ca="1" si="3"/>
        <v/>
      </c>
    </row>
    <row r="89" spans="1:17" s="64" customFormat="1"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64" t="str">
        <f t="shared" ca="1" si="4"/>
        <v/>
      </c>
      <c r="Q89" s="64" t="str">
        <f t="shared" ca="1" si="3"/>
        <v/>
      </c>
    </row>
    <row r="90" spans="1:17" s="64" customFormat="1"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4" t="str">
        <f t="shared" ca="1" si="4"/>
        <v/>
      </c>
      <c r="Q90" s="64" t="str">
        <f t="shared" ca="1" si="3"/>
        <v/>
      </c>
    </row>
    <row r="91" spans="1:17" s="64" customFormat="1"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4" t="str">
        <f t="shared" ca="1" si="4"/>
        <v/>
      </c>
      <c r="Q91" s="64" t="str">
        <f t="shared" ca="1" si="3"/>
        <v/>
      </c>
    </row>
    <row r="92" spans="1:17" s="64" customFormat="1"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4" t="str">
        <f t="shared" ca="1" si="4"/>
        <v/>
      </c>
      <c r="Q92" s="64" t="str">
        <f t="shared" ca="1" si="3"/>
        <v/>
      </c>
    </row>
    <row r="93" spans="1:17" s="64" customFormat="1"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4" t="str">
        <f t="shared" ca="1" si="4"/>
        <v/>
      </c>
      <c r="Q93" s="64" t="str">
        <f t="shared" ca="1" si="3"/>
        <v/>
      </c>
    </row>
    <row r="94" spans="1:17" s="64" customFormat="1"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4" t="str">
        <f t="shared" ca="1" si="4"/>
        <v/>
      </c>
      <c r="Q94" s="64" t="str">
        <f t="shared" ca="1" si="3"/>
        <v/>
      </c>
    </row>
    <row r="95" spans="1:17" s="64" customFormat="1"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4" t="str">
        <f t="shared" ca="1" si="4"/>
        <v/>
      </c>
      <c r="Q95" s="64" t="str">
        <f t="shared" ca="1" si="3"/>
        <v/>
      </c>
    </row>
    <row r="96" spans="1:17"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18"/>
  <sheetViews>
    <sheetView topLeftCell="A202" zoomScale="70" zoomScaleNormal="70" workbookViewId="0">
      <selection activeCell="O201" sqref="O201"/>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7" customWidth="1"/>
    <col min="15" max="15" width="15.19921875" style="87" customWidth="1"/>
    <col min="16" max="16" width="8.796875" style="87"/>
    <col min="17" max="17" width="11.8984375" style="87" customWidth="1"/>
  </cols>
  <sheetData>
    <row r="1" spans="1:22" x14ac:dyDescent="0.3">
      <c r="A1" s="45" t="s">
        <v>48</v>
      </c>
      <c r="B1" s="46" t="s">
        <v>49</v>
      </c>
      <c r="C1" s="46">
        <f>T7</f>
        <v>206</v>
      </c>
      <c r="D1" s="47" t="s">
        <v>50</v>
      </c>
      <c r="E1" s="48">
        <f>SUM(T3:T4)</f>
        <v>38</v>
      </c>
      <c r="F1" s="49" t="s">
        <v>51</v>
      </c>
      <c r="G1" s="50">
        <f>SUM(T5:T6)</f>
        <v>168</v>
      </c>
      <c r="H1" s="51"/>
      <c r="I1" s="51"/>
      <c r="J1" s="51"/>
      <c r="K1" s="51"/>
      <c r="L1" s="51"/>
      <c r="M1" s="85"/>
      <c r="N1" s="51"/>
      <c r="O1" s="51"/>
      <c r="P1" s="89"/>
      <c r="Q1" s="8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6" t="s">
        <v>64</v>
      </c>
      <c r="N2" s="54" t="s">
        <v>65</v>
      </c>
      <c r="O2" s="54" t="s">
        <v>66</v>
      </c>
      <c r="P2" s="54" t="s">
        <v>67</v>
      </c>
      <c r="Q2" s="54" t="s">
        <v>68</v>
      </c>
    </row>
    <row r="3" spans="1:22" ht="151.80000000000001" x14ac:dyDescent="0.3">
      <c r="A3" s="77">
        <v>1</v>
      </c>
      <c r="B3" s="77" t="s">
        <v>464</v>
      </c>
      <c r="C3" s="77" t="s">
        <v>70</v>
      </c>
      <c r="D3" s="77" t="s">
        <v>465</v>
      </c>
      <c r="E3" s="77" t="s">
        <v>356</v>
      </c>
      <c r="F3" s="77" t="s">
        <v>466</v>
      </c>
      <c r="G3" s="77" t="s">
        <v>467</v>
      </c>
      <c r="H3" s="77" t="s">
        <v>74</v>
      </c>
      <c r="I3" s="77" t="s">
        <v>75</v>
      </c>
      <c r="J3" s="94">
        <v>46083.421527777777</v>
      </c>
      <c r="K3" s="94">
        <v>46083.422222222223</v>
      </c>
      <c r="L3" s="94">
        <v>46083.422222222223</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88" t="str">
        <f ca="1">IF(P3="","",
IF(P3&lt;=0,"Not Due",
IF(P3&lt;=30,"1-30 Days",
IF(P3&lt;=60,"31-60 Days",
"&gt;60 Days"))))</f>
        <v/>
      </c>
      <c r="S3" s="63" t="s">
        <v>77</v>
      </c>
      <c r="T3" s="64">
        <f>COUNTIF(M3:M298, "Pending")</f>
        <v>29</v>
      </c>
    </row>
    <row r="4" spans="1:22" ht="27.6" x14ac:dyDescent="0.3">
      <c r="A4" s="77">
        <v>2</v>
      </c>
      <c r="B4" s="77" t="s">
        <v>468</v>
      </c>
      <c r="C4" s="77" t="s">
        <v>70</v>
      </c>
      <c r="D4" s="77" t="s">
        <v>465</v>
      </c>
      <c r="E4" s="77" t="s">
        <v>356</v>
      </c>
      <c r="F4" s="77" t="s">
        <v>469</v>
      </c>
      <c r="G4" s="77" t="s">
        <v>470</v>
      </c>
      <c r="H4" s="77" t="s">
        <v>74</v>
      </c>
      <c r="I4" s="77" t="s">
        <v>75</v>
      </c>
      <c r="J4" s="94">
        <v>46083.429861111108</v>
      </c>
      <c r="K4" s="94">
        <v>46083.430555555555</v>
      </c>
      <c r="L4" s="94">
        <v>46083.430555555555</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0">IF(O4="","",LEFT(O4,10)*(-1))</f>
        <v/>
      </c>
      <c r="Q4" s="88" t="str">
        <f t="shared" ref="Q4:Q67" ca="1" si="1">IF(P4="","",
IF(P4&lt;=0,"Not Due",
IF(P4&lt;=30,"1-30 Days",
IF(P4&lt;=60,"31-60 Days",
"&gt;60 Days"))))</f>
        <v/>
      </c>
      <c r="S4" s="63" t="s">
        <v>80</v>
      </c>
      <c r="T4" s="64">
        <f>COUNTIF(M3:M298, "InProgress")</f>
        <v>9</v>
      </c>
    </row>
    <row r="5" spans="1:22" ht="27.6" x14ac:dyDescent="0.3">
      <c r="A5" s="93">
        <v>3</v>
      </c>
      <c r="B5" s="77" t="s">
        <v>471</v>
      </c>
      <c r="C5" s="77" t="s">
        <v>70</v>
      </c>
      <c r="D5" s="77" t="s">
        <v>465</v>
      </c>
      <c r="E5" s="77" t="s">
        <v>356</v>
      </c>
      <c r="F5" s="77" t="s">
        <v>472</v>
      </c>
      <c r="G5" s="77" t="s">
        <v>473</v>
      </c>
      <c r="H5" s="77" t="s">
        <v>74</v>
      </c>
      <c r="I5" s="77" t="s">
        <v>75</v>
      </c>
      <c r="J5" s="94">
        <v>46083.433333333334</v>
      </c>
      <c r="K5" s="94">
        <v>46083.434027777781</v>
      </c>
      <c r="L5" s="94">
        <v>46083.434027777781</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0"/>
        <v/>
      </c>
      <c r="Q5" s="88" t="str">
        <f t="shared" ca="1" si="1"/>
        <v/>
      </c>
      <c r="S5" s="65" t="s">
        <v>85</v>
      </c>
      <c r="T5" s="64">
        <f>COUNTIF(M3:M298, "Completed")</f>
        <v>23</v>
      </c>
    </row>
    <row r="6" spans="1:22" ht="69" x14ac:dyDescent="0.3">
      <c r="A6" s="93">
        <v>4</v>
      </c>
      <c r="B6" s="77" t="s">
        <v>474</v>
      </c>
      <c r="C6" s="77" t="s">
        <v>70</v>
      </c>
      <c r="D6" s="77" t="s">
        <v>465</v>
      </c>
      <c r="E6" s="77" t="s">
        <v>356</v>
      </c>
      <c r="F6" s="77" t="s">
        <v>469</v>
      </c>
      <c r="G6" s="77" t="s">
        <v>475</v>
      </c>
      <c r="H6" s="77" t="s">
        <v>74</v>
      </c>
      <c r="I6" s="77" t="s">
        <v>75</v>
      </c>
      <c r="J6" s="94">
        <v>46083.43472222222</v>
      </c>
      <c r="K6" s="94">
        <v>46083.435416666667</v>
      </c>
      <c r="L6" s="94">
        <v>46083.435416666667</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0"/>
        <v/>
      </c>
      <c r="Q6" s="88" t="str">
        <f t="shared" ca="1" si="1"/>
        <v/>
      </c>
      <c r="S6" s="65" t="s">
        <v>76</v>
      </c>
      <c r="T6" s="64">
        <f>COUNTIF(M3:M298, "Closed")</f>
        <v>145</v>
      </c>
    </row>
    <row r="7" spans="1:22" ht="110.4" x14ac:dyDescent="0.3">
      <c r="A7" s="93">
        <v>5</v>
      </c>
      <c r="B7" s="77" t="s">
        <v>476</v>
      </c>
      <c r="C7" s="77" t="s">
        <v>70</v>
      </c>
      <c r="D7" s="77" t="s">
        <v>477</v>
      </c>
      <c r="E7" s="77" t="s">
        <v>356</v>
      </c>
      <c r="F7" s="77" t="s">
        <v>478</v>
      </c>
      <c r="G7" s="77" t="s">
        <v>479</v>
      </c>
      <c r="H7" s="77" t="s">
        <v>74</v>
      </c>
      <c r="I7" s="77" t="s">
        <v>75</v>
      </c>
      <c r="J7" s="94">
        <v>46083.436805555553</v>
      </c>
      <c r="K7" s="94">
        <v>46083.436805555553</v>
      </c>
      <c r="L7" s="94">
        <v>46083.436805555553</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0"/>
        <v/>
      </c>
      <c r="Q7" s="88" t="str">
        <f t="shared" ca="1" si="1"/>
        <v/>
      </c>
      <c r="S7" s="76" t="s">
        <v>49</v>
      </c>
      <c r="T7" s="64">
        <f>SUM(T3:T6)</f>
        <v>206</v>
      </c>
    </row>
    <row r="8" spans="1:22" ht="27.6" x14ac:dyDescent="0.3">
      <c r="A8" s="93">
        <v>6</v>
      </c>
      <c r="B8" s="77" t="s">
        <v>480</v>
      </c>
      <c r="C8" s="77" t="s">
        <v>70</v>
      </c>
      <c r="D8" s="77" t="s">
        <v>465</v>
      </c>
      <c r="E8" s="77" t="s">
        <v>356</v>
      </c>
      <c r="F8" s="77" t="s">
        <v>469</v>
      </c>
      <c r="G8" s="77" t="s">
        <v>481</v>
      </c>
      <c r="H8" s="77" t="s">
        <v>74</v>
      </c>
      <c r="I8" s="77" t="s">
        <v>75</v>
      </c>
      <c r="J8" s="94">
        <v>46083.440972222219</v>
      </c>
      <c r="K8" s="94">
        <v>46083.440972222219</v>
      </c>
      <c r="L8" s="94">
        <v>46083.441666666666</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0"/>
        <v/>
      </c>
      <c r="Q8" s="88" t="str">
        <f t="shared" ca="1" si="1"/>
        <v/>
      </c>
      <c r="S8" s="238" t="s">
        <v>66</v>
      </c>
      <c r="T8" s="69" t="s">
        <v>94</v>
      </c>
      <c r="U8" s="69" t="s">
        <v>95</v>
      </c>
      <c r="V8" s="69" t="s">
        <v>96</v>
      </c>
    </row>
    <row r="9" spans="1:22" ht="124.2" x14ac:dyDescent="0.3">
      <c r="A9" s="93">
        <v>7</v>
      </c>
      <c r="B9" s="77" t="s">
        <v>482</v>
      </c>
      <c r="C9" s="77" t="s">
        <v>70</v>
      </c>
      <c r="D9" s="77" t="s">
        <v>477</v>
      </c>
      <c r="E9" s="77" t="s">
        <v>356</v>
      </c>
      <c r="F9" s="77" t="s">
        <v>478</v>
      </c>
      <c r="G9" s="77" t="s">
        <v>483</v>
      </c>
      <c r="H9" s="77" t="s">
        <v>74</v>
      </c>
      <c r="I9" s="77" t="s">
        <v>75</v>
      </c>
      <c r="J9" s="94">
        <v>46083.441666666666</v>
      </c>
      <c r="K9" s="94">
        <v>46083.442361111112</v>
      </c>
      <c r="L9" s="94">
        <v>46083.442361111112</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0"/>
        <v/>
      </c>
      <c r="Q9" s="88" t="str">
        <f t="shared" ca="1" si="1"/>
        <v/>
      </c>
      <c r="S9" s="238"/>
      <c r="T9" s="70">
        <f ca="1">COUNTIFS(P3:P276,"&gt;=1",P3:P276,"&lt;=30")</f>
        <v>0</v>
      </c>
      <c r="U9" s="70">
        <f ca="1">COUNTIFS(P3:P276,"&gt;=31",P3:P276,"&lt;=60")</f>
        <v>8</v>
      </c>
      <c r="V9" s="70">
        <f ca="1">COUNTIFS(P3:P276,"&gt;60")</f>
        <v>29</v>
      </c>
    </row>
    <row r="10" spans="1:22" ht="27.6" x14ac:dyDescent="0.3">
      <c r="A10" s="93">
        <v>8</v>
      </c>
      <c r="B10" s="77" t="s">
        <v>484</v>
      </c>
      <c r="C10" s="77" t="s">
        <v>70</v>
      </c>
      <c r="D10" s="77" t="s">
        <v>465</v>
      </c>
      <c r="E10" s="77" t="s">
        <v>356</v>
      </c>
      <c r="F10" s="77" t="s">
        <v>469</v>
      </c>
      <c r="G10" s="77" t="s">
        <v>485</v>
      </c>
      <c r="H10" s="77" t="s">
        <v>74</v>
      </c>
      <c r="I10" s="77" t="s">
        <v>75</v>
      </c>
      <c r="J10" s="94">
        <v>46083.455555555556</v>
      </c>
      <c r="K10" s="94">
        <v>46083.456250000003</v>
      </c>
      <c r="L10" s="94">
        <v>46083.456250000003</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0"/>
        <v/>
      </c>
      <c r="Q10" s="88" t="str">
        <f t="shared" ca="1" si="1"/>
        <v/>
      </c>
    </row>
    <row r="11" spans="1:22" ht="41.4" x14ac:dyDescent="0.3">
      <c r="A11" s="93">
        <v>9</v>
      </c>
      <c r="B11" s="77" t="s">
        <v>486</v>
      </c>
      <c r="C11" s="77" t="s">
        <v>70</v>
      </c>
      <c r="D11" s="77" t="s">
        <v>487</v>
      </c>
      <c r="E11" s="77" t="s">
        <v>356</v>
      </c>
      <c r="F11" s="77" t="s">
        <v>488</v>
      </c>
      <c r="G11" s="77" t="s">
        <v>489</v>
      </c>
      <c r="H11" s="77" t="s">
        <v>74</v>
      </c>
      <c r="I11" s="77" t="s">
        <v>75</v>
      </c>
      <c r="J11" s="94">
        <v>46083.480555555558</v>
      </c>
      <c r="K11" s="94">
        <v>46083.481249999997</v>
      </c>
      <c r="L11" s="94">
        <v>46083.481249999997</v>
      </c>
      <c r="M11" s="93"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8" t="str">
        <f t="shared" ca="1" si="0"/>
        <v/>
      </c>
      <c r="Q11" s="88" t="str">
        <f t="shared" ca="1" si="1"/>
        <v/>
      </c>
    </row>
    <row r="12" spans="1:22" ht="55.2" x14ac:dyDescent="0.3">
      <c r="A12" s="93">
        <v>10</v>
      </c>
      <c r="B12" s="77" t="s">
        <v>490</v>
      </c>
      <c r="C12" s="77" t="s">
        <v>70</v>
      </c>
      <c r="D12" s="77" t="s">
        <v>477</v>
      </c>
      <c r="E12" s="77" t="s">
        <v>356</v>
      </c>
      <c r="F12" s="77" t="s">
        <v>478</v>
      </c>
      <c r="G12" s="77" t="s">
        <v>491</v>
      </c>
      <c r="H12" s="77" t="s">
        <v>74</v>
      </c>
      <c r="I12" s="77" t="s">
        <v>75</v>
      </c>
      <c r="J12" s="94">
        <v>46083.488194444442</v>
      </c>
      <c r="K12" s="94">
        <v>46083.488888888889</v>
      </c>
      <c r="L12" s="94">
        <v>46083.488888888889</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0"/>
        <v/>
      </c>
      <c r="Q12" s="88" t="str">
        <f t="shared" ca="1" si="1"/>
        <v/>
      </c>
    </row>
    <row r="13" spans="1:22" ht="110.4" x14ac:dyDescent="0.3">
      <c r="A13" s="93">
        <v>11</v>
      </c>
      <c r="B13" s="77" t="s">
        <v>492</v>
      </c>
      <c r="C13" s="77" t="s">
        <v>70</v>
      </c>
      <c r="D13" s="77" t="s">
        <v>477</v>
      </c>
      <c r="E13" s="77" t="s">
        <v>356</v>
      </c>
      <c r="F13" s="77" t="s">
        <v>478</v>
      </c>
      <c r="G13" s="77" t="s">
        <v>493</v>
      </c>
      <c r="H13" s="77" t="s">
        <v>74</v>
      </c>
      <c r="I13" s="77" t="s">
        <v>75</v>
      </c>
      <c r="J13" s="94">
        <v>46083.493750000001</v>
      </c>
      <c r="K13" s="94">
        <v>46083.493750000001</v>
      </c>
      <c r="L13" s="94">
        <v>46083.493750000001</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0"/>
        <v/>
      </c>
      <c r="Q13" s="88" t="str">
        <f t="shared" ca="1" si="1"/>
        <v/>
      </c>
    </row>
    <row r="14" spans="1:22" ht="82.8" x14ac:dyDescent="0.3">
      <c r="A14" s="93">
        <v>12</v>
      </c>
      <c r="B14" s="77" t="s">
        <v>494</v>
      </c>
      <c r="C14" s="77" t="s">
        <v>70</v>
      </c>
      <c r="D14" s="77" t="s">
        <v>465</v>
      </c>
      <c r="E14" s="77" t="s">
        <v>356</v>
      </c>
      <c r="F14" s="77" t="s">
        <v>495</v>
      </c>
      <c r="G14" s="77" t="s">
        <v>496</v>
      </c>
      <c r="H14" s="77" t="s">
        <v>74</v>
      </c>
      <c r="I14" s="77" t="s">
        <v>75</v>
      </c>
      <c r="J14" s="94">
        <v>46083.497916666667</v>
      </c>
      <c r="K14" s="94">
        <v>46083.499305555553</v>
      </c>
      <c r="L14" s="94">
        <v>46083.499305555553</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8" t="str">
        <f t="shared" ca="1" si="0"/>
        <v/>
      </c>
      <c r="Q14" s="88" t="str">
        <f t="shared" ca="1" si="1"/>
        <v/>
      </c>
    </row>
    <row r="15" spans="1:22" ht="41.4" x14ac:dyDescent="0.3">
      <c r="A15" s="93">
        <v>13</v>
      </c>
      <c r="B15" s="77" t="s">
        <v>497</v>
      </c>
      <c r="C15" s="77" t="s">
        <v>70</v>
      </c>
      <c r="D15" s="77" t="s">
        <v>465</v>
      </c>
      <c r="E15" s="77" t="s">
        <v>356</v>
      </c>
      <c r="F15" s="77" t="s">
        <v>121</v>
      </c>
      <c r="G15" s="77" t="s">
        <v>498</v>
      </c>
      <c r="H15" s="77" t="s">
        <v>74</v>
      </c>
      <c r="I15" s="77" t="s">
        <v>75</v>
      </c>
      <c r="J15" s="94">
        <v>46083.503472222219</v>
      </c>
      <c r="K15" s="94">
        <v>46083.504861111112</v>
      </c>
      <c r="L15" s="94">
        <v>46083.504861111112</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8" t="str">
        <f t="shared" ca="1" si="0"/>
        <v/>
      </c>
      <c r="Q15" s="88" t="str">
        <f t="shared" ca="1" si="1"/>
        <v/>
      </c>
    </row>
    <row r="16" spans="1:22" ht="69" x14ac:dyDescent="0.3">
      <c r="A16" s="93">
        <v>14</v>
      </c>
      <c r="B16" s="77" t="s">
        <v>499</v>
      </c>
      <c r="C16" s="77" t="s">
        <v>70</v>
      </c>
      <c r="D16" s="77" t="s">
        <v>465</v>
      </c>
      <c r="E16" s="77" t="s">
        <v>356</v>
      </c>
      <c r="F16" s="77" t="s">
        <v>500</v>
      </c>
      <c r="G16" s="77" t="s">
        <v>501</v>
      </c>
      <c r="H16" s="77" t="s">
        <v>74</v>
      </c>
      <c r="I16" s="77" t="s">
        <v>75</v>
      </c>
      <c r="J16" s="94">
        <v>46083.506249999999</v>
      </c>
      <c r="K16" s="94">
        <v>46083.506944444445</v>
      </c>
      <c r="L16" s="94">
        <v>46083.506944444445</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0"/>
        <v/>
      </c>
      <c r="Q16" s="88" t="str">
        <f t="shared" ca="1" si="1"/>
        <v/>
      </c>
    </row>
    <row r="17" spans="1:17" ht="124.2" x14ac:dyDescent="0.3">
      <c r="A17" s="93">
        <v>15</v>
      </c>
      <c r="B17" s="77" t="s">
        <v>502</v>
      </c>
      <c r="C17" s="77" t="s">
        <v>70</v>
      </c>
      <c r="D17" s="77" t="s">
        <v>465</v>
      </c>
      <c r="E17" s="77" t="s">
        <v>356</v>
      </c>
      <c r="F17" s="77" t="s">
        <v>503</v>
      </c>
      <c r="G17" s="77" t="s">
        <v>504</v>
      </c>
      <c r="H17" s="77" t="s">
        <v>74</v>
      </c>
      <c r="I17" s="77" t="s">
        <v>75</v>
      </c>
      <c r="J17" s="94">
        <v>46083.512499999997</v>
      </c>
      <c r="K17" s="94">
        <v>46083.513194444444</v>
      </c>
      <c r="L17" s="94">
        <v>46083.513194444444</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0"/>
        <v/>
      </c>
      <c r="Q17" s="88" t="str">
        <f t="shared" ca="1" si="1"/>
        <v/>
      </c>
    </row>
    <row r="18" spans="1:17" ht="41.4" x14ac:dyDescent="0.3">
      <c r="A18" s="93">
        <v>16</v>
      </c>
      <c r="B18" s="77" t="s">
        <v>505</v>
      </c>
      <c r="C18" s="77" t="s">
        <v>70</v>
      </c>
      <c r="D18" s="77" t="s">
        <v>465</v>
      </c>
      <c r="E18" s="77" t="s">
        <v>356</v>
      </c>
      <c r="F18" s="77" t="s">
        <v>469</v>
      </c>
      <c r="G18" s="77" t="s">
        <v>506</v>
      </c>
      <c r="H18" s="77" t="s">
        <v>74</v>
      </c>
      <c r="I18" s="77" t="s">
        <v>75</v>
      </c>
      <c r="J18" s="94">
        <v>46083.518055555556</v>
      </c>
      <c r="K18" s="94">
        <v>46083.518750000003</v>
      </c>
      <c r="L18" s="94">
        <v>46083.519444444442</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8" t="str">
        <f t="shared" ca="1" si="0"/>
        <v/>
      </c>
      <c r="Q18" s="88" t="str">
        <f t="shared" ca="1" si="1"/>
        <v/>
      </c>
    </row>
    <row r="19" spans="1:17" ht="69" x14ac:dyDescent="0.3">
      <c r="A19" s="93">
        <v>17</v>
      </c>
      <c r="B19" s="77" t="s">
        <v>507</v>
      </c>
      <c r="C19" s="77" t="s">
        <v>70</v>
      </c>
      <c r="D19" s="77" t="s">
        <v>465</v>
      </c>
      <c r="E19" s="77" t="s">
        <v>356</v>
      </c>
      <c r="F19" s="77" t="s">
        <v>469</v>
      </c>
      <c r="G19" s="77" t="s">
        <v>508</v>
      </c>
      <c r="H19" s="77" t="s">
        <v>74</v>
      </c>
      <c r="I19" s="77" t="s">
        <v>75</v>
      </c>
      <c r="J19" s="94">
        <v>46083.625</v>
      </c>
      <c r="K19" s="94">
        <v>46083.625694444447</v>
      </c>
      <c r="L19" s="94">
        <v>46083.625694444447</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0"/>
        <v/>
      </c>
      <c r="Q19" s="88" t="str">
        <f t="shared" ca="1" si="1"/>
        <v/>
      </c>
    </row>
    <row r="20" spans="1:17" ht="41.4" x14ac:dyDescent="0.3">
      <c r="A20" s="93">
        <v>18</v>
      </c>
      <c r="B20" s="77" t="s">
        <v>509</v>
      </c>
      <c r="C20" s="77" t="s">
        <v>70</v>
      </c>
      <c r="D20" s="77" t="s">
        <v>465</v>
      </c>
      <c r="E20" s="77" t="s">
        <v>356</v>
      </c>
      <c r="F20" s="77" t="s">
        <v>469</v>
      </c>
      <c r="G20" s="77" t="s">
        <v>510</v>
      </c>
      <c r="H20" s="77" t="s">
        <v>74</v>
      </c>
      <c r="I20" s="77" t="s">
        <v>75</v>
      </c>
      <c r="J20" s="94">
        <v>46083.64166666667</v>
      </c>
      <c r="K20" s="94">
        <v>46083.64166666667</v>
      </c>
      <c r="L20" s="94">
        <v>46083.64166666667</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0"/>
        <v/>
      </c>
      <c r="Q20" s="88" t="str">
        <f t="shared" ca="1" si="1"/>
        <v/>
      </c>
    </row>
    <row r="21" spans="1:17" ht="317.39999999999998" customHeight="1" x14ac:dyDescent="0.3">
      <c r="A21" s="93">
        <v>19</v>
      </c>
      <c r="B21" s="77" t="s">
        <v>511</v>
      </c>
      <c r="C21" s="77" t="s">
        <v>70</v>
      </c>
      <c r="D21" s="77" t="s">
        <v>477</v>
      </c>
      <c r="E21" s="77" t="s">
        <v>356</v>
      </c>
      <c r="F21" s="77" t="s">
        <v>478</v>
      </c>
      <c r="G21" s="77" t="s">
        <v>512</v>
      </c>
      <c r="H21" s="77" t="s">
        <v>74</v>
      </c>
      <c r="I21" s="77" t="s">
        <v>75</v>
      </c>
      <c r="J21" s="94">
        <v>46083.644444444442</v>
      </c>
      <c r="K21" s="94">
        <v>46083.645833333336</v>
      </c>
      <c r="L21" s="94">
        <v>46083.645833333336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0"/>
        <v/>
      </c>
      <c r="Q21" s="88" t="str">
        <f t="shared" ca="1" si="1"/>
        <v/>
      </c>
    </row>
    <row r="22" spans="1:17" ht="55.2" x14ac:dyDescent="0.3">
      <c r="A22" s="93">
        <v>20</v>
      </c>
      <c r="B22" s="77" t="s">
        <v>513</v>
      </c>
      <c r="C22" s="77" t="s">
        <v>70</v>
      </c>
      <c r="D22" s="77" t="s">
        <v>465</v>
      </c>
      <c r="E22" s="77" t="s">
        <v>356</v>
      </c>
      <c r="F22" s="77" t="s">
        <v>469</v>
      </c>
      <c r="G22" s="77" t="s">
        <v>514</v>
      </c>
      <c r="H22" s="77" t="s">
        <v>74</v>
      </c>
      <c r="I22" s="77" t="s">
        <v>75</v>
      </c>
      <c r="J22" s="94">
        <v>46083.650694444441</v>
      </c>
      <c r="K22" s="94">
        <v>46083.651388888888</v>
      </c>
      <c r="L22" s="94">
        <v>46083.652083333334</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8" t="str">
        <f t="shared" ca="1" si="0"/>
        <v/>
      </c>
      <c r="Q22" s="88" t="str">
        <f t="shared" ca="1" si="1"/>
        <v/>
      </c>
    </row>
    <row r="23" spans="1:17" ht="55.2" x14ac:dyDescent="0.3">
      <c r="A23" s="93">
        <v>21</v>
      </c>
      <c r="B23" s="77" t="s">
        <v>515</v>
      </c>
      <c r="C23" s="77" t="s">
        <v>70</v>
      </c>
      <c r="D23" s="77" t="s">
        <v>477</v>
      </c>
      <c r="E23" s="77" t="s">
        <v>356</v>
      </c>
      <c r="F23" s="77" t="s">
        <v>478</v>
      </c>
      <c r="G23" s="77" t="s">
        <v>516</v>
      </c>
      <c r="H23" s="77" t="s">
        <v>74</v>
      </c>
      <c r="I23" s="77" t="s">
        <v>75</v>
      </c>
      <c r="J23" s="94">
        <v>46083.67083333333</v>
      </c>
      <c r="K23" s="94">
        <v>46083.671527777777</v>
      </c>
      <c r="L23" s="94">
        <v>46083.671527777777</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8" t="str">
        <f t="shared" ca="1" si="0"/>
        <v/>
      </c>
      <c r="Q23" s="88" t="str">
        <f t="shared" ca="1" si="1"/>
        <v/>
      </c>
    </row>
    <row r="24" spans="1:17" ht="55.2" x14ac:dyDescent="0.3">
      <c r="A24" s="93">
        <v>22</v>
      </c>
      <c r="B24" s="77" t="s">
        <v>517</v>
      </c>
      <c r="C24" s="77" t="s">
        <v>70</v>
      </c>
      <c r="D24" s="77" t="s">
        <v>465</v>
      </c>
      <c r="E24" s="77" t="s">
        <v>356</v>
      </c>
      <c r="F24" s="77" t="s">
        <v>518</v>
      </c>
      <c r="G24" s="77" t="s">
        <v>519</v>
      </c>
      <c r="H24" s="77" t="s">
        <v>74</v>
      </c>
      <c r="I24" s="77" t="s">
        <v>75</v>
      </c>
      <c r="J24" s="94">
        <v>46083.674305555556</v>
      </c>
      <c r="K24" s="94">
        <v>46083.675000000003</v>
      </c>
      <c r="L24" s="94">
        <v>46083.675000000003</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0"/>
        <v/>
      </c>
      <c r="Q24" s="88" t="str">
        <f t="shared" ca="1" si="1"/>
        <v/>
      </c>
    </row>
    <row r="25" spans="1:17" ht="124.2" customHeight="1" x14ac:dyDescent="0.3">
      <c r="A25" s="93">
        <v>23</v>
      </c>
      <c r="B25" s="77" t="s">
        <v>520</v>
      </c>
      <c r="C25" s="77" t="s">
        <v>70</v>
      </c>
      <c r="D25" s="77" t="s">
        <v>477</v>
      </c>
      <c r="E25" s="77" t="s">
        <v>356</v>
      </c>
      <c r="F25" s="77" t="s">
        <v>88</v>
      </c>
      <c r="G25" s="77" t="s">
        <v>521</v>
      </c>
      <c r="H25" s="77" t="s">
        <v>74</v>
      </c>
      <c r="I25" s="77" t="s">
        <v>75</v>
      </c>
      <c r="J25" s="94">
        <v>46083.6875</v>
      </c>
      <c r="K25" s="94">
        <v>46083.69027777778</v>
      </c>
      <c r="L25" s="94">
        <v>46083.69027777778</v>
      </c>
      <c r="M25" s="93"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8" t="str">
        <f t="shared" ca="1" si="0"/>
        <v/>
      </c>
      <c r="Q25" s="88" t="str">
        <f t="shared" ca="1" si="1"/>
        <v/>
      </c>
    </row>
    <row r="26" spans="1:17" ht="41.4" x14ac:dyDescent="0.3">
      <c r="A26" s="93">
        <v>24</v>
      </c>
      <c r="B26" s="77" t="s">
        <v>522</v>
      </c>
      <c r="C26" s="77" t="s">
        <v>70</v>
      </c>
      <c r="D26" s="77" t="s">
        <v>465</v>
      </c>
      <c r="E26" s="77" t="s">
        <v>356</v>
      </c>
      <c r="F26" s="77" t="s">
        <v>469</v>
      </c>
      <c r="G26" s="77" t="s">
        <v>523</v>
      </c>
      <c r="H26" s="77" t="s">
        <v>74</v>
      </c>
      <c r="I26" s="77" t="s">
        <v>75</v>
      </c>
      <c r="J26" s="94">
        <v>46083.692361111112</v>
      </c>
      <c r="K26" s="94">
        <v>46083.694444444445</v>
      </c>
      <c r="L26" s="94">
        <v>46083.695138888892</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8" t="str">
        <f t="shared" ca="1" si="0"/>
        <v/>
      </c>
      <c r="Q26" s="88" t="str">
        <f t="shared" ca="1" si="1"/>
        <v/>
      </c>
    </row>
    <row r="27" spans="1:17" ht="55.2" x14ac:dyDescent="0.3">
      <c r="A27" s="93">
        <v>25</v>
      </c>
      <c r="B27" s="77" t="s">
        <v>524</v>
      </c>
      <c r="C27" s="77" t="s">
        <v>70</v>
      </c>
      <c r="D27" s="77" t="s">
        <v>477</v>
      </c>
      <c r="E27" s="77" t="s">
        <v>356</v>
      </c>
      <c r="F27" s="77" t="s">
        <v>88</v>
      </c>
      <c r="G27" s="77" t="s">
        <v>525</v>
      </c>
      <c r="H27" s="77" t="s">
        <v>74</v>
      </c>
      <c r="I27" s="77" t="s">
        <v>75</v>
      </c>
      <c r="J27" s="94">
        <v>46094.509027777778</v>
      </c>
      <c r="K27" s="94">
        <v>46094.525694444441</v>
      </c>
      <c r="L27" s="94">
        <v>46094.6</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8" t="str">
        <f t="shared" ca="1" si="0"/>
        <v/>
      </c>
      <c r="Q27" s="88" t="str">
        <f t="shared" ca="1" si="1"/>
        <v/>
      </c>
    </row>
    <row r="28" spans="1:17" ht="27.6" x14ac:dyDescent="0.3">
      <c r="A28" s="93">
        <v>26</v>
      </c>
      <c r="B28" s="77" t="s">
        <v>526</v>
      </c>
      <c r="C28" s="77" t="s">
        <v>70</v>
      </c>
      <c r="D28" s="77" t="s">
        <v>477</v>
      </c>
      <c r="E28" s="77" t="s">
        <v>356</v>
      </c>
      <c r="F28" s="77" t="s">
        <v>88</v>
      </c>
      <c r="G28" s="77" t="s">
        <v>527</v>
      </c>
      <c r="H28" s="77" t="s">
        <v>74</v>
      </c>
      <c r="I28" s="77" t="s">
        <v>75</v>
      </c>
      <c r="J28" s="94">
        <v>46094.509722222225</v>
      </c>
      <c r="K28" s="94">
        <v>46094.531944444447</v>
      </c>
      <c r="L28" s="94">
        <v>46094.6</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0"/>
        <v/>
      </c>
      <c r="Q28" s="88" t="str">
        <f t="shared" ca="1" si="1"/>
        <v/>
      </c>
    </row>
    <row r="29" spans="1:17" ht="27.6" x14ac:dyDescent="0.3">
      <c r="A29" s="93">
        <v>27</v>
      </c>
      <c r="B29" s="77" t="s">
        <v>528</v>
      </c>
      <c r="C29" s="77" t="s">
        <v>70</v>
      </c>
      <c r="D29" s="77" t="s">
        <v>477</v>
      </c>
      <c r="E29" s="77" t="s">
        <v>356</v>
      </c>
      <c r="F29" s="77" t="s">
        <v>88</v>
      </c>
      <c r="G29" s="77" t="s">
        <v>529</v>
      </c>
      <c r="H29" s="77" t="s">
        <v>74</v>
      </c>
      <c r="I29" s="77" t="s">
        <v>75</v>
      </c>
      <c r="J29" s="94">
        <v>46094.510416666664</v>
      </c>
      <c r="K29" s="94">
        <v>46094.675694444442</v>
      </c>
      <c r="L29" s="94">
        <v>46094.678472222222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0"/>
        <v/>
      </c>
      <c r="Q29" s="88" t="str">
        <f t="shared" ca="1" si="1"/>
        <v/>
      </c>
    </row>
    <row r="30" spans="1:17" ht="41.4" x14ac:dyDescent="0.3">
      <c r="A30" s="93">
        <v>28</v>
      </c>
      <c r="B30" s="77" t="s">
        <v>530</v>
      </c>
      <c r="C30" s="77" t="s">
        <v>70</v>
      </c>
      <c r="D30" s="77" t="s">
        <v>477</v>
      </c>
      <c r="E30" s="77" t="s">
        <v>356</v>
      </c>
      <c r="F30" s="77" t="s">
        <v>88</v>
      </c>
      <c r="G30" s="77" t="s">
        <v>531</v>
      </c>
      <c r="H30" s="77" t="s">
        <v>74</v>
      </c>
      <c r="I30" s="77" t="s">
        <v>75</v>
      </c>
      <c r="J30" s="94">
        <v>46094.510416666664</v>
      </c>
      <c r="K30" s="94">
        <v>46094.675000000003</v>
      </c>
      <c r="L30" s="94">
        <v>46094.675000000003</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0"/>
        <v/>
      </c>
      <c r="Q30" s="88" t="str">
        <f t="shared" ca="1" si="1"/>
        <v/>
      </c>
    </row>
    <row r="31" spans="1:17" ht="41.4" x14ac:dyDescent="0.3">
      <c r="A31" s="93">
        <v>29</v>
      </c>
      <c r="B31" s="77" t="s">
        <v>532</v>
      </c>
      <c r="C31" s="77" t="s">
        <v>70</v>
      </c>
      <c r="D31" s="77" t="s">
        <v>477</v>
      </c>
      <c r="E31" s="77" t="s">
        <v>356</v>
      </c>
      <c r="F31" s="77" t="s">
        <v>88</v>
      </c>
      <c r="G31" s="77" t="s">
        <v>533</v>
      </c>
      <c r="H31" s="77" t="s">
        <v>74</v>
      </c>
      <c r="I31" s="77" t="s">
        <v>75</v>
      </c>
      <c r="J31" s="94">
        <v>46094.511111111111</v>
      </c>
      <c r="K31" s="94">
        <v>46094.674305555556</v>
      </c>
      <c r="L31" s="94">
        <v>46094.674305555556</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0"/>
        <v/>
      </c>
      <c r="Q31" s="88" t="str">
        <f t="shared" ca="1" si="1"/>
        <v/>
      </c>
    </row>
    <row r="32" spans="1:17" ht="55.2" x14ac:dyDescent="0.3">
      <c r="A32" s="93">
        <v>30</v>
      </c>
      <c r="B32" s="77" t="s">
        <v>534</v>
      </c>
      <c r="C32" s="77" t="s">
        <v>70</v>
      </c>
      <c r="D32" s="77" t="s">
        <v>477</v>
      </c>
      <c r="E32" s="77" t="s">
        <v>356</v>
      </c>
      <c r="F32" s="77" t="s">
        <v>88</v>
      </c>
      <c r="G32" s="77" t="s">
        <v>535</v>
      </c>
      <c r="H32" s="77" t="s">
        <v>74</v>
      </c>
      <c r="I32" s="77" t="s">
        <v>75</v>
      </c>
      <c r="J32" s="94">
        <v>46094.512499999997</v>
      </c>
      <c r="K32" s="94">
        <v>46094.673611111109</v>
      </c>
      <c r="L32" s="94">
        <v>46094.674305555556</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0"/>
        <v/>
      </c>
      <c r="Q32" s="88" t="str">
        <f t="shared" ca="1" si="1"/>
        <v/>
      </c>
    </row>
    <row r="33" spans="1:17" ht="55.2" x14ac:dyDescent="0.3">
      <c r="A33" s="93">
        <v>31</v>
      </c>
      <c r="B33" s="77" t="s">
        <v>536</v>
      </c>
      <c r="C33" s="77" t="s">
        <v>70</v>
      </c>
      <c r="D33" s="77" t="s">
        <v>477</v>
      </c>
      <c r="E33" s="77" t="s">
        <v>356</v>
      </c>
      <c r="F33" s="77" t="s">
        <v>88</v>
      </c>
      <c r="G33" s="77" t="s">
        <v>537</v>
      </c>
      <c r="H33" s="77" t="s">
        <v>74</v>
      </c>
      <c r="I33" s="77" t="s">
        <v>75</v>
      </c>
      <c r="J33" s="94">
        <v>46094.513194444444</v>
      </c>
      <c r="K33" s="94">
        <v>46094.659722222219</v>
      </c>
      <c r="L33" s="94">
        <v>46094.661111111112</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0"/>
        <v/>
      </c>
      <c r="Q33" s="88" t="str">
        <f t="shared" ca="1" si="1"/>
        <v/>
      </c>
    </row>
    <row r="34" spans="1:17" ht="165.6" x14ac:dyDescent="0.3">
      <c r="A34" s="93">
        <v>32</v>
      </c>
      <c r="B34" s="77" t="s">
        <v>538</v>
      </c>
      <c r="C34" s="77" t="s">
        <v>70</v>
      </c>
      <c r="D34" s="77" t="s">
        <v>465</v>
      </c>
      <c r="E34" s="77" t="s">
        <v>356</v>
      </c>
      <c r="F34" s="77" t="s">
        <v>539</v>
      </c>
      <c r="G34" s="77" t="s">
        <v>540</v>
      </c>
      <c r="H34" s="77" t="s">
        <v>74</v>
      </c>
      <c r="I34" s="77" t="s">
        <v>75</v>
      </c>
      <c r="J34" s="94">
        <v>46099.693055555559</v>
      </c>
      <c r="K34" s="94">
        <v>46099.894444444442</v>
      </c>
      <c r="L34" s="94">
        <v>46106.388194444444</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0"/>
        <v/>
      </c>
      <c r="Q34" s="88" t="str">
        <f t="shared" ca="1" si="1"/>
        <v/>
      </c>
    </row>
    <row r="35" spans="1:17" ht="41.4" x14ac:dyDescent="0.3">
      <c r="A35" s="93">
        <v>33</v>
      </c>
      <c r="B35" s="77" t="s">
        <v>541</v>
      </c>
      <c r="C35" s="77" t="s">
        <v>70</v>
      </c>
      <c r="D35" s="77" t="s">
        <v>465</v>
      </c>
      <c r="E35" s="77" t="s">
        <v>356</v>
      </c>
      <c r="F35" s="77" t="s">
        <v>542</v>
      </c>
      <c r="G35" s="77" t="s">
        <v>543</v>
      </c>
      <c r="H35" s="77" t="s">
        <v>74</v>
      </c>
      <c r="I35" s="77" t="s">
        <v>75</v>
      </c>
      <c r="J35" s="94">
        <v>46099.695138888892</v>
      </c>
      <c r="K35" s="94">
        <v>46099.895138888889</v>
      </c>
      <c r="L35" s="94">
        <v>46106.387499999997</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0"/>
        <v/>
      </c>
      <c r="Q35" s="88" t="str">
        <f t="shared" ca="1" si="1"/>
        <v/>
      </c>
    </row>
    <row r="36" spans="1:17" ht="179.4" x14ac:dyDescent="0.3">
      <c r="A36" s="93">
        <v>34</v>
      </c>
      <c r="B36" s="77" t="s">
        <v>544</v>
      </c>
      <c r="C36" s="79"/>
      <c r="D36" s="77" t="s">
        <v>487</v>
      </c>
      <c r="E36" s="77" t="s">
        <v>356</v>
      </c>
      <c r="F36" s="77" t="s">
        <v>545</v>
      </c>
      <c r="G36" s="77" t="s">
        <v>546</v>
      </c>
      <c r="H36" s="77" t="s">
        <v>74</v>
      </c>
      <c r="I36" s="77" t="s">
        <v>75</v>
      </c>
      <c r="J36" s="94">
        <v>46099.696527777778</v>
      </c>
      <c r="K36" s="79"/>
      <c r="L36" s="79"/>
      <c r="M36" s="93"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-83</v>
      </c>
      <c r="P36" s="88">
        <f t="shared" ca="1" si="0"/>
        <v>83</v>
      </c>
      <c r="Q36" s="88" t="str">
        <f t="shared" ca="1" si="1"/>
        <v>&gt;60 Days</v>
      </c>
    </row>
    <row r="37" spans="1:17" ht="41.4" x14ac:dyDescent="0.3">
      <c r="A37" s="93">
        <v>35</v>
      </c>
      <c r="B37" s="77" t="s">
        <v>547</v>
      </c>
      <c r="C37" s="77" t="s">
        <v>70</v>
      </c>
      <c r="D37" s="77" t="s">
        <v>548</v>
      </c>
      <c r="E37" s="77" t="s">
        <v>356</v>
      </c>
      <c r="F37" s="77" t="s">
        <v>549</v>
      </c>
      <c r="G37" s="77" t="s">
        <v>550</v>
      </c>
      <c r="H37" s="77" t="s">
        <v>74</v>
      </c>
      <c r="I37" s="77" t="s">
        <v>75</v>
      </c>
      <c r="J37" s="94">
        <v>46099.699305555558</v>
      </c>
      <c r="K37" s="94">
        <v>46099.894444444442</v>
      </c>
      <c r="L37" s="94">
        <v>46106.387499999997</v>
      </c>
      <c r="M37" s="93"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0"/>
        <v/>
      </c>
      <c r="Q37" s="88" t="str">
        <f t="shared" ca="1" si="1"/>
        <v/>
      </c>
    </row>
    <row r="38" spans="1:17" ht="96.6" x14ac:dyDescent="0.3">
      <c r="A38" s="93">
        <v>36</v>
      </c>
      <c r="B38" s="77" t="s">
        <v>551</v>
      </c>
      <c r="C38" s="79"/>
      <c r="D38" s="77" t="s">
        <v>552</v>
      </c>
      <c r="E38" s="77" t="s">
        <v>356</v>
      </c>
      <c r="F38" s="77" t="s">
        <v>553</v>
      </c>
      <c r="G38" s="77" t="s">
        <v>554</v>
      </c>
      <c r="H38" s="77" t="s">
        <v>74</v>
      </c>
      <c r="I38" s="77" t="s">
        <v>75</v>
      </c>
      <c r="J38" s="94">
        <v>46099.701388888891</v>
      </c>
      <c r="K38" s="79"/>
      <c r="L38" s="79"/>
      <c r="M38" s="93"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-83</v>
      </c>
      <c r="P38" s="88">
        <f t="shared" ca="1" si="0"/>
        <v>83</v>
      </c>
      <c r="Q38" s="88" t="str">
        <f t="shared" ca="1" si="1"/>
        <v>&gt;60 Days</v>
      </c>
    </row>
    <row r="39" spans="1:17" ht="27.6" x14ac:dyDescent="0.3">
      <c r="A39" s="93">
        <v>37</v>
      </c>
      <c r="B39" s="77" t="s">
        <v>555</v>
      </c>
      <c r="C39" s="79"/>
      <c r="D39" s="77" t="s">
        <v>465</v>
      </c>
      <c r="E39" s="77" t="s">
        <v>356</v>
      </c>
      <c r="F39" s="77" t="s">
        <v>124</v>
      </c>
      <c r="G39" s="77" t="s">
        <v>556</v>
      </c>
      <c r="H39" s="77" t="s">
        <v>74</v>
      </c>
      <c r="I39" s="77" t="s">
        <v>75</v>
      </c>
      <c r="J39" s="94">
        <v>46099.702777777777</v>
      </c>
      <c r="K39" s="79"/>
      <c r="L39" s="79"/>
      <c r="M39" s="93"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-83</v>
      </c>
      <c r="P39" s="88">
        <f t="shared" ca="1" si="0"/>
        <v>83</v>
      </c>
      <c r="Q39" s="88" t="str">
        <f t="shared" ca="1" si="1"/>
        <v>&gt;60 Days</v>
      </c>
    </row>
    <row r="40" spans="1:17" ht="27.6" x14ac:dyDescent="0.3">
      <c r="A40" s="93">
        <v>38</v>
      </c>
      <c r="B40" s="77" t="s">
        <v>557</v>
      </c>
      <c r="C40" s="79"/>
      <c r="D40" s="77" t="s">
        <v>548</v>
      </c>
      <c r="E40" s="77" t="s">
        <v>356</v>
      </c>
      <c r="F40" s="77" t="s">
        <v>558</v>
      </c>
      <c r="G40" s="77" t="s">
        <v>559</v>
      </c>
      <c r="H40" s="77" t="s">
        <v>74</v>
      </c>
      <c r="I40" s="77" t="s">
        <v>75</v>
      </c>
      <c r="J40" s="94">
        <v>46099.703472222223</v>
      </c>
      <c r="K40" s="79"/>
      <c r="L40" s="79"/>
      <c r="M40" s="93"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-83</v>
      </c>
      <c r="P40" s="88">
        <f t="shared" ca="1" si="0"/>
        <v>83</v>
      </c>
      <c r="Q40" s="88" t="str">
        <f t="shared" ca="1" si="1"/>
        <v>&gt;60 Days</v>
      </c>
    </row>
    <row r="41" spans="1:17" ht="27.6" x14ac:dyDescent="0.3">
      <c r="A41" s="93">
        <v>39</v>
      </c>
      <c r="B41" s="77" t="s">
        <v>560</v>
      </c>
      <c r="C41" s="79"/>
      <c r="D41" s="77" t="s">
        <v>465</v>
      </c>
      <c r="E41" s="77" t="s">
        <v>356</v>
      </c>
      <c r="F41" s="77" t="s">
        <v>561</v>
      </c>
      <c r="G41" s="77" t="s">
        <v>562</v>
      </c>
      <c r="H41" s="77" t="s">
        <v>74</v>
      </c>
      <c r="I41" s="77" t="s">
        <v>75</v>
      </c>
      <c r="J41" s="94">
        <v>46099.70416666667</v>
      </c>
      <c r="K41" s="79"/>
      <c r="L41" s="79"/>
      <c r="M41" s="93"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-83</v>
      </c>
      <c r="P41" s="88">
        <f t="shared" ca="1" si="0"/>
        <v>83</v>
      </c>
      <c r="Q41" s="88" t="str">
        <f t="shared" ca="1" si="1"/>
        <v>&gt;60 Days</v>
      </c>
    </row>
    <row r="42" spans="1:17" ht="55.2" x14ac:dyDescent="0.3">
      <c r="A42" s="93">
        <v>40</v>
      </c>
      <c r="B42" s="77" t="s">
        <v>563</v>
      </c>
      <c r="C42" s="77" t="s">
        <v>70</v>
      </c>
      <c r="D42" s="77" t="s">
        <v>477</v>
      </c>
      <c r="E42" s="77" t="s">
        <v>356</v>
      </c>
      <c r="F42" s="77" t="s">
        <v>564</v>
      </c>
      <c r="G42" s="77" t="s">
        <v>565</v>
      </c>
      <c r="H42" s="77" t="s">
        <v>74</v>
      </c>
      <c r="I42" s="77" t="s">
        <v>75</v>
      </c>
      <c r="J42" s="94">
        <v>46099.705555555556</v>
      </c>
      <c r="K42" s="79"/>
      <c r="L42" s="79"/>
      <c r="M42" s="93"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-83</v>
      </c>
      <c r="P42" s="88">
        <f t="shared" ca="1" si="0"/>
        <v>83</v>
      </c>
      <c r="Q42" s="88" t="str">
        <f t="shared" ca="1" si="1"/>
        <v>&gt;60 Days</v>
      </c>
    </row>
    <row r="43" spans="1:17" ht="82.8" x14ac:dyDescent="0.3">
      <c r="A43" s="93">
        <v>41</v>
      </c>
      <c r="B43" s="77" t="s">
        <v>567</v>
      </c>
      <c r="C43" s="77" t="s">
        <v>70</v>
      </c>
      <c r="D43" s="77" t="s">
        <v>465</v>
      </c>
      <c r="E43" s="77" t="s">
        <v>356</v>
      </c>
      <c r="F43" s="77" t="s">
        <v>568</v>
      </c>
      <c r="G43" s="77" t="s">
        <v>569</v>
      </c>
      <c r="H43" s="77" t="s">
        <v>74</v>
      </c>
      <c r="I43" s="77" t="s">
        <v>75</v>
      </c>
      <c r="J43" s="94">
        <v>46099.707638888889</v>
      </c>
      <c r="K43" s="94">
        <v>46099.893750000003</v>
      </c>
      <c r="L43" s="94">
        <v>46106.387499999997</v>
      </c>
      <c r="M43" s="93"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0"/>
        <v/>
      </c>
      <c r="Q43" s="88" t="str">
        <f t="shared" ca="1" si="1"/>
        <v/>
      </c>
    </row>
    <row r="44" spans="1:17" ht="41.4" x14ac:dyDescent="0.3">
      <c r="A44" s="93">
        <v>42</v>
      </c>
      <c r="B44" s="77" t="s">
        <v>570</v>
      </c>
      <c r="C44" s="79"/>
      <c r="D44" s="77" t="s">
        <v>465</v>
      </c>
      <c r="E44" s="77" t="s">
        <v>356</v>
      </c>
      <c r="F44" s="77" t="s">
        <v>571</v>
      </c>
      <c r="G44" s="77" t="s">
        <v>572</v>
      </c>
      <c r="H44" s="77" t="s">
        <v>74</v>
      </c>
      <c r="I44" s="77" t="s">
        <v>75</v>
      </c>
      <c r="J44" s="94">
        <v>46099.709027777775</v>
      </c>
      <c r="K44" s="79"/>
      <c r="L44" s="79"/>
      <c r="M44" s="93" t="s">
        <v>77</v>
      </c>
      <c r="N44" s="59">
        <f>IF(ISBLANK(J44),"",IF(OR(M44="Completed",M44="Closed"),"",IF(H44="Issue",IF(I44="High",WORKDAY(J44,2,DATA!A43:A71),IF(I44="Medium",WORKDAY(J44,14,DATA!A43:A71),IF(OR(I44="Low"),WORKDAY(J44,30,DATA!A43:A71),""))),
"")
))</f>
        <v>46119</v>
      </c>
      <c r="O44" s="60">
        <f ca="1">IF(OR(ISBLANK(#REF!), M44="Completed", M44="Closed", H44&lt;&gt;"Issue"), "",
   (NETWORKDAYS.INTL(TODAY(), N44, 1, DATA!A43:A71) - 1))</f>
        <v>-83</v>
      </c>
      <c r="P44" s="88">
        <f t="shared" ca="1" si="0"/>
        <v>83</v>
      </c>
      <c r="Q44" s="88" t="str">
        <f t="shared" ca="1" si="1"/>
        <v>&gt;60 Days</v>
      </c>
    </row>
    <row r="45" spans="1:17" ht="96.6" x14ac:dyDescent="0.3">
      <c r="A45" s="93">
        <v>43</v>
      </c>
      <c r="B45" s="77" t="s">
        <v>573</v>
      </c>
      <c r="C45" s="77" t="s">
        <v>70</v>
      </c>
      <c r="D45" s="77" t="s">
        <v>477</v>
      </c>
      <c r="E45" s="77" t="s">
        <v>356</v>
      </c>
      <c r="F45" s="77" t="s">
        <v>574</v>
      </c>
      <c r="G45" s="77" t="s">
        <v>575</v>
      </c>
      <c r="H45" s="77" t="s">
        <v>74</v>
      </c>
      <c r="I45" s="77" t="s">
        <v>75</v>
      </c>
      <c r="J45" s="94">
        <v>46099.711111111108</v>
      </c>
      <c r="K45" s="79"/>
      <c r="L45" s="79"/>
      <c r="M45" s="93"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-83</v>
      </c>
      <c r="P45" s="88">
        <f t="shared" ca="1" si="0"/>
        <v>83</v>
      </c>
      <c r="Q45" s="88" t="str">
        <f t="shared" ca="1" si="1"/>
        <v>&gt;60 Days</v>
      </c>
    </row>
    <row r="46" spans="1:17" ht="96.6" x14ac:dyDescent="0.3">
      <c r="A46" s="93">
        <v>44</v>
      </c>
      <c r="B46" s="77" t="s">
        <v>576</v>
      </c>
      <c r="C46" s="79"/>
      <c r="D46" s="77" t="s">
        <v>465</v>
      </c>
      <c r="E46" s="77" t="s">
        <v>356</v>
      </c>
      <c r="F46" s="77" t="s">
        <v>577</v>
      </c>
      <c r="G46" s="77" t="s">
        <v>578</v>
      </c>
      <c r="H46" s="77" t="s">
        <v>74</v>
      </c>
      <c r="I46" s="77" t="s">
        <v>75</v>
      </c>
      <c r="J46" s="94">
        <v>46099.713888888888</v>
      </c>
      <c r="K46" s="79"/>
      <c r="L46" s="79"/>
      <c r="M46" s="93"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-83</v>
      </c>
      <c r="P46" s="88">
        <f t="shared" ca="1" si="0"/>
        <v>83</v>
      </c>
      <c r="Q46" s="88" t="str">
        <f t="shared" ca="1" si="1"/>
        <v>&gt;60 Days</v>
      </c>
    </row>
    <row r="47" spans="1:17" ht="124.2" x14ac:dyDescent="0.3">
      <c r="A47" s="93">
        <v>45</v>
      </c>
      <c r="B47" s="77" t="s">
        <v>579</v>
      </c>
      <c r="C47" s="77" t="s">
        <v>70</v>
      </c>
      <c r="D47" s="77" t="s">
        <v>477</v>
      </c>
      <c r="E47" s="77" t="s">
        <v>356</v>
      </c>
      <c r="F47" s="77" t="s">
        <v>580</v>
      </c>
      <c r="G47" s="77" t="s">
        <v>581</v>
      </c>
      <c r="H47" s="77" t="s">
        <v>74</v>
      </c>
      <c r="I47" s="77" t="s">
        <v>75</v>
      </c>
      <c r="J47" s="94">
        <v>46099.715277777781</v>
      </c>
      <c r="K47" s="94">
        <v>46099.893055555556</v>
      </c>
      <c r="L47" s="94">
        <v>46106.387499999997</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0"/>
        <v/>
      </c>
      <c r="Q47" s="88" t="str">
        <f t="shared" ca="1" si="1"/>
        <v/>
      </c>
    </row>
    <row r="48" spans="1:17" ht="41.4" x14ac:dyDescent="0.3">
      <c r="A48" s="93">
        <v>46</v>
      </c>
      <c r="B48" s="77" t="s">
        <v>582</v>
      </c>
      <c r="C48" s="77" t="s">
        <v>70</v>
      </c>
      <c r="D48" s="77" t="s">
        <v>465</v>
      </c>
      <c r="E48" s="77" t="s">
        <v>356</v>
      </c>
      <c r="F48" s="77" t="s">
        <v>583</v>
      </c>
      <c r="G48" s="77" t="s">
        <v>584</v>
      </c>
      <c r="H48" s="77" t="s">
        <v>74</v>
      </c>
      <c r="I48" s="77" t="s">
        <v>75</v>
      </c>
      <c r="J48" s="94">
        <v>46099.716666666667</v>
      </c>
      <c r="K48" s="94">
        <v>46099.892361111109</v>
      </c>
      <c r="L48" s="94">
        <v>46106.387499999997</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0"/>
        <v/>
      </c>
      <c r="Q48" s="88" t="str">
        <f t="shared" ca="1" si="1"/>
        <v/>
      </c>
    </row>
    <row r="49" spans="1:17" ht="138" x14ac:dyDescent="0.3">
      <c r="A49" s="93">
        <v>47</v>
      </c>
      <c r="B49" s="77" t="s">
        <v>585</v>
      </c>
      <c r="C49" s="77" t="s">
        <v>70</v>
      </c>
      <c r="D49" s="77" t="s">
        <v>477</v>
      </c>
      <c r="E49" s="77" t="s">
        <v>356</v>
      </c>
      <c r="F49" s="77" t="s">
        <v>586</v>
      </c>
      <c r="G49" s="77" t="s">
        <v>587</v>
      </c>
      <c r="H49" s="77" t="s">
        <v>74</v>
      </c>
      <c r="I49" s="77" t="s">
        <v>75</v>
      </c>
      <c r="J49" s="94">
        <v>46099.718055555553</v>
      </c>
      <c r="K49" s="94">
        <v>46099.892361111109</v>
      </c>
      <c r="L49" s="94">
        <v>46106.387499999997</v>
      </c>
      <c r="M49" s="93"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0"/>
        <v/>
      </c>
      <c r="Q49" s="88" t="str">
        <f t="shared" ca="1" si="1"/>
        <v/>
      </c>
    </row>
    <row r="50" spans="1:17" ht="55.2" x14ac:dyDescent="0.3">
      <c r="A50" s="93">
        <v>48</v>
      </c>
      <c r="B50" s="77" t="s">
        <v>588</v>
      </c>
      <c r="C50" s="77" t="s">
        <v>70</v>
      </c>
      <c r="D50" s="77" t="s">
        <v>465</v>
      </c>
      <c r="E50" s="77" t="s">
        <v>356</v>
      </c>
      <c r="F50" s="77" t="s">
        <v>466</v>
      </c>
      <c r="G50" s="77" t="s">
        <v>589</v>
      </c>
      <c r="H50" s="77" t="s">
        <v>74</v>
      </c>
      <c r="I50" s="77" t="s">
        <v>75</v>
      </c>
      <c r="J50" s="94">
        <v>46099.720138888886</v>
      </c>
      <c r="K50" s="94">
        <v>46099.89166666667</v>
      </c>
      <c r="L50" s="94">
        <v>46106.387499999997</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0"/>
        <v/>
      </c>
      <c r="Q50" s="88" t="str">
        <f t="shared" ca="1" si="1"/>
        <v/>
      </c>
    </row>
    <row r="51" spans="1:17" ht="55.2" x14ac:dyDescent="0.3">
      <c r="A51" s="93">
        <v>49</v>
      </c>
      <c r="B51" s="77" t="s">
        <v>590</v>
      </c>
      <c r="C51" s="77" t="s">
        <v>70</v>
      </c>
      <c r="D51" s="77" t="s">
        <v>487</v>
      </c>
      <c r="E51" s="77" t="s">
        <v>356</v>
      </c>
      <c r="F51" s="77" t="s">
        <v>591</v>
      </c>
      <c r="G51" s="77" t="s">
        <v>592</v>
      </c>
      <c r="H51" s="77" t="s">
        <v>74</v>
      </c>
      <c r="I51" s="77" t="s">
        <v>75</v>
      </c>
      <c r="J51" s="94">
        <v>46099.720833333333</v>
      </c>
      <c r="K51" s="94">
        <v>46099.89166666667</v>
      </c>
      <c r="L51" s="94">
        <v>46106.387499999997</v>
      </c>
      <c r="M51" s="93"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0"/>
        <v/>
      </c>
      <c r="Q51" s="88" t="str">
        <f t="shared" ca="1" si="1"/>
        <v/>
      </c>
    </row>
    <row r="52" spans="1:17" ht="96.6" x14ac:dyDescent="0.3">
      <c r="A52" s="93">
        <v>50</v>
      </c>
      <c r="B52" s="77" t="s">
        <v>593</v>
      </c>
      <c r="C52" s="77" t="s">
        <v>70</v>
      </c>
      <c r="D52" s="77" t="s">
        <v>477</v>
      </c>
      <c r="E52" s="77" t="s">
        <v>356</v>
      </c>
      <c r="F52" s="77" t="s">
        <v>594</v>
      </c>
      <c r="G52" s="77" t="s">
        <v>595</v>
      </c>
      <c r="H52" s="77" t="s">
        <v>74</v>
      </c>
      <c r="I52" s="77" t="s">
        <v>75</v>
      </c>
      <c r="J52" s="94">
        <v>46099.722222222219</v>
      </c>
      <c r="K52" s="94">
        <v>46140.652083333334</v>
      </c>
      <c r="L52" s="94">
        <v>46159.879166666666</v>
      </c>
      <c r="M52" s="93"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0"/>
        <v/>
      </c>
      <c r="Q52" s="88" t="str">
        <f t="shared" ca="1" si="1"/>
        <v/>
      </c>
    </row>
    <row r="53" spans="1:17" ht="69" x14ac:dyDescent="0.3">
      <c r="A53" s="93">
        <v>51</v>
      </c>
      <c r="B53" s="77" t="s">
        <v>596</v>
      </c>
      <c r="C53" s="77" t="s">
        <v>70</v>
      </c>
      <c r="D53" s="77" t="s">
        <v>477</v>
      </c>
      <c r="E53" s="77" t="s">
        <v>356</v>
      </c>
      <c r="F53" s="77" t="s">
        <v>597</v>
      </c>
      <c r="G53" s="77" t="s">
        <v>598</v>
      </c>
      <c r="H53" s="77" t="s">
        <v>74</v>
      </c>
      <c r="I53" s="77" t="s">
        <v>75</v>
      </c>
      <c r="J53" s="94">
        <v>46099.722916666666</v>
      </c>
      <c r="K53" s="94">
        <v>46099.890972222223</v>
      </c>
      <c r="L53" s="94">
        <v>46106.387499999997</v>
      </c>
      <c r="M53" s="93"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0"/>
        <v/>
      </c>
      <c r="Q53" s="88" t="str">
        <f t="shared" ca="1" si="1"/>
        <v/>
      </c>
    </row>
    <row r="54" spans="1:17" ht="55.2" x14ac:dyDescent="0.3">
      <c r="A54" s="93">
        <v>52</v>
      </c>
      <c r="B54" s="77" t="s">
        <v>599</v>
      </c>
      <c r="C54" s="79"/>
      <c r="D54" s="77" t="s">
        <v>487</v>
      </c>
      <c r="E54" s="77" t="s">
        <v>356</v>
      </c>
      <c r="F54" s="77" t="s">
        <v>600</v>
      </c>
      <c r="G54" s="77" t="s">
        <v>601</v>
      </c>
      <c r="H54" s="77" t="s">
        <v>74</v>
      </c>
      <c r="I54" s="77" t="s">
        <v>75</v>
      </c>
      <c r="J54" s="94">
        <v>46099.731944444444</v>
      </c>
      <c r="K54" s="79"/>
      <c r="L54" s="79"/>
      <c r="M54" s="93"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-83</v>
      </c>
      <c r="P54" s="88">
        <f t="shared" ca="1" si="0"/>
        <v>83</v>
      </c>
      <c r="Q54" s="88" t="str">
        <f t="shared" ca="1" si="1"/>
        <v>&gt;60 Days</v>
      </c>
    </row>
    <row r="55" spans="1:17" ht="82.8" x14ac:dyDescent="0.3">
      <c r="A55" s="93">
        <v>53</v>
      </c>
      <c r="B55" s="77" t="s">
        <v>602</v>
      </c>
      <c r="C55" s="79"/>
      <c r="D55" s="77" t="s">
        <v>465</v>
      </c>
      <c r="E55" s="77" t="s">
        <v>356</v>
      </c>
      <c r="F55" s="77" t="s">
        <v>466</v>
      </c>
      <c r="G55" s="77" t="s">
        <v>603</v>
      </c>
      <c r="H55" s="77" t="s">
        <v>74</v>
      </c>
      <c r="I55" s="77" t="s">
        <v>75</v>
      </c>
      <c r="J55" s="94">
        <v>46099.732638888891</v>
      </c>
      <c r="K55" s="79"/>
      <c r="L55" s="79"/>
      <c r="M55" s="93" t="s">
        <v>77</v>
      </c>
      <c r="N55" s="59">
        <f>IF(ISBLANK(J55),"",IF(OR(M55="Completed",M55="Closed"),"",IF(H55="Issue",IF(I55="High",WORKDAY(J55,2,DATA!A54:A82),IF(I55="Medium",WORKDAY(J55,14,DATA!A54:A82),IF(OR(I55="Low"),WORKDAY(J55,30,DATA!A54:A82),""))),
"")
))</f>
        <v>46119</v>
      </c>
      <c r="O55" s="60">
        <f ca="1">IF(OR(ISBLANK(#REF!), M55="Completed", M55="Closed", H55&lt;&gt;"Issue"), "",
   (NETWORKDAYS.INTL(TODAY(), N55, 1, DATA!A54:A82) - 1))</f>
        <v>-83</v>
      </c>
      <c r="P55" s="88">
        <f t="shared" ca="1" si="0"/>
        <v>83</v>
      </c>
      <c r="Q55" s="88" t="str">
        <f t="shared" ca="1" si="1"/>
        <v>&gt;60 Days</v>
      </c>
    </row>
    <row r="56" spans="1:17" ht="41.4" x14ac:dyDescent="0.3">
      <c r="A56" s="93">
        <v>54</v>
      </c>
      <c r="B56" s="77" t="s">
        <v>604</v>
      </c>
      <c r="C56" s="77" t="s">
        <v>70</v>
      </c>
      <c r="D56" s="77" t="s">
        <v>477</v>
      </c>
      <c r="E56" s="77" t="s">
        <v>356</v>
      </c>
      <c r="F56" s="77" t="s">
        <v>605</v>
      </c>
      <c r="G56" s="77" t="s">
        <v>606</v>
      </c>
      <c r="H56" s="77" t="s">
        <v>74</v>
      </c>
      <c r="I56" s="77" t="s">
        <v>75</v>
      </c>
      <c r="J56" s="94">
        <v>46099.73333333333</v>
      </c>
      <c r="K56" s="79"/>
      <c r="L56" s="79"/>
      <c r="M56" s="93"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-83</v>
      </c>
      <c r="P56" s="88">
        <f t="shared" ca="1" si="0"/>
        <v>83</v>
      </c>
      <c r="Q56" s="88" t="str">
        <f t="shared" ca="1" si="1"/>
        <v>&gt;60 Days</v>
      </c>
    </row>
    <row r="57" spans="1:17" ht="110.4" customHeight="1" x14ac:dyDescent="0.3">
      <c r="A57" s="93">
        <v>55</v>
      </c>
      <c r="B57" s="77" t="s">
        <v>607</v>
      </c>
      <c r="C57" s="77" t="s">
        <v>70</v>
      </c>
      <c r="D57" s="77" t="s">
        <v>477</v>
      </c>
      <c r="E57" s="77" t="s">
        <v>356</v>
      </c>
      <c r="F57" s="77" t="s">
        <v>608</v>
      </c>
      <c r="G57" s="77" t="s">
        <v>609</v>
      </c>
      <c r="H57" s="77" t="s">
        <v>74</v>
      </c>
      <c r="I57" s="77" t="s">
        <v>75</v>
      </c>
      <c r="J57" s="94">
        <v>46099.734722222223</v>
      </c>
      <c r="K57" s="94">
        <v>46122.456250000003</v>
      </c>
      <c r="L57" s="94">
        <v>46159.881249999999</v>
      </c>
      <c r="M57" s="93"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0"/>
        <v/>
      </c>
      <c r="Q57" s="88" t="str">
        <f t="shared" ca="1" si="1"/>
        <v/>
      </c>
    </row>
    <row r="58" spans="1:17" ht="124.2" x14ac:dyDescent="0.3">
      <c r="A58" s="93">
        <v>56</v>
      </c>
      <c r="B58" s="77" t="s">
        <v>610</v>
      </c>
      <c r="C58" s="77" t="s">
        <v>70</v>
      </c>
      <c r="D58" s="77" t="s">
        <v>477</v>
      </c>
      <c r="E58" s="77" t="s">
        <v>356</v>
      </c>
      <c r="F58" s="77" t="s">
        <v>611</v>
      </c>
      <c r="G58" s="77" t="s">
        <v>612</v>
      </c>
      <c r="H58" s="77" t="s">
        <v>74</v>
      </c>
      <c r="I58" s="77" t="s">
        <v>75</v>
      </c>
      <c r="J58" s="94">
        <v>46099.73541666667</v>
      </c>
      <c r="K58" s="94">
        <v>46099.890277777777</v>
      </c>
      <c r="L58" s="94">
        <v>46106.387499999997</v>
      </c>
      <c r="M58" s="93"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0"/>
        <v/>
      </c>
      <c r="Q58" s="88" t="str">
        <f t="shared" ca="1" si="1"/>
        <v/>
      </c>
    </row>
    <row r="59" spans="1:17" ht="96.6" x14ac:dyDescent="0.3">
      <c r="A59" s="93">
        <v>57</v>
      </c>
      <c r="B59" s="77" t="s">
        <v>613</v>
      </c>
      <c r="C59" s="77" t="s">
        <v>70</v>
      </c>
      <c r="D59" s="77" t="s">
        <v>465</v>
      </c>
      <c r="E59" s="77" t="s">
        <v>356</v>
      </c>
      <c r="F59" s="77" t="s">
        <v>608</v>
      </c>
      <c r="G59" s="77" t="s">
        <v>614</v>
      </c>
      <c r="H59" s="77" t="s">
        <v>74</v>
      </c>
      <c r="I59" s="77" t="s">
        <v>75</v>
      </c>
      <c r="J59" s="94">
        <v>46099.736111111109</v>
      </c>
      <c r="K59" s="94">
        <v>46099.88958333333</v>
      </c>
      <c r="L59" s="94">
        <v>46106.387499999997</v>
      </c>
      <c r="M59" s="93"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0"/>
        <v/>
      </c>
      <c r="Q59" s="88" t="str">
        <f t="shared" ca="1" si="1"/>
        <v/>
      </c>
    </row>
    <row r="60" spans="1:17" ht="41.4" x14ac:dyDescent="0.3">
      <c r="A60" s="93">
        <v>58</v>
      </c>
      <c r="B60" s="77" t="s">
        <v>615</v>
      </c>
      <c r="C60" s="77" t="s">
        <v>70</v>
      </c>
      <c r="D60" s="77" t="s">
        <v>465</v>
      </c>
      <c r="E60" s="77" t="s">
        <v>356</v>
      </c>
      <c r="F60" s="77" t="s">
        <v>121</v>
      </c>
      <c r="G60" s="77" t="s">
        <v>616</v>
      </c>
      <c r="H60" s="77" t="s">
        <v>74</v>
      </c>
      <c r="I60" s="77" t="s">
        <v>75</v>
      </c>
      <c r="J60" s="94">
        <v>46099.738194444442</v>
      </c>
      <c r="K60" s="94">
        <v>46099.88958333333</v>
      </c>
      <c r="L60" s="94">
        <v>46106.387499999997</v>
      </c>
      <c r="M60" s="93"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0"/>
        <v/>
      </c>
      <c r="Q60" s="88" t="str">
        <f t="shared" ca="1" si="1"/>
        <v/>
      </c>
    </row>
    <row r="61" spans="1:17" ht="96.6" x14ac:dyDescent="0.3">
      <c r="A61" s="93">
        <v>59</v>
      </c>
      <c r="B61" s="77" t="s">
        <v>617</v>
      </c>
      <c r="C61" s="79"/>
      <c r="D61" s="77" t="s">
        <v>487</v>
      </c>
      <c r="E61" s="77" t="s">
        <v>356</v>
      </c>
      <c r="F61" s="77" t="s">
        <v>600</v>
      </c>
      <c r="G61" s="77" t="s">
        <v>618</v>
      </c>
      <c r="H61" s="77" t="s">
        <v>74</v>
      </c>
      <c r="I61" s="77" t="s">
        <v>75</v>
      </c>
      <c r="J61" s="94">
        <v>46099.738888888889</v>
      </c>
      <c r="K61" s="79"/>
      <c r="L61" s="79"/>
      <c r="M61" s="93"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-83</v>
      </c>
      <c r="P61" s="88">
        <f t="shared" ca="1" si="0"/>
        <v>83</v>
      </c>
      <c r="Q61" s="88" t="str">
        <f t="shared" ca="1" si="1"/>
        <v>&gt;60 Days</v>
      </c>
    </row>
    <row r="62" spans="1:17" ht="110.4" x14ac:dyDescent="0.3">
      <c r="A62" s="93">
        <v>60</v>
      </c>
      <c r="B62" s="77" t="s">
        <v>619</v>
      </c>
      <c r="C62" s="77" t="s">
        <v>70</v>
      </c>
      <c r="D62" s="77" t="s">
        <v>465</v>
      </c>
      <c r="E62" s="77" t="s">
        <v>356</v>
      </c>
      <c r="F62" s="77" t="s">
        <v>620</v>
      </c>
      <c r="G62" s="77" t="s">
        <v>621</v>
      </c>
      <c r="H62" s="77" t="s">
        <v>74</v>
      </c>
      <c r="I62" s="77" t="s">
        <v>75</v>
      </c>
      <c r="J62" s="94">
        <v>46099.740277777775</v>
      </c>
      <c r="K62" s="79"/>
      <c r="L62" s="79"/>
      <c r="M62" s="93"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-83</v>
      </c>
      <c r="P62" s="88">
        <f t="shared" ca="1" si="0"/>
        <v>83</v>
      </c>
      <c r="Q62" s="88" t="str">
        <f t="shared" ca="1" si="1"/>
        <v>&gt;60 Days</v>
      </c>
    </row>
    <row r="63" spans="1:17" ht="41.4" x14ac:dyDescent="0.3">
      <c r="A63" s="93">
        <v>61</v>
      </c>
      <c r="B63" s="77" t="s">
        <v>622</v>
      </c>
      <c r="C63" s="77" t="s">
        <v>70</v>
      </c>
      <c r="D63" s="77" t="s">
        <v>465</v>
      </c>
      <c r="E63" s="77" t="s">
        <v>356</v>
      </c>
      <c r="F63" s="77" t="s">
        <v>620</v>
      </c>
      <c r="G63" s="77" t="s">
        <v>623</v>
      </c>
      <c r="H63" s="77" t="s">
        <v>74</v>
      </c>
      <c r="I63" s="77" t="s">
        <v>75</v>
      </c>
      <c r="J63" s="94">
        <v>46099.741666666669</v>
      </c>
      <c r="K63" s="94">
        <v>46136.613194444442</v>
      </c>
      <c r="L63" s="94">
        <v>46136.614583333336</v>
      </c>
      <c r="M63" s="93"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0"/>
        <v/>
      </c>
      <c r="Q63" s="88" t="str">
        <f t="shared" ca="1" si="1"/>
        <v/>
      </c>
    </row>
    <row r="64" spans="1:17" ht="69" x14ac:dyDescent="0.3">
      <c r="A64" s="93">
        <v>62</v>
      </c>
      <c r="B64" s="77" t="s">
        <v>624</v>
      </c>
      <c r="C64" s="77" t="s">
        <v>70</v>
      </c>
      <c r="D64" s="77" t="s">
        <v>465</v>
      </c>
      <c r="E64" s="77" t="s">
        <v>356</v>
      </c>
      <c r="F64" s="77" t="s">
        <v>500</v>
      </c>
      <c r="G64" s="77" t="s">
        <v>625</v>
      </c>
      <c r="H64" s="77" t="s">
        <v>74</v>
      </c>
      <c r="I64" s="77" t="s">
        <v>75</v>
      </c>
      <c r="J64" s="94">
        <v>46099.819444444445</v>
      </c>
      <c r="K64" s="94">
        <v>46099.888888888891</v>
      </c>
      <c r="L64" s="94">
        <v>46106.387499999997</v>
      </c>
      <c r="M64" s="93"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0"/>
        <v/>
      </c>
      <c r="Q64" s="88" t="str">
        <f t="shared" ca="1" si="1"/>
        <v/>
      </c>
    </row>
    <row r="65" spans="1:17" ht="124.2" x14ac:dyDescent="0.3">
      <c r="A65" s="93">
        <v>63</v>
      </c>
      <c r="B65" s="77" t="s">
        <v>626</v>
      </c>
      <c r="C65" s="77" t="s">
        <v>70</v>
      </c>
      <c r="D65" s="77" t="s">
        <v>465</v>
      </c>
      <c r="E65" s="77" t="s">
        <v>356</v>
      </c>
      <c r="F65" s="77" t="s">
        <v>627</v>
      </c>
      <c r="G65" s="77" t="s">
        <v>628</v>
      </c>
      <c r="H65" s="77" t="s">
        <v>74</v>
      </c>
      <c r="I65" s="77" t="s">
        <v>75</v>
      </c>
      <c r="J65" s="94">
        <v>46099.820138888892</v>
      </c>
      <c r="K65" s="94">
        <v>46099.888194444444</v>
      </c>
      <c r="L65" s="94">
        <v>46106.387499999997</v>
      </c>
      <c r="M65" s="93"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0"/>
        <v/>
      </c>
      <c r="Q65" s="88" t="str">
        <f t="shared" ca="1" si="1"/>
        <v/>
      </c>
    </row>
    <row r="66" spans="1:17" ht="41.4" x14ac:dyDescent="0.3">
      <c r="A66" s="93">
        <v>64</v>
      </c>
      <c r="B66" s="77" t="s">
        <v>629</v>
      </c>
      <c r="C66" s="77" t="s">
        <v>70</v>
      </c>
      <c r="D66" s="77" t="s">
        <v>465</v>
      </c>
      <c r="E66" s="77" t="s">
        <v>356</v>
      </c>
      <c r="F66" s="77" t="s">
        <v>630</v>
      </c>
      <c r="G66" s="77" t="s">
        <v>631</v>
      </c>
      <c r="H66" s="77" t="s">
        <v>74</v>
      </c>
      <c r="I66" s="77" t="s">
        <v>75</v>
      </c>
      <c r="J66" s="94">
        <v>46099.821527777778</v>
      </c>
      <c r="K66" s="94">
        <v>46099.888194444444</v>
      </c>
      <c r="L66" s="94">
        <v>46106.387499999997</v>
      </c>
      <c r="M66" s="93"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0"/>
        <v/>
      </c>
      <c r="Q66" s="88" t="str">
        <f t="shared" ca="1" si="1"/>
        <v/>
      </c>
    </row>
    <row r="67" spans="1:17" ht="69" x14ac:dyDescent="0.3">
      <c r="A67" s="93">
        <v>65</v>
      </c>
      <c r="B67" s="77" t="s">
        <v>632</v>
      </c>
      <c r="C67" s="77" t="s">
        <v>70</v>
      </c>
      <c r="D67" s="77" t="s">
        <v>465</v>
      </c>
      <c r="E67" s="77" t="s">
        <v>356</v>
      </c>
      <c r="F67" s="77" t="s">
        <v>633</v>
      </c>
      <c r="G67" s="77" t="s">
        <v>634</v>
      </c>
      <c r="H67" s="77" t="s">
        <v>74</v>
      </c>
      <c r="I67" s="77" t="s">
        <v>75</v>
      </c>
      <c r="J67" s="94">
        <v>46099.822222222225</v>
      </c>
      <c r="K67" s="94">
        <v>46099.887499999997</v>
      </c>
      <c r="L67" s="94">
        <v>46106.386805555558</v>
      </c>
      <c r="M67" s="93"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0"/>
        <v/>
      </c>
      <c r="Q67" s="88" t="str">
        <f t="shared" ca="1" si="1"/>
        <v/>
      </c>
    </row>
    <row r="68" spans="1:17" ht="41.4" x14ac:dyDescent="0.3">
      <c r="A68" s="93">
        <v>66</v>
      </c>
      <c r="B68" s="77" t="s">
        <v>635</v>
      </c>
      <c r="C68" s="77" t="s">
        <v>70</v>
      </c>
      <c r="D68" s="77" t="s">
        <v>465</v>
      </c>
      <c r="E68" s="77" t="s">
        <v>356</v>
      </c>
      <c r="F68" s="77" t="s">
        <v>636</v>
      </c>
      <c r="G68" s="77" t="s">
        <v>637</v>
      </c>
      <c r="H68" s="77" t="s">
        <v>74</v>
      </c>
      <c r="I68" s="77" t="s">
        <v>75</v>
      </c>
      <c r="J68" s="94">
        <v>46099.823611111111</v>
      </c>
      <c r="K68" s="94">
        <v>46099.886805555558</v>
      </c>
      <c r="L68" s="94">
        <v>46106.386805555558</v>
      </c>
      <c r="M68" s="93"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2">IF(O68="","",LEFT(O68,10)*(-1))</f>
        <v/>
      </c>
      <c r="Q68" s="88" t="str">
        <f t="shared" ref="Q68:Q131" ca="1" si="3">IF(P68="","",
IF(P68&lt;=0,"Not Due",
IF(P68&lt;=30,"1-30 Days",
IF(P68&lt;=60,"31-60 Days",
"&gt;60 Days"))))</f>
        <v/>
      </c>
    </row>
    <row r="69" spans="1:17" ht="331.2" x14ac:dyDescent="0.3">
      <c r="A69" s="93">
        <v>67</v>
      </c>
      <c r="B69" s="77" t="s">
        <v>638</v>
      </c>
      <c r="C69" s="77" t="s">
        <v>70</v>
      </c>
      <c r="D69" s="77" t="s">
        <v>477</v>
      </c>
      <c r="E69" s="77" t="s">
        <v>356</v>
      </c>
      <c r="F69" s="77" t="s">
        <v>639</v>
      </c>
      <c r="G69" s="77" t="s">
        <v>640</v>
      </c>
      <c r="H69" s="77" t="s">
        <v>74</v>
      </c>
      <c r="I69" s="77" t="s">
        <v>75</v>
      </c>
      <c r="J69" s="94">
        <v>46099.824305555558</v>
      </c>
      <c r="K69" s="94">
        <v>46099.886111111111</v>
      </c>
      <c r="L69" s="94">
        <v>46106.386805555558</v>
      </c>
      <c r="M69" s="93"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2"/>
        <v/>
      </c>
      <c r="Q69" s="88" t="str">
        <f t="shared" ca="1" si="3"/>
        <v/>
      </c>
    </row>
    <row r="70" spans="1:17" ht="55.2" x14ac:dyDescent="0.3">
      <c r="A70" s="93">
        <v>68</v>
      </c>
      <c r="B70" s="77" t="s">
        <v>641</v>
      </c>
      <c r="C70" s="77" t="s">
        <v>70</v>
      </c>
      <c r="D70" s="77" t="s">
        <v>465</v>
      </c>
      <c r="E70" s="77" t="s">
        <v>356</v>
      </c>
      <c r="F70" s="77" t="s">
        <v>466</v>
      </c>
      <c r="G70" s="77" t="s">
        <v>642</v>
      </c>
      <c r="H70" s="77" t="s">
        <v>74</v>
      </c>
      <c r="I70" s="77" t="s">
        <v>75</v>
      </c>
      <c r="J70" s="94">
        <v>46099.824999999997</v>
      </c>
      <c r="K70" s="94">
        <v>46099.885416666664</v>
      </c>
      <c r="L70" s="94">
        <v>46106.386805555558</v>
      </c>
      <c r="M70" s="93"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2"/>
        <v/>
      </c>
      <c r="Q70" s="88" t="str">
        <f t="shared" ca="1" si="3"/>
        <v/>
      </c>
    </row>
    <row r="71" spans="1:17" ht="27.6" x14ac:dyDescent="0.3">
      <c r="A71" s="93">
        <v>69</v>
      </c>
      <c r="B71" s="77" t="s">
        <v>643</v>
      </c>
      <c r="C71" s="79"/>
      <c r="D71" s="77" t="s">
        <v>465</v>
      </c>
      <c r="E71" s="77" t="s">
        <v>356</v>
      </c>
      <c r="F71" s="77" t="s">
        <v>466</v>
      </c>
      <c r="G71" s="77" t="s">
        <v>644</v>
      </c>
      <c r="H71" s="77" t="s">
        <v>74</v>
      </c>
      <c r="I71" s="77" t="s">
        <v>75</v>
      </c>
      <c r="J71" s="94">
        <v>46099.825694444444</v>
      </c>
      <c r="K71" s="79"/>
      <c r="L71" s="79"/>
      <c r="M71" s="93"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-83</v>
      </c>
      <c r="P71" s="88">
        <f t="shared" ca="1" si="2"/>
        <v>83</v>
      </c>
      <c r="Q71" s="88" t="str">
        <f t="shared" ca="1" si="3"/>
        <v>&gt;60 Days</v>
      </c>
    </row>
    <row r="72" spans="1:17" ht="82.8" x14ac:dyDescent="0.3">
      <c r="A72" s="93">
        <v>70</v>
      </c>
      <c r="B72" s="77" t="s">
        <v>645</v>
      </c>
      <c r="C72" s="77" t="s">
        <v>70</v>
      </c>
      <c r="D72" s="77" t="s">
        <v>477</v>
      </c>
      <c r="E72" s="77" t="s">
        <v>356</v>
      </c>
      <c r="F72" s="77" t="s">
        <v>646</v>
      </c>
      <c r="G72" s="77" t="s">
        <v>647</v>
      </c>
      <c r="H72" s="77" t="s">
        <v>74</v>
      </c>
      <c r="I72" s="77" t="s">
        <v>75</v>
      </c>
      <c r="J72" s="94">
        <v>46099.82708333333</v>
      </c>
      <c r="K72" s="79"/>
      <c r="L72" s="79"/>
      <c r="M72" s="93"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-83</v>
      </c>
      <c r="P72" s="88">
        <f t="shared" ca="1" si="2"/>
        <v>83</v>
      </c>
      <c r="Q72" s="88" t="str">
        <f t="shared" ca="1" si="3"/>
        <v>&gt;60 Days</v>
      </c>
    </row>
    <row r="73" spans="1:17" ht="55.2" x14ac:dyDescent="0.3">
      <c r="A73" s="93">
        <v>71</v>
      </c>
      <c r="B73" s="77" t="s">
        <v>648</v>
      </c>
      <c r="C73" s="77" t="s">
        <v>70</v>
      </c>
      <c r="D73" s="77" t="s">
        <v>477</v>
      </c>
      <c r="E73" s="77" t="s">
        <v>356</v>
      </c>
      <c r="F73" s="77" t="s">
        <v>649</v>
      </c>
      <c r="G73" s="77" t="s">
        <v>650</v>
      </c>
      <c r="H73" s="77" t="s">
        <v>74</v>
      </c>
      <c r="I73" s="77" t="s">
        <v>75</v>
      </c>
      <c r="J73" s="94">
        <v>46099.827777777777</v>
      </c>
      <c r="K73" s="94">
        <v>46099.884722222225</v>
      </c>
      <c r="L73" s="94">
        <v>46106.386805555558</v>
      </c>
      <c r="M73" s="93"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2"/>
        <v/>
      </c>
      <c r="Q73" s="88" t="str">
        <f t="shared" ca="1" si="3"/>
        <v/>
      </c>
    </row>
    <row r="74" spans="1:17" ht="55.2" x14ac:dyDescent="0.3">
      <c r="A74" s="93">
        <v>72</v>
      </c>
      <c r="B74" s="77" t="s">
        <v>651</v>
      </c>
      <c r="C74" s="77" t="s">
        <v>70</v>
      </c>
      <c r="D74" s="77" t="s">
        <v>465</v>
      </c>
      <c r="E74" s="77" t="s">
        <v>356</v>
      </c>
      <c r="F74" s="77" t="s">
        <v>124</v>
      </c>
      <c r="G74" s="77" t="s">
        <v>652</v>
      </c>
      <c r="H74" s="77" t="s">
        <v>74</v>
      </c>
      <c r="I74" s="77" t="s">
        <v>75</v>
      </c>
      <c r="J74" s="94">
        <v>46099.828472222223</v>
      </c>
      <c r="K74" s="94">
        <v>46099.884027777778</v>
      </c>
      <c r="L74" s="94">
        <v>46106.386805555558</v>
      </c>
      <c r="M74" s="93"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2"/>
        <v/>
      </c>
      <c r="Q74" s="88" t="str">
        <f t="shared" ca="1" si="3"/>
        <v/>
      </c>
    </row>
    <row r="75" spans="1:17" ht="138" x14ac:dyDescent="0.3">
      <c r="A75" s="93">
        <v>73</v>
      </c>
      <c r="B75" s="77" t="s">
        <v>653</v>
      </c>
      <c r="C75" s="77" t="s">
        <v>70</v>
      </c>
      <c r="D75" s="77" t="s">
        <v>477</v>
      </c>
      <c r="E75" s="77" t="s">
        <v>356</v>
      </c>
      <c r="F75" s="77" t="s">
        <v>654</v>
      </c>
      <c r="G75" s="77" t="s">
        <v>655</v>
      </c>
      <c r="H75" s="77" t="s">
        <v>74</v>
      </c>
      <c r="I75" s="77" t="s">
        <v>75</v>
      </c>
      <c r="J75" s="94">
        <v>46099.829861111109</v>
      </c>
      <c r="K75" s="94">
        <v>46099.884027777778</v>
      </c>
      <c r="L75" s="94">
        <v>46106.386805555558</v>
      </c>
      <c r="M75" s="93"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2"/>
        <v/>
      </c>
      <c r="Q75" s="88" t="str">
        <f t="shared" ca="1" si="3"/>
        <v/>
      </c>
    </row>
    <row r="76" spans="1:17" ht="41.4" x14ac:dyDescent="0.3">
      <c r="A76" s="93">
        <v>74</v>
      </c>
      <c r="B76" s="77" t="s">
        <v>656</v>
      </c>
      <c r="C76" s="77" t="s">
        <v>70</v>
      </c>
      <c r="D76" s="77" t="s">
        <v>465</v>
      </c>
      <c r="E76" s="77" t="s">
        <v>356</v>
      </c>
      <c r="F76" s="77" t="s">
        <v>657</v>
      </c>
      <c r="G76" s="77" t="s">
        <v>658</v>
      </c>
      <c r="H76" s="77" t="s">
        <v>74</v>
      </c>
      <c r="I76" s="77" t="s">
        <v>75</v>
      </c>
      <c r="J76" s="94">
        <v>46099.830555555556</v>
      </c>
      <c r="K76" s="94">
        <v>46099.883333333331</v>
      </c>
      <c r="L76" s="94">
        <v>46106.386111111111</v>
      </c>
      <c r="M76" s="93"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2"/>
        <v/>
      </c>
      <c r="Q76" s="88" t="str">
        <f t="shared" ca="1" si="3"/>
        <v/>
      </c>
    </row>
    <row r="77" spans="1:17" ht="55.2" x14ac:dyDescent="0.3">
      <c r="A77" s="93">
        <v>75</v>
      </c>
      <c r="B77" s="77" t="s">
        <v>659</v>
      </c>
      <c r="C77" s="77" t="s">
        <v>70</v>
      </c>
      <c r="D77" s="77" t="s">
        <v>465</v>
      </c>
      <c r="E77" s="77" t="s">
        <v>356</v>
      </c>
      <c r="F77" s="77" t="s">
        <v>660</v>
      </c>
      <c r="G77" s="77" t="s">
        <v>661</v>
      </c>
      <c r="H77" s="77" t="s">
        <v>74</v>
      </c>
      <c r="I77" s="77" t="s">
        <v>75</v>
      </c>
      <c r="J77" s="94">
        <v>46099.831250000003</v>
      </c>
      <c r="K77" s="94">
        <v>46099.883333333331</v>
      </c>
      <c r="L77" s="94">
        <v>46106.386111111111</v>
      </c>
      <c r="M77" s="93"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2"/>
        <v/>
      </c>
      <c r="Q77" s="88" t="str">
        <f t="shared" ca="1" si="3"/>
        <v/>
      </c>
    </row>
    <row r="78" spans="1:17" ht="96.6" x14ac:dyDescent="0.3">
      <c r="A78" s="93">
        <v>76</v>
      </c>
      <c r="B78" s="77" t="s">
        <v>662</v>
      </c>
      <c r="C78" s="77" t="s">
        <v>70</v>
      </c>
      <c r="D78" s="77" t="s">
        <v>465</v>
      </c>
      <c r="E78" s="77" t="s">
        <v>356</v>
      </c>
      <c r="F78" s="77" t="s">
        <v>663</v>
      </c>
      <c r="G78" s="77" t="s">
        <v>664</v>
      </c>
      <c r="H78" s="77" t="s">
        <v>74</v>
      </c>
      <c r="I78" s="77" t="s">
        <v>75</v>
      </c>
      <c r="J78" s="94">
        <v>46099.831944444442</v>
      </c>
      <c r="K78" s="94">
        <v>46099.882638888892</v>
      </c>
      <c r="L78" s="94">
        <v>46106.385416666664</v>
      </c>
      <c r="M78" s="93"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2"/>
        <v/>
      </c>
      <c r="Q78" s="88" t="str">
        <f t="shared" ca="1" si="3"/>
        <v/>
      </c>
    </row>
    <row r="79" spans="1:17" ht="82.8" x14ac:dyDescent="0.3">
      <c r="A79" s="93">
        <v>77</v>
      </c>
      <c r="B79" s="77" t="s">
        <v>665</v>
      </c>
      <c r="C79" s="77" t="s">
        <v>70</v>
      </c>
      <c r="D79" s="77" t="s">
        <v>477</v>
      </c>
      <c r="E79" s="77" t="s">
        <v>356</v>
      </c>
      <c r="F79" s="77" t="s">
        <v>666</v>
      </c>
      <c r="G79" s="77" t="s">
        <v>667</v>
      </c>
      <c r="H79" s="77" t="s">
        <v>74</v>
      </c>
      <c r="I79" s="77" t="s">
        <v>75</v>
      </c>
      <c r="J79" s="94">
        <v>46099.833333333336</v>
      </c>
      <c r="K79" s="94">
        <v>46099.882638888892</v>
      </c>
      <c r="L79" s="94">
        <v>46106.385416666664</v>
      </c>
      <c r="M79" s="93"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2"/>
        <v/>
      </c>
      <c r="Q79" s="88" t="str">
        <f t="shared" ca="1" si="3"/>
        <v/>
      </c>
    </row>
    <row r="80" spans="1:17" ht="41.4" x14ac:dyDescent="0.3">
      <c r="A80" s="93">
        <v>78</v>
      </c>
      <c r="B80" s="77" t="s">
        <v>668</v>
      </c>
      <c r="C80" s="79"/>
      <c r="D80" s="77" t="s">
        <v>465</v>
      </c>
      <c r="E80" s="77" t="s">
        <v>356</v>
      </c>
      <c r="F80" s="77" t="s">
        <v>669</v>
      </c>
      <c r="G80" s="77" t="s">
        <v>670</v>
      </c>
      <c r="H80" s="77" t="s">
        <v>74</v>
      </c>
      <c r="I80" s="77" t="s">
        <v>75</v>
      </c>
      <c r="J80" s="94">
        <v>46099.834027777775</v>
      </c>
      <c r="K80" s="79"/>
      <c r="L80" s="79"/>
      <c r="M80" s="93"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-83</v>
      </c>
      <c r="P80" s="88">
        <f t="shared" ca="1" si="2"/>
        <v>83</v>
      </c>
      <c r="Q80" s="88" t="str">
        <f t="shared" ca="1" si="3"/>
        <v>&gt;60 Days</v>
      </c>
    </row>
    <row r="81" spans="1:17" ht="151.80000000000001" x14ac:dyDescent="0.3">
      <c r="A81" s="93">
        <v>79</v>
      </c>
      <c r="B81" s="77" t="s">
        <v>671</v>
      </c>
      <c r="C81" s="79"/>
      <c r="D81" s="77" t="s">
        <v>465</v>
      </c>
      <c r="E81" s="77" t="s">
        <v>356</v>
      </c>
      <c r="F81" s="77" t="s">
        <v>672</v>
      </c>
      <c r="G81" s="77" t="s">
        <v>673</v>
      </c>
      <c r="H81" s="77" t="s">
        <v>74</v>
      </c>
      <c r="I81" s="77" t="s">
        <v>75</v>
      </c>
      <c r="J81" s="94">
        <v>46099.834722222222</v>
      </c>
      <c r="K81" s="79"/>
      <c r="L81" s="79"/>
      <c r="M81" s="93" t="s">
        <v>77</v>
      </c>
      <c r="N81" s="59">
        <f>IF(ISBLANK(J81),"",IF(OR(M81="Completed",M81="Closed"),"",IF(H81="Issue",IF(I81="High",WORKDAY(J81,2,DATA!A80:A108),IF(I81="Medium",WORKDAY(J81,14,DATA!A80:A108),IF(OR(I81="Low"),WORKDAY(J81,30,DATA!A80:A108),""))),
"")
))</f>
        <v>46119</v>
      </c>
      <c r="O81" s="60">
        <f ca="1">IF(OR(ISBLANK(#REF!), M81="Completed", M81="Closed", H81&lt;&gt;"Issue"), "",
   (NETWORKDAYS.INTL(TODAY(), N81, 1, DATA!A80:A108) - 1))</f>
        <v>-83</v>
      </c>
      <c r="P81" s="88">
        <f t="shared" ca="1" si="2"/>
        <v>83</v>
      </c>
      <c r="Q81" s="88" t="str">
        <f t="shared" ca="1" si="3"/>
        <v>&gt;60 Days</v>
      </c>
    </row>
    <row r="82" spans="1:17" ht="55.2" x14ac:dyDescent="0.3">
      <c r="A82" s="93">
        <v>80</v>
      </c>
      <c r="B82" s="77" t="s">
        <v>674</v>
      </c>
      <c r="C82" s="77" t="s">
        <v>70</v>
      </c>
      <c r="D82" s="77" t="s">
        <v>465</v>
      </c>
      <c r="E82" s="77" t="s">
        <v>356</v>
      </c>
      <c r="F82" s="77" t="s">
        <v>675</v>
      </c>
      <c r="G82" s="77" t="s">
        <v>676</v>
      </c>
      <c r="H82" s="77" t="s">
        <v>74</v>
      </c>
      <c r="I82" s="77" t="s">
        <v>75</v>
      </c>
      <c r="J82" s="94">
        <v>46099.836111111108</v>
      </c>
      <c r="K82" s="94">
        <v>46099.881944444445</v>
      </c>
      <c r="L82" s="94">
        <v>46106.385416666664</v>
      </c>
      <c r="M82" s="93"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2"/>
        <v/>
      </c>
      <c r="Q82" s="88" t="str">
        <f t="shared" ca="1" si="3"/>
        <v/>
      </c>
    </row>
    <row r="83" spans="1:17" ht="110.4" x14ac:dyDescent="0.3">
      <c r="A83" s="93">
        <v>81</v>
      </c>
      <c r="B83" s="77" t="s">
        <v>677</v>
      </c>
      <c r="C83" s="77" t="s">
        <v>70</v>
      </c>
      <c r="D83" s="77" t="s">
        <v>465</v>
      </c>
      <c r="E83" s="77" t="s">
        <v>356</v>
      </c>
      <c r="F83" s="77" t="s">
        <v>678</v>
      </c>
      <c r="G83" s="77" t="s">
        <v>679</v>
      </c>
      <c r="H83" s="77" t="s">
        <v>74</v>
      </c>
      <c r="I83" s="77" t="s">
        <v>75</v>
      </c>
      <c r="J83" s="94">
        <v>46099.836805555555</v>
      </c>
      <c r="K83" s="94">
        <v>46099.881249999999</v>
      </c>
      <c r="L83" s="94">
        <v>46106.384722222225</v>
      </c>
      <c r="M83" s="93"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2"/>
        <v/>
      </c>
      <c r="Q83" s="88" t="str">
        <f t="shared" ca="1" si="3"/>
        <v/>
      </c>
    </row>
    <row r="84" spans="1:17" ht="138" x14ac:dyDescent="0.3">
      <c r="A84" s="93">
        <v>82</v>
      </c>
      <c r="B84" s="77" t="s">
        <v>680</v>
      </c>
      <c r="C84" s="77" t="s">
        <v>70</v>
      </c>
      <c r="D84" s="77" t="s">
        <v>465</v>
      </c>
      <c r="E84" s="77" t="s">
        <v>356</v>
      </c>
      <c r="F84" s="77" t="s">
        <v>639</v>
      </c>
      <c r="G84" s="77" t="s">
        <v>681</v>
      </c>
      <c r="H84" s="77" t="s">
        <v>74</v>
      </c>
      <c r="I84" s="77" t="s">
        <v>75</v>
      </c>
      <c r="J84" s="94">
        <v>46099.837500000001</v>
      </c>
      <c r="K84" s="94">
        <v>46099.880555555559</v>
      </c>
      <c r="L84" s="94">
        <v>46106.384722222225</v>
      </c>
      <c r="M84" s="93"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2"/>
        <v/>
      </c>
      <c r="Q84" s="88" t="str">
        <f t="shared" ca="1" si="3"/>
        <v/>
      </c>
    </row>
    <row r="85" spans="1:17" ht="96.6" x14ac:dyDescent="0.3">
      <c r="A85" s="93">
        <v>83</v>
      </c>
      <c r="B85" s="77" t="s">
        <v>682</v>
      </c>
      <c r="C85" s="77" t="s">
        <v>70</v>
      </c>
      <c r="D85" s="77" t="s">
        <v>465</v>
      </c>
      <c r="E85" s="77" t="s">
        <v>356</v>
      </c>
      <c r="F85" s="77" t="s">
        <v>683</v>
      </c>
      <c r="G85" s="77" t="s">
        <v>684</v>
      </c>
      <c r="H85" s="77" t="s">
        <v>74</v>
      </c>
      <c r="I85" s="77" t="s">
        <v>75</v>
      </c>
      <c r="J85" s="94">
        <v>46099.838888888888</v>
      </c>
      <c r="K85" s="94">
        <v>46099.880555555559</v>
      </c>
      <c r="L85" s="94">
        <v>46106.384722222225</v>
      </c>
      <c r="M85" s="93"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2"/>
        <v/>
      </c>
      <c r="Q85" s="88" t="str">
        <f t="shared" ca="1" si="3"/>
        <v/>
      </c>
    </row>
    <row r="86" spans="1:17" ht="124.2" x14ac:dyDescent="0.3">
      <c r="A86" s="93">
        <v>84</v>
      </c>
      <c r="B86" s="77" t="s">
        <v>685</v>
      </c>
      <c r="C86" s="77" t="s">
        <v>70</v>
      </c>
      <c r="D86" s="77" t="s">
        <v>477</v>
      </c>
      <c r="E86" s="77" t="s">
        <v>356</v>
      </c>
      <c r="F86" s="77" t="s">
        <v>686</v>
      </c>
      <c r="G86" s="77" t="s">
        <v>687</v>
      </c>
      <c r="H86" s="77" t="s">
        <v>74</v>
      </c>
      <c r="I86" s="77" t="s">
        <v>75</v>
      </c>
      <c r="J86" s="94">
        <v>46099.840277777781</v>
      </c>
      <c r="K86" s="94">
        <v>46099.879861111112</v>
      </c>
      <c r="L86" s="94">
        <v>46106.384722222225</v>
      </c>
      <c r="M86" s="93"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2"/>
        <v/>
      </c>
      <c r="Q86" s="88" t="str">
        <f t="shared" ca="1" si="3"/>
        <v/>
      </c>
    </row>
    <row r="87" spans="1:17" ht="41.4" x14ac:dyDescent="0.3">
      <c r="A87" s="93">
        <v>85</v>
      </c>
      <c r="B87" s="77" t="s">
        <v>688</v>
      </c>
      <c r="C87" s="77" t="s">
        <v>70</v>
      </c>
      <c r="D87" s="77" t="s">
        <v>465</v>
      </c>
      <c r="E87" s="77" t="s">
        <v>356</v>
      </c>
      <c r="F87" s="77" t="s">
        <v>689</v>
      </c>
      <c r="G87" s="77" t="s">
        <v>690</v>
      </c>
      <c r="H87" s="77" t="s">
        <v>74</v>
      </c>
      <c r="I87" s="77" t="s">
        <v>75</v>
      </c>
      <c r="J87" s="94">
        <v>46099.84097222222</v>
      </c>
      <c r="K87" s="94">
        <v>46099.879861111112</v>
      </c>
      <c r="L87" s="94">
        <v>46106.384722222225</v>
      </c>
      <c r="M87" s="93"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2"/>
        <v/>
      </c>
      <c r="Q87" s="88" t="str">
        <f t="shared" ca="1" si="3"/>
        <v/>
      </c>
    </row>
    <row r="88" spans="1:17" ht="82.8" x14ac:dyDescent="0.3">
      <c r="A88" s="93">
        <v>86</v>
      </c>
      <c r="B88" s="77" t="s">
        <v>691</v>
      </c>
      <c r="C88" s="77" t="s">
        <v>70</v>
      </c>
      <c r="D88" s="77" t="s">
        <v>465</v>
      </c>
      <c r="E88" s="77" t="s">
        <v>356</v>
      </c>
      <c r="F88" s="77" t="s">
        <v>657</v>
      </c>
      <c r="G88" s="77" t="s">
        <v>692</v>
      </c>
      <c r="H88" s="77" t="s">
        <v>74</v>
      </c>
      <c r="I88" s="77" t="s">
        <v>75</v>
      </c>
      <c r="J88" s="94">
        <v>46099.841666666667</v>
      </c>
      <c r="K88" s="94">
        <v>46099.879166666666</v>
      </c>
      <c r="L88" s="94">
        <v>46106.384722222225</v>
      </c>
      <c r="M88" s="93"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2"/>
        <v/>
      </c>
      <c r="Q88" s="88" t="str">
        <f t="shared" ca="1" si="3"/>
        <v/>
      </c>
    </row>
    <row r="89" spans="1:17" ht="41.4" x14ac:dyDescent="0.3">
      <c r="A89" s="93">
        <v>87</v>
      </c>
      <c r="B89" s="77" t="s">
        <v>693</v>
      </c>
      <c r="C89" s="77" t="s">
        <v>70</v>
      </c>
      <c r="D89" s="77" t="s">
        <v>465</v>
      </c>
      <c r="E89" s="77" t="s">
        <v>356</v>
      </c>
      <c r="F89" s="77" t="s">
        <v>694</v>
      </c>
      <c r="G89" s="77" t="s">
        <v>695</v>
      </c>
      <c r="H89" s="77" t="s">
        <v>74</v>
      </c>
      <c r="I89" s="77" t="s">
        <v>75</v>
      </c>
      <c r="J89" s="94">
        <v>46099.84375</v>
      </c>
      <c r="K89" s="94">
        <v>46099.878472222219</v>
      </c>
      <c r="L89" s="94">
        <v>46106.384722222225</v>
      </c>
      <c r="M89" s="93"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2"/>
        <v/>
      </c>
      <c r="Q89" s="88" t="str">
        <f t="shared" ca="1" si="3"/>
        <v/>
      </c>
    </row>
    <row r="90" spans="1:17" ht="69" x14ac:dyDescent="0.3">
      <c r="A90" s="93">
        <v>88</v>
      </c>
      <c r="B90" s="77" t="s">
        <v>696</v>
      </c>
      <c r="C90" s="77" t="s">
        <v>70</v>
      </c>
      <c r="D90" s="77" t="s">
        <v>465</v>
      </c>
      <c r="E90" s="77" t="s">
        <v>356</v>
      </c>
      <c r="F90" s="77" t="s">
        <v>697</v>
      </c>
      <c r="G90" s="77" t="s">
        <v>698</v>
      </c>
      <c r="H90" s="77" t="s">
        <v>74</v>
      </c>
      <c r="I90" s="77" t="s">
        <v>75</v>
      </c>
      <c r="J90" s="94">
        <v>46099.845833333333</v>
      </c>
      <c r="K90" s="94">
        <v>46099.878472222219</v>
      </c>
      <c r="L90" s="94">
        <v>46106.384722222225</v>
      </c>
      <c r="M90" s="93"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2"/>
        <v/>
      </c>
      <c r="Q90" s="88" t="str">
        <f t="shared" ca="1" si="3"/>
        <v/>
      </c>
    </row>
    <row r="91" spans="1:17" ht="124.2" x14ac:dyDescent="0.3">
      <c r="A91" s="93">
        <v>89</v>
      </c>
      <c r="B91" s="77" t="s">
        <v>699</v>
      </c>
      <c r="C91" s="77" t="s">
        <v>70</v>
      </c>
      <c r="D91" s="77" t="s">
        <v>465</v>
      </c>
      <c r="E91" s="77" t="s">
        <v>356</v>
      </c>
      <c r="F91" s="77" t="s">
        <v>700</v>
      </c>
      <c r="G91" s="77" t="s">
        <v>701</v>
      </c>
      <c r="H91" s="77" t="s">
        <v>74</v>
      </c>
      <c r="I91" s="77" t="s">
        <v>75</v>
      </c>
      <c r="J91" s="94">
        <v>46099.84652777778</v>
      </c>
      <c r="K91" s="94">
        <v>46099.87777777778</v>
      </c>
      <c r="L91" s="94">
        <v>46106.384722222225</v>
      </c>
      <c r="M91" s="93"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2"/>
        <v/>
      </c>
      <c r="Q91" s="88" t="str">
        <f t="shared" ca="1" si="3"/>
        <v/>
      </c>
    </row>
    <row r="92" spans="1:17" ht="96.6" x14ac:dyDescent="0.3">
      <c r="A92" s="93">
        <v>90</v>
      </c>
      <c r="B92" s="77" t="s">
        <v>702</v>
      </c>
      <c r="C92" s="79"/>
      <c r="D92" s="77" t="s">
        <v>487</v>
      </c>
      <c r="E92" s="77" t="s">
        <v>356</v>
      </c>
      <c r="F92" s="77" t="s">
        <v>703</v>
      </c>
      <c r="G92" s="77" t="s">
        <v>704</v>
      </c>
      <c r="H92" s="77" t="s">
        <v>74</v>
      </c>
      <c r="I92" s="77" t="s">
        <v>75</v>
      </c>
      <c r="J92" s="94">
        <v>46099.847916666666</v>
      </c>
      <c r="K92" s="79"/>
      <c r="L92" s="79"/>
      <c r="M92" s="93"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-83</v>
      </c>
      <c r="P92" s="88">
        <f t="shared" ca="1" si="2"/>
        <v>83</v>
      </c>
      <c r="Q92" s="88" t="str">
        <f t="shared" ca="1" si="3"/>
        <v>&gt;60 Days</v>
      </c>
    </row>
    <row r="93" spans="1:17" ht="96.6" x14ac:dyDescent="0.3">
      <c r="A93" s="93">
        <v>91</v>
      </c>
      <c r="B93" s="77" t="s">
        <v>705</v>
      </c>
      <c r="C93" s="77" t="s">
        <v>70</v>
      </c>
      <c r="D93" s="77" t="s">
        <v>465</v>
      </c>
      <c r="E93" s="77" t="s">
        <v>356</v>
      </c>
      <c r="F93" s="77" t="s">
        <v>706</v>
      </c>
      <c r="G93" s="77" t="s">
        <v>707</v>
      </c>
      <c r="H93" s="77" t="s">
        <v>74</v>
      </c>
      <c r="I93" s="77" t="s">
        <v>75</v>
      </c>
      <c r="J93" s="94">
        <v>46099.848611111112</v>
      </c>
      <c r="K93" s="94">
        <v>46099.877083333333</v>
      </c>
      <c r="L93" s="94">
        <v>46106.384722222225</v>
      </c>
      <c r="M93" s="93"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2"/>
        <v/>
      </c>
      <c r="Q93" s="88" t="str">
        <f t="shared" ca="1" si="3"/>
        <v/>
      </c>
    </row>
    <row r="94" spans="1:17" ht="82.8" x14ac:dyDescent="0.3">
      <c r="A94" s="93">
        <v>92</v>
      </c>
      <c r="B94" s="77" t="s">
        <v>708</v>
      </c>
      <c r="C94" s="77" t="s">
        <v>70</v>
      </c>
      <c r="D94" s="77" t="s">
        <v>465</v>
      </c>
      <c r="E94" s="77" t="s">
        <v>356</v>
      </c>
      <c r="F94" s="77" t="s">
        <v>709</v>
      </c>
      <c r="G94" s="77" t="s">
        <v>710</v>
      </c>
      <c r="H94" s="77" t="s">
        <v>74</v>
      </c>
      <c r="I94" s="77" t="s">
        <v>75</v>
      </c>
      <c r="J94" s="94">
        <v>46099.849305555559</v>
      </c>
      <c r="K94" s="94">
        <v>46099.876388888886</v>
      </c>
      <c r="L94" s="94">
        <v>46106.384722222225</v>
      </c>
      <c r="M94" s="93"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2"/>
        <v/>
      </c>
      <c r="Q94" s="88" t="str">
        <f t="shared" ca="1" si="3"/>
        <v/>
      </c>
    </row>
    <row r="95" spans="1:17" ht="193.2" x14ac:dyDescent="0.3">
      <c r="A95" s="93">
        <v>93</v>
      </c>
      <c r="B95" s="77" t="s">
        <v>711</v>
      </c>
      <c r="C95" s="77" t="s">
        <v>70</v>
      </c>
      <c r="D95" s="77" t="s">
        <v>465</v>
      </c>
      <c r="E95" s="77" t="s">
        <v>356</v>
      </c>
      <c r="F95" s="77" t="s">
        <v>672</v>
      </c>
      <c r="G95" s="77" t="s">
        <v>712</v>
      </c>
      <c r="H95" s="77" t="s">
        <v>74</v>
      </c>
      <c r="I95" s="77" t="s">
        <v>75</v>
      </c>
      <c r="J95" s="94">
        <v>46099.850694444445</v>
      </c>
      <c r="K95" s="94">
        <v>46099.875694444447</v>
      </c>
      <c r="L95" s="94">
        <v>46106.384027777778</v>
      </c>
      <c r="M95" s="93"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2"/>
        <v/>
      </c>
      <c r="Q95" s="88" t="str">
        <f t="shared" ca="1" si="3"/>
        <v/>
      </c>
    </row>
    <row r="96" spans="1:17" ht="55.2" x14ac:dyDescent="0.3">
      <c r="A96" s="93">
        <v>94</v>
      </c>
      <c r="B96" s="77" t="s">
        <v>713</v>
      </c>
      <c r="C96" s="77" t="s">
        <v>70</v>
      </c>
      <c r="D96" s="77" t="s">
        <v>465</v>
      </c>
      <c r="E96" s="77" t="s">
        <v>356</v>
      </c>
      <c r="F96" s="77" t="s">
        <v>608</v>
      </c>
      <c r="G96" s="77" t="s">
        <v>714</v>
      </c>
      <c r="H96" s="77" t="s">
        <v>74</v>
      </c>
      <c r="I96" s="77" t="s">
        <v>75</v>
      </c>
      <c r="J96" s="94">
        <v>46099.852083333331</v>
      </c>
      <c r="K96" s="94">
        <v>46099.875</v>
      </c>
      <c r="L96" s="94">
        <v>46106.384027777778</v>
      </c>
      <c r="M96" s="93"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8" t="str">
        <f t="shared" ca="1" si="2"/>
        <v/>
      </c>
      <c r="Q96" s="88" t="str">
        <f t="shared" ca="1" si="3"/>
        <v/>
      </c>
    </row>
    <row r="97" spans="1:17" ht="55.2" x14ac:dyDescent="0.3">
      <c r="A97" s="93">
        <v>95</v>
      </c>
      <c r="B97" s="77" t="s">
        <v>715</v>
      </c>
      <c r="C97" s="77" t="s">
        <v>70</v>
      </c>
      <c r="D97" s="77" t="s">
        <v>465</v>
      </c>
      <c r="E97" s="77" t="s">
        <v>356</v>
      </c>
      <c r="F97" s="77" t="s">
        <v>124</v>
      </c>
      <c r="G97" s="77" t="s">
        <v>716</v>
      </c>
      <c r="H97" s="77" t="s">
        <v>74</v>
      </c>
      <c r="I97" s="77" t="s">
        <v>75</v>
      </c>
      <c r="J97" s="94">
        <v>46099.852083333331</v>
      </c>
      <c r="K97" s="94">
        <v>46099.875</v>
      </c>
      <c r="L97" s="94">
        <v>46106.384027777778</v>
      </c>
      <c r="M97" s="93"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8" t="str">
        <f t="shared" ca="1" si="2"/>
        <v/>
      </c>
      <c r="Q97" s="88" t="str">
        <f t="shared" ca="1" si="3"/>
        <v/>
      </c>
    </row>
    <row r="98" spans="1:17" ht="55.2" x14ac:dyDescent="0.3">
      <c r="A98" s="93">
        <v>96</v>
      </c>
      <c r="B98" s="77" t="s">
        <v>717</v>
      </c>
      <c r="C98" s="77" t="s">
        <v>70</v>
      </c>
      <c r="D98" s="77" t="s">
        <v>465</v>
      </c>
      <c r="E98" s="77" t="s">
        <v>356</v>
      </c>
      <c r="F98" s="77" t="s">
        <v>672</v>
      </c>
      <c r="G98" s="77" t="s">
        <v>718</v>
      </c>
      <c r="H98" s="77" t="s">
        <v>74</v>
      </c>
      <c r="I98" s="77" t="s">
        <v>75</v>
      </c>
      <c r="J98" s="94">
        <v>46099.852777777778</v>
      </c>
      <c r="K98" s="94">
        <v>46099.874305555553</v>
      </c>
      <c r="L98" s="94">
        <v>46106.384027777778</v>
      </c>
      <c r="M98" s="93"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8" t="str">
        <f t="shared" ca="1" si="2"/>
        <v/>
      </c>
      <c r="Q98" s="88" t="str">
        <f t="shared" ca="1" si="3"/>
        <v/>
      </c>
    </row>
    <row r="99" spans="1:17" ht="41.4" x14ac:dyDescent="0.3">
      <c r="A99" s="93">
        <v>97</v>
      </c>
      <c r="B99" s="77" t="s">
        <v>719</v>
      </c>
      <c r="C99" s="77" t="s">
        <v>70</v>
      </c>
      <c r="D99" s="77" t="s">
        <v>465</v>
      </c>
      <c r="E99" s="77" t="s">
        <v>356</v>
      </c>
      <c r="F99" s="77" t="s">
        <v>709</v>
      </c>
      <c r="G99" s="77" t="s">
        <v>720</v>
      </c>
      <c r="H99" s="77" t="s">
        <v>74</v>
      </c>
      <c r="I99" s="77" t="s">
        <v>75</v>
      </c>
      <c r="J99" s="94">
        <v>46099.853472222225</v>
      </c>
      <c r="K99" s="94">
        <v>46099.872916666667</v>
      </c>
      <c r="L99" s="94">
        <v>46106.384027777778</v>
      </c>
      <c r="M99" s="93"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8" t="str">
        <f t="shared" ca="1" si="2"/>
        <v/>
      </c>
      <c r="Q99" s="88" t="str">
        <f t="shared" ca="1" si="3"/>
        <v/>
      </c>
    </row>
    <row r="100" spans="1:17" ht="41.4" x14ac:dyDescent="0.3">
      <c r="A100" s="93">
        <v>98</v>
      </c>
      <c r="B100" s="77" t="s">
        <v>721</v>
      </c>
      <c r="C100" s="77" t="s">
        <v>70</v>
      </c>
      <c r="D100" s="77" t="s">
        <v>465</v>
      </c>
      <c r="E100" s="77" t="s">
        <v>356</v>
      </c>
      <c r="F100" s="77" t="s">
        <v>722</v>
      </c>
      <c r="G100" s="77" t="s">
        <v>723</v>
      </c>
      <c r="H100" s="77" t="s">
        <v>74</v>
      </c>
      <c r="I100" s="77" t="s">
        <v>75</v>
      </c>
      <c r="J100" s="94">
        <v>46099.854166666664</v>
      </c>
      <c r="K100" s="94">
        <v>46099.872916666667</v>
      </c>
      <c r="L100" s="94">
        <v>46106.384027777778</v>
      </c>
      <c r="M100" s="93"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8" t="str">
        <f t="shared" ca="1" si="2"/>
        <v/>
      </c>
      <c r="Q100" s="88" t="str">
        <f t="shared" ca="1" si="3"/>
        <v/>
      </c>
    </row>
    <row r="101" spans="1:17" ht="55.2" x14ac:dyDescent="0.3">
      <c r="A101" s="93">
        <v>99</v>
      </c>
      <c r="B101" s="77" t="s">
        <v>724</v>
      </c>
      <c r="C101" s="77" t="s">
        <v>70</v>
      </c>
      <c r="D101" s="77" t="s">
        <v>465</v>
      </c>
      <c r="E101" s="77" t="s">
        <v>356</v>
      </c>
      <c r="F101" s="77" t="s">
        <v>725</v>
      </c>
      <c r="G101" s="77" t="s">
        <v>726</v>
      </c>
      <c r="H101" s="77" t="s">
        <v>74</v>
      </c>
      <c r="I101" s="77" t="s">
        <v>75</v>
      </c>
      <c r="J101" s="94">
        <v>46099.855555555558</v>
      </c>
      <c r="K101" s="94">
        <v>46099.872916666667</v>
      </c>
      <c r="L101" s="94">
        <v>46106.384027777778</v>
      </c>
      <c r="M101" s="93"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8" t="str">
        <f t="shared" ca="1" si="2"/>
        <v/>
      </c>
      <c r="Q101" s="88" t="str">
        <f t="shared" ca="1" si="3"/>
        <v/>
      </c>
    </row>
    <row r="102" spans="1:17" ht="41.4" x14ac:dyDescent="0.3">
      <c r="A102" s="93">
        <v>100</v>
      </c>
      <c r="B102" s="77" t="s">
        <v>727</v>
      </c>
      <c r="C102" s="77" t="s">
        <v>70</v>
      </c>
      <c r="D102" s="77" t="s">
        <v>465</v>
      </c>
      <c r="E102" s="77" t="s">
        <v>356</v>
      </c>
      <c r="F102" s="77" t="s">
        <v>728</v>
      </c>
      <c r="G102" s="77" t="s">
        <v>729</v>
      </c>
      <c r="H102" s="77" t="s">
        <v>74</v>
      </c>
      <c r="I102" s="77" t="s">
        <v>75</v>
      </c>
      <c r="J102" s="94">
        <v>46099.856249999997</v>
      </c>
      <c r="K102" s="94">
        <v>46099.87222222222</v>
      </c>
      <c r="L102" s="94">
        <v>46106.384027777778</v>
      </c>
      <c r="M102" s="93"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8" t="str">
        <f t="shared" ca="1" si="2"/>
        <v/>
      </c>
      <c r="Q102" s="88" t="str">
        <f t="shared" ca="1" si="3"/>
        <v/>
      </c>
    </row>
    <row r="103" spans="1:17" ht="55.2" x14ac:dyDescent="0.3">
      <c r="A103" s="93">
        <v>101</v>
      </c>
      <c r="B103" s="77" t="s">
        <v>730</v>
      </c>
      <c r="C103" s="77" t="s">
        <v>70</v>
      </c>
      <c r="D103" s="77" t="s">
        <v>465</v>
      </c>
      <c r="E103" s="77" t="s">
        <v>356</v>
      </c>
      <c r="F103" s="77" t="s">
        <v>639</v>
      </c>
      <c r="G103" s="77" t="s">
        <v>731</v>
      </c>
      <c r="H103" s="77" t="s">
        <v>74</v>
      </c>
      <c r="I103" s="77" t="s">
        <v>75</v>
      </c>
      <c r="J103" s="94">
        <v>46099.856944444444</v>
      </c>
      <c r="K103" s="94">
        <v>46099.871527777781</v>
      </c>
      <c r="L103" s="94">
        <v>46106.384027777778</v>
      </c>
      <c r="M103" s="93"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8" t="str">
        <f t="shared" ca="1" si="2"/>
        <v/>
      </c>
      <c r="Q103" s="88" t="str">
        <f t="shared" ca="1" si="3"/>
        <v/>
      </c>
    </row>
    <row r="104" spans="1:17" ht="82.8" x14ac:dyDescent="0.3">
      <c r="A104" s="93">
        <v>102</v>
      </c>
      <c r="B104" s="77" t="s">
        <v>732</v>
      </c>
      <c r="C104" s="77" t="s">
        <v>70</v>
      </c>
      <c r="D104" s="77" t="s">
        <v>465</v>
      </c>
      <c r="E104" s="77" t="s">
        <v>356</v>
      </c>
      <c r="F104" s="77" t="s">
        <v>733</v>
      </c>
      <c r="G104" s="77" t="s">
        <v>734</v>
      </c>
      <c r="H104" s="77" t="s">
        <v>74</v>
      </c>
      <c r="I104" s="77" t="s">
        <v>75</v>
      </c>
      <c r="J104" s="94">
        <v>46099.857638888891</v>
      </c>
      <c r="K104" s="94">
        <v>46099.870833333334</v>
      </c>
      <c r="L104" s="94">
        <v>46106.384027777778</v>
      </c>
      <c r="M104" s="93"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8" t="str">
        <f t="shared" ca="1" si="2"/>
        <v/>
      </c>
      <c r="Q104" s="88" t="str">
        <f t="shared" ca="1" si="3"/>
        <v/>
      </c>
    </row>
    <row r="105" spans="1:17" ht="82.8" x14ac:dyDescent="0.3">
      <c r="A105" s="93">
        <v>103</v>
      </c>
      <c r="B105" s="77" t="s">
        <v>735</v>
      </c>
      <c r="C105" s="77" t="s">
        <v>70</v>
      </c>
      <c r="D105" s="77" t="s">
        <v>465</v>
      </c>
      <c r="E105" s="77" t="s">
        <v>356</v>
      </c>
      <c r="F105" s="77" t="s">
        <v>694</v>
      </c>
      <c r="G105" s="77" t="s">
        <v>736</v>
      </c>
      <c r="H105" s="77" t="s">
        <v>74</v>
      </c>
      <c r="I105" s="77" t="s">
        <v>75</v>
      </c>
      <c r="J105" s="94">
        <v>46099.85833333333</v>
      </c>
      <c r="K105" s="94">
        <v>46099.870833333334</v>
      </c>
      <c r="L105" s="94">
        <v>46106.384027777778</v>
      </c>
      <c r="M105" s="93"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8" t="str">
        <f t="shared" ca="1" si="2"/>
        <v/>
      </c>
      <c r="Q105" s="88" t="str">
        <f t="shared" ca="1" si="3"/>
        <v/>
      </c>
    </row>
    <row r="106" spans="1:17" ht="110.4" customHeight="1" x14ac:dyDescent="0.3">
      <c r="A106" s="93">
        <v>104</v>
      </c>
      <c r="B106" s="77" t="s">
        <v>737</v>
      </c>
      <c r="C106" s="77" t="s">
        <v>70</v>
      </c>
      <c r="D106" s="77" t="s">
        <v>465</v>
      </c>
      <c r="E106" s="77" t="s">
        <v>356</v>
      </c>
      <c r="F106" s="77" t="s">
        <v>738</v>
      </c>
      <c r="G106" s="77" t="s">
        <v>739</v>
      </c>
      <c r="H106" s="77" t="s">
        <v>74</v>
      </c>
      <c r="I106" s="77" t="s">
        <v>75</v>
      </c>
      <c r="J106" s="94">
        <v>46099.859722222223</v>
      </c>
      <c r="K106" s="94">
        <v>46099.870138888888</v>
      </c>
      <c r="L106" s="94">
        <v>46106.384027777778</v>
      </c>
      <c r="M106" s="93"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8" t="str">
        <f t="shared" ca="1" si="2"/>
        <v/>
      </c>
      <c r="Q106" s="88" t="str">
        <f t="shared" ca="1" si="3"/>
        <v/>
      </c>
    </row>
    <row r="107" spans="1:17" ht="69" x14ac:dyDescent="0.3">
      <c r="A107" s="93">
        <v>105</v>
      </c>
      <c r="B107" s="77" t="s">
        <v>740</v>
      </c>
      <c r="C107" s="77" t="s">
        <v>70</v>
      </c>
      <c r="D107" s="77" t="s">
        <v>487</v>
      </c>
      <c r="E107" s="77" t="s">
        <v>356</v>
      </c>
      <c r="F107" s="77" t="s">
        <v>741</v>
      </c>
      <c r="G107" s="77" t="s">
        <v>742</v>
      </c>
      <c r="H107" s="77" t="s">
        <v>74</v>
      </c>
      <c r="I107" s="77" t="s">
        <v>75</v>
      </c>
      <c r="J107" s="94">
        <v>46099.86041666667</v>
      </c>
      <c r="K107" s="94">
        <v>46099.869444444441</v>
      </c>
      <c r="L107" s="94">
        <v>46106.384027777778</v>
      </c>
      <c r="M107" s="93"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8" t="str">
        <f t="shared" ca="1" si="2"/>
        <v/>
      </c>
      <c r="Q107" s="88" t="str">
        <f t="shared" ca="1" si="3"/>
        <v/>
      </c>
    </row>
    <row r="108" spans="1:17" ht="82.8" x14ac:dyDescent="0.3">
      <c r="A108" s="93">
        <v>106</v>
      </c>
      <c r="B108" s="77" t="s">
        <v>743</v>
      </c>
      <c r="C108" s="77" t="s">
        <v>70</v>
      </c>
      <c r="D108" s="77" t="s">
        <v>465</v>
      </c>
      <c r="E108" s="77" t="s">
        <v>356</v>
      </c>
      <c r="F108" s="77" t="s">
        <v>744</v>
      </c>
      <c r="G108" s="77" t="s">
        <v>745</v>
      </c>
      <c r="H108" s="77" t="s">
        <v>74</v>
      </c>
      <c r="I108" s="77" t="s">
        <v>75</v>
      </c>
      <c r="J108" s="94">
        <v>46099.861111111109</v>
      </c>
      <c r="K108" s="94">
        <v>46099.869444444441</v>
      </c>
      <c r="L108" s="94">
        <v>46106.384027777778</v>
      </c>
      <c r="M108" s="93"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8" t="str">
        <f t="shared" ca="1" si="2"/>
        <v/>
      </c>
      <c r="Q108" s="88" t="str">
        <f t="shared" ca="1" si="3"/>
        <v/>
      </c>
    </row>
    <row r="109" spans="1:17" ht="96.6" x14ac:dyDescent="0.3">
      <c r="A109" s="93">
        <v>107</v>
      </c>
      <c r="B109" s="77" t="s">
        <v>746</v>
      </c>
      <c r="C109" s="77" t="s">
        <v>70</v>
      </c>
      <c r="D109" s="77" t="s">
        <v>465</v>
      </c>
      <c r="E109" s="77" t="s">
        <v>356</v>
      </c>
      <c r="F109" s="77" t="s">
        <v>657</v>
      </c>
      <c r="G109" s="77" t="s">
        <v>747</v>
      </c>
      <c r="H109" s="77" t="s">
        <v>74</v>
      </c>
      <c r="I109" s="77" t="s">
        <v>75</v>
      </c>
      <c r="J109" s="94">
        <v>46099.861805555556</v>
      </c>
      <c r="K109" s="94">
        <v>46099.868750000001</v>
      </c>
      <c r="L109" s="94">
        <v>46106.384027777778</v>
      </c>
      <c r="M109" s="93"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8" t="str">
        <f t="shared" ca="1" si="2"/>
        <v/>
      </c>
      <c r="Q109" s="88" t="str">
        <f t="shared" ca="1" si="3"/>
        <v/>
      </c>
    </row>
    <row r="110" spans="1:17" ht="55.2" x14ac:dyDescent="0.3">
      <c r="A110" s="93">
        <v>108</v>
      </c>
      <c r="B110" s="77" t="s">
        <v>748</v>
      </c>
      <c r="C110" s="77" t="s">
        <v>70</v>
      </c>
      <c r="D110" s="77" t="s">
        <v>465</v>
      </c>
      <c r="E110" s="77" t="s">
        <v>356</v>
      </c>
      <c r="F110" s="77" t="s">
        <v>749</v>
      </c>
      <c r="G110" s="77" t="s">
        <v>750</v>
      </c>
      <c r="H110" s="77" t="s">
        <v>74</v>
      </c>
      <c r="I110" s="77" t="s">
        <v>75</v>
      </c>
      <c r="J110" s="94">
        <v>46099.862500000003</v>
      </c>
      <c r="K110" s="94">
        <v>46099.868055555555</v>
      </c>
      <c r="L110" s="94">
        <v>46106.384027777778</v>
      </c>
      <c r="M110" s="93"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8" t="str">
        <f t="shared" ca="1" si="2"/>
        <v/>
      </c>
      <c r="Q110" s="88" t="str">
        <f t="shared" ca="1" si="3"/>
        <v/>
      </c>
    </row>
    <row r="111" spans="1:17" ht="55.2" x14ac:dyDescent="0.3">
      <c r="A111" s="93">
        <v>109</v>
      </c>
      <c r="B111" s="77" t="s">
        <v>751</v>
      </c>
      <c r="C111" s="77" t="s">
        <v>70</v>
      </c>
      <c r="D111" s="77" t="s">
        <v>465</v>
      </c>
      <c r="E111" s="77" t="s">
        <v>356</v>
      </c>
      <c r="F111" s="77" t="s">
        <v>749</v>
      </c>
      <c r="G111" s="77" t="s">
        <v>752</v>
      </c>
      <c r="H111" s="77" t="s">
        <v>74</v>
      </c>
      <c r="I111" s="77" t="s">
        <v>75</v>
      </c>
      <c r="J111" s="94">
        <v>46099.863194444442</v>
      </c>
      <c r="K111" s="94">
        <v>46099.867361111108</v>
      </c>
      <c r="L111" s="94">
        <v>46106.384027777778</v>
      </c>
      <c r="M111" s="93"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8" t="str">
        <f t="shared" ca="1" si="2"/>
        <v/>
      </c>
      <c r="Q111" s="88" t="str">
        <f t="shared" ca="1" si="3"/>
        <v/>
      </c>
    </row>
    <row r="112" spans="1:17" ht="41.4" x14ac:dyDescent="0.3">
      <c r="A112" s="93">
        <v>110</v>
      </c>
      <c r="B112" s="77" t="s">
        <v>753</v>
      </c>
      <c r="C112" s="77" t="s">
        <v>70</v>
      </c>
      <c r="D112" s="77" t="s">
        <v>465</v>
      </c>
      <c r="E112" s="77" t="s">
        <v>356</v>
      </c>
      <c r="F112" s="77" t="s">
        <v>639</v>
      </c>
      <c r="G112" s="77" t="s">
        <v>754</v>
      </c>
      <c r="H112" s="77" t="s">
        <v>74</v>
      </c>
      <c r="I112" s="77" t="s">
        <v>75</v>
      </c>
      <c r="J112" s="94">
        <v>46099.863888888889</v>
      </c>
      <c r="K112" s="94">
        <v>46099.866666666669</v>
      </c>
      <c r="L112" s="94">
        <v>46106.383333333331</v>
      </c>
      <c r="M112" s="93"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8" t="str">
        <f t="shared" ca="1" si="2"/>
        <v/>
      </c>
      <c r="Q112" s="88" t="str">
        <f t="shared" ca="1" si="3"/>
        <v/>
      </c>
    </row>
    <row r="113" spans="1:17" ht="69" x14ac:dyDescent="0.3">
      <c r="A113" s="93">
        <v>111</v>
      </c>
      <c r="B113" s="77" t="s">
        <v>755</v>
      </c>
      <c r="C113" s="77" t="s">
        <v>70</v>
      </c>
      <c r="D113" s="77" t="s">
        <v>465</v>
      </c>
      <c r="E113" s="77" t="s">
        <v>356</v>
      </c>
      <c r="F113" s="77" t="s">
        <v>756</v>
      </c>
      <c r="G113" s="77" t="s">
        <v>757</v>
      </c>
      <c r="H113" s="77" t="s">
        <v>74</v>
      </c>
      <c r="I113" s="77" t="s">
        <v>75</v>
      </c>
      <c r="J113" s="94">
        <v>46099.864583333336</v>
      </c>
      <c r="K113" s="94">
        <v>46099.865972222222</v>
      </c>
      <c r="L113" s="94">
        <v>46106.383333333331</v>
      </c>
      <c r="M113" s="93"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8" t="str">
        <f t="shared" ca="1" si="2"/>
        <v/>
      </c>
      <c r="Q113" s="88" t="str">
        <f t="shared" ca="1" si="3"/>
        <v/>
      </c>
    </row>
    <row r="114" spans="1:17" ht="69" x14ac:dyDescent="0.3">
      <c r="A114" s="93">
        <v>112</v>
      </c>
      <c r="B114" s="77" t="s">
        <v>758</v>
      </c>
      <c r="C114" s="77" t="s">
        <v>70</v>
      </c>
      <c r="D114" s="77" t="s">
        <v>477</v>
      </c>
      <c r="E114" s="77" t="s">
        <v>356</v>
      </c>
      <c r="F114" s="77" t="s">
        <v>759</v>
      </c>
      <c r="G114" s="77" t="s">
        <v>760</v>
      </c>
      <c r="H114" s="77" t="s">
        <v>74</v>
      </c>
      <c r="I114" s="77" t="s">
        <v>75</v>
      </c>
      <c r="J114" s="94">
        <v>46113.491666666669</v>
      </c>
      <c r="K114" s="94">
        <v>46115.705555555556</v>
      </c>
      <c r="L114" s="94">
        <v>46115.713194444441</v>
      </c>
      <c r="M114" s="93"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8" t="str">
        <f t="shared" ca="1" si="2"/>
        <v/>
      </c>
      <c r="Q114" s="88" t="str">
        <f t="shared" ca="1" si="3"/>
        <v/>
      </c>
    </row>
    <row r="115" spans="1:17" ht="82.8" x14ac:dyDescent="0.3">
      <c r="A115" s="93">
        <v>113</v>
      </c>
      <c r="B115" s="77" t="s">
        <v>761</v>
      </c>
      <c r="C115" s="77" t="s">
        <v>70</v>
      </c>
      <c r="D115" s="77" t="s">
        <v>477</v>
      </c>
      <c r="E115" s="77" t="s">
        <v>356</v>
      </c>
      <c r="F115" s="77" t="s">
        <v>762</v>
      </c>
      <c r="G115" s="77" t="s">
        <v>763</v>
      </c>
      <c r="H115" s="77" t="s">
        <v>74</v>
      </c>
      <c r="I115" s="77" t="s">
        <v>75</v>
      </c>
      <c r="J115" s="94">
        <v>46113.658333333333</v>
      </c>
      <c r="K115" s="94">
        <v>46114.441666666666</v>
      </c>
      <c r="L115" s="94">
        <v>46159.930555555555</v>
      </c>
      <c r="M115" s="93"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8" t="str">
        <f t="shared" ca="1" si="2"/>
        <v/>
      </c>
      <c r="Q115" s="88" t="str">
        <f t="shared" ca="1" si="3"/>
        <v/>
      </c>
    </row>
    <row r="116" spans="1:17" ht="27.6" x14ac:dyDescent="0.3">
      <c r="A116" s="93">
        <v>114</v>
      </c>
      <c r="B116" s="77" t="s">
        <v>764</v>
      </c>
      <c r="C116" s="77" t="s">
        <v>70</v>
      </c>
      <c r="D116" s="77" t="s">
        <v>465</v>
      </c>
      <c r="E116" s="77" t="s">
        <v>356</v>
      </c>
      <c r="F116" s="77" t="s">
        <v>765</v>
      </c>
      <c r="G116" s="77" t="s">
        <v>766</v>
      </c>
      <c r="H116" s="77" t="s">
        <v>74</v>
      </c>
      <c r="I116" s="77" t="s">
        <v>75</v>
      </c>
      <c r="J116" s="94">
        <v>46114.410416666666</v>
      </c>
      <c r="K116" s="79"/>
      <c r="L116" s="79"/>
      <c r="M116" s="93"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-72</v>
      </c>
      <c r="P116" s="88">
        <f t="shared" ca="1" si="2"/>
        <v>72</v>
      </c>
      <c r="Q116" s="88" t="str">
        <f t="shared" ca="1" si="3"/>
        <v>&gt;60 Days</v>
      </c>
    </row>
    <row r="117" spans="1:17" ht="55.2" x14ac:dyDescent="0.3">
      <c r="A117" s="93">
        <v>115</v>
      </c>
      <c r="B117" s="77" t="s">
        <v>767</v>
      </c>
      <c r="C117" s="77" t="s">
        <v>70</v>
      </c>
      <c r="D117" s="77" t="s">
        <v>477</v>
      </c>
      <c r="E117" s="77" t="s">
        <v>356</v>
      </c>
      <c r="F117" s="77" t="s">
        <v>768</v>
      </c>
      <c r="G117" s="77" t="s">
        <v>769</v>
      </c>
      <c r="H117" s="77" t="s">
        <v>74</v>
      </c>
      <c r="I117" s="77" t="s">
        <v>75</v>
      </c>
      <c r="J117" s="94">
        <v>46114.439583333333</v>
      </c>
      <c r="K117" s="94">
        <v>46121.381249999999</v>
      </c>
      <c r="L117" s="94">
        <v>46159.931250000001</v>
      </c>
      <c r="M117" s="93"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8" t="str">
        <f t="shared" ca="1" si="2"/>
        <v/>
      </c>
      <c r="Q117" s="88" t="str">
        <f t="shared" ca="1" si="3"/>
        <v/>
      </c>
    </row>
    <row r="118" spans="1:17" ht="41.4" x14ac:dyDescent="0.3">
      <c r="A118" s="93">
        <v>116</v>
      </c>
      <c r="B118" s="77" t="s">
        <v>770</v>
      </c>
      <c r="C118" s="77" t="s">
        <v>70</v>
      </c>
      <c r="D118" s="77" t="s">
        <v>477</v>
      </c>
      <c r="E118" s="77" t="s">
        <v>356</v>
      </c>
      <c r="F118" s="77" t="s">
        <v>771</v>
      </c>
      <c r="G118" s="77" t="s">
        <v>772</v>
      </c>
      <c r="H118" s="77" t="s">
        <v>74</v>
      </c>
      <c r="I118" s="77" t="s">
        <v>75</v>
      </c>
      <c r="J118" s="94">
        <v>46114.463888888888</v>
      </c>
      <c r="K118" s="94">
        <v>46115.707638888889</v>
      </c>
      <c r="L118" s="94">
        <v>46159.931944444441</v>
      </c>
      <c r="M118" s="93"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8" t="str">
        <f t="shared" ca="1" si="2"/>
        <v/>
      </c>
      <c r="Q118" s="88" t="str">
        <f t="shared" ca="1" si="3"/>
        <v/>
      </c>
    </row>
    <row r="119" spans="1:17" ht="41.4" x14ac:dyDescent="0.3">
      <c r="A119" s="93">
        <v>117</v>
      </c>
      <c r="B119" s="77" t="s">
        <v>773</v>
      </c>
      <c r="C119" s="77" t="s">
        <v>70</v>
      </c>
      <c r="D119" s="77" t="s">
        <v>477</v>
      </c>
      <c r="E119" s="77" t="s">
        <v>356</v>
      </c>
      <c r="F119" s="77" t="s">
        <v>774</v>
      </c>
      <c r="G119" s="77" t="s">
        <v>775</v>
      </c>
      <c r="H119" s="77" t="s">
        <v>74</v>
      </c>
      <c r="I119" s="77" t="s">
        <v>75</v>
      </c>
      <c r="J119" s="94">
        <v>46114.640277777777</v>
      </c>
      <c r="K119" s="94">
        <v>46140.393750000003</v>
      </c>
      <c r="L119" s="94">
        <v>46159.932638888888</v>
      </c>
      <c r="M119" s="93"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8" t="str">
        <f t="shared" ca="1" si="2"/>
        <v/>
      </c>
      <c r="Q119" s="88" t="str">
        <f t="shared" ca="1" si="3"/>
        <v/>
      </c>
    </row>
    <row r="120" spans="1:17" ht="27.6" x14ac:dyDescent="0.3">
      <c r="A120" s="93">
        <v>118</v>
      </c>
      <c r="B120" s="77" t="s">
        <v>776</v>
      </c>
      <c r="C120" s="77" t="s">
        <v>70</v>
      </c>
      <c r="D120" s="77" t="s">
        <v>465</v>
      </c>
      <c r="E120" s="77" t="s">
        <v>356</v>
      </c>
      <c r="F120" s="77" t="s">
        <v>777</v>
      </c>
      <c r="G120" s="77" t="s">
        <v>778</v>
      </c>
      <c r="H120" s="77" t="s">
        <v>74</v>
      </c>
      <c r="I120" s="77" t="s">
        <v>75</v>
      </c>
      <c r="J120" s="94">
        <v>46114.681250000001</v>
      </c>
      <c r="K120" s="94">
        <v>46127.507638888892</v>
      </c>
      <c r="L120" s="94">
        <v>46127.508333333331</v>
      </c>
      <c r="M120" s="93"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8" t="str">
        <f t="shared" ca="1" si="2"/>
        <v/>
      </c>
      <c r="Q120" s="88" t="str">
        <f t="shared" ca="1" si="3"/>
        <v/>
      </c>
    </row>
    <row r="121" spans="1:17" ht="41.4" x14ac:dyDescent="0.3">
      <c r="A121" s="93">
        <v>119</v>
      </c>
      <c r="B121" s="77" t="s">
        <v>779</v>
      </c>
      <c r="C121" s="77" t="s">
        <v>70</v>
      </c>
      <c r="D121" s="77" t="s">
        <v>465</v>
      </c>
      <c r="E121" s="77" t="s">
        <v>356</v>
      </c>
      <c r="F121" s="77" t="s">
        <v>780</v>
      </c>
      <c r="G121" s="77" t="s">
        <v>781</v>
      </c>
      <c r="H121" s="77" t="s">
        <v>74</v>
      </c>
      <c r="I121" s="77" t="s">
        <v>75</v>
      </c>
      <c r="J121" s="94">
        <v>46114.685416666667</v>
      </c>
      <c r="K121" s="94">
        <v>46115.480555555558</v>
      </c>
      <c r="L121" s="94">
        <v>46159.933333333334</v>
      </c>
      <c r="M121" s="93"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8" t="str">
        <f t="shared" ca="1" si="2"/>
        <v/>
      </c>
      <c r="Q121" s="88" t="str">
        <f t="shared" ca="1" si="3"/>
        <v/>
      </c>
    </row>
    <row r="122" spans="1:17" ht="55.2" x14ac:dyDescent="0.3">
      <c r="A122" s="93">
        <v>120</v>
      </c>
      <c r="B122" s="77" t="s">
        <v>782</v>
      </c>
      <c r="C122" s="77" t="s">
        <v>70</v>
      </c>
      <c r="D122" s="77" t="s">
        <v>465</v>
      </c>
      <c r="E122" s="77" t="s">
        <v>356</v>
      </c>
      <c r="F122" s="77" t="s">
        <v>783</v>
      </c>
      <c r="G122" s="77" t="s">
        <v>784</v>
      </c>
      <c r="H122" s="77" t="s">
        <v>74</v>
      </c>
      <c r="I122" s="77" t="s">
        <v>75</v>
      </c>
      <c r="J122" s="94">
        <v>46114.740277777775</v>
      </c>
      <c r="K122" s="94">
        <v>46115.39166666667</v>
      </c>
      <c r="L122" s="94">
        <v>46118.654861111114</v>
      </c>
      <c r="M122" s="93"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8" t="str">
        <f t="shared" ca="1" si="2"/>
        <v/>
      </c>
      <c r="Q122" s="88" t="str">
        <f t="shared" ca="1" si="3"/>
        <v/>
      </c>
    </row>
    <row r="123" spans="1:17" ht="69" x14ac:dyDescent="0.3">
      <c r="A123" s="93">
        <v>121</v>
      </c>
      <c r="B123" s="77" t="s">
        <v>785</v>
      </c>
      <c r="C123" s="77" t="s">
        <v>70</v>
      </c>
      <c r="D123" s="77" t="s">
        <v>477</v>
      </c>
      <c r="E123" s="77" t="s">
        <v>356</v>
      </c>
      <c r="F123" s="77" t="s">
        <v>786</v>
      </c>
      <c r="G123" s="77" t="s">
        <v>787</v>
      </c>
      <c r="H123" s="77" t="s">
        <v>74</v>
      </c>
      <c r="I123" s="77" t="s">
        <v>75</v>
      </c>
      <c r="J123" s="94">
        <v>46115.490972222222</v>
      </c>
      <c r="K123" s="94">
        <v>46127.511111111111</v>
      </c>
      <c r="L123" s="94">
        <v>46159.93472222222</v>
      </c>
      <c r="M123" s="93"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8" t="str">
        <f t="shared" ca="1" si="2"/>
        <v/>
      </c>
      <c r="Q123" s="88" t="str">
        <f t="shared" ca="1" si="3"/>
        <v/>
      </c>
    </row>
    <row r="124" spans="1:17" ht="41.4" x14ac:dyDescent="0.3">
      <c r="A124" s="93">
        <v>122</v>
      </c>
      <c r="B124" s="77" t="s">
        <v>788</v>
      </c>
      <c r="C124" s="77" t="s">
        <v>70</v>
      </c>
      <c r="D124" s="77" t="s">
        <v>477</v>
      </c>
      <c r="E124" s="77" t="s">
        <v>356</v>
      </c>
      <c r="F124" s="77" t="s">
        <v>789</v>
      </c>
      <c r="G124" s="77" t="s">
        <v>790</v>
      </c>
      <c r="H124" s="77" t="s">
        <v>74</v>
      </c>
      <c r="I124" s="77" t="s">
        <v>75</v>
      </c>
      <c r="J124" s="94">
        <v>46115.495138888888</v>
      </c>
      <c r="K124" s="94">
        <v>46120.488888888889</v>
      </c>
      <c r="L124" s="94">
        <v>46159.935416666667</v>
      </c>
      <c r="M124" s="93"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8" t="str">
        <f t="shared" ca="1" si="2"/>
        <v/>
      </c>
      <c r="Q124" s="88" t="str">
        <f t="shared" ca="1" si="3"/>
        <v/>
      </c>
    </row>
    <row r="125" spans="1:17" ht="41.4" x14ac:dyDescent="0.3">
      <c r="A125" s="93">
        <v>123</v>
      </c>
      <c r="B125" s="77" t="s">
        <v>791</v>
      </c>
      <c r="C125" s="77" t="s">
        <v>70</v>
      </c>
      <c r="D125" s="77" t="s">
        <v>477</v>
      </c>
      <c r="E125" s="77" t="s">
        <v>356</v>
      </c>
      <c r="F125" s="77" t="s">
        <v>792</v>
      </c>
      <c r="G125" s="77" t="s">
        <v>793</v>
      </c>
      <c r="H125" s="77" t="s">
        <v>74</v>
      </c>
      <c r="I125" s="77" t="s">
        <v>75</v>
      </c>
      <c r="J125" s="94">
        <v>46115.665277777778</v>
      </c>
      <c r="K125" s="94">
        <v>46120.611805555556</v>
      </c>
      <c r="L125" s="94">
        <v>46159.936111111114</v>
      </c>
      <c r="M125" s="93"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8" t="str">
        <f t="shared" ca="1" si="2"/>
        <v/>
      </c>
      <c r="Q125" s="88" t="str">
        <f t="shared" ca="1" si="3"/>
        <v/>
      </c>
    </row>
    <row r="126" spans="1:17" ht="55.2" x14ac:dyDescent="0.3">
      <c r="A126" s="93">
        <v>124</v>
      </c>
      <c r="B126" s="77" t="s">
        <v>794</v>
      </c>
      <c r="C126" s="77" t="s">
        <v>70</v>
      </c>
      <c r="D126" s="77" t="s">
        <v>465</v>
      </c>
      <c r="E126" s="77" t="s">
        <v>356</v>
      </c>
      <c r="F126" s="77" t="s">
        <v>795</v>
      </c>
      <c r="G126" s="77" t="s">
        <v>796</v>
      </c>
      <c r="H126" s="77" t="s">
        <v>74</v>
      </c>
      <c r="I126" s="77" t="s">
        <v>75</v>
      </c>
      <c r="J126" s="94">
        <v>46115.742361111108</v>
      </c>
      <c r="K126" s="94">
        <v>46136.724999999999</v>
      </c>
      <c r="L126" s="94">
        <v>46159.936805555553</v>
      </c>
      <c r="M126" s="93"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8" t="str">
        <f t="shared" ca="1" si="2"/>
        <v/>
      </c>
      <c r="Q126" s="88" t="str">
        <f t="shared" ca="1" si="3"/>
        <v/>
      </c>
    </row>
    <row r="127" spans="1:17" ht="55.2" x14ac:dyDescent="0.3">
      <c r="A127" s="93">
        <v>125</v>
      </c>
      <c r="B127" s="77" t="s">
        <v>797</v>
      </c>
      <c r="C127" s="79"/>
      <c r="D127" s="77" t="s">
        <v>465</v>
      </c>
      <c r="E127" s="77" t="s">
        <v>356</v>
      </c>
      <c r="F127" s="77" t="s">
        <v>798</v>
      </c>
      <c r="G127" s="77" t="s">
        <v>799</v>
      </c>
      <c r="H127" s="77" t="s">
        <v>74</v>
      </c>
      <c r="I127" s="77" t="s">
        <v>75</v>
      </c>
      <c r="J127" s="94">
        <v>46115.745833333334</v>
      </c>
      <c r="K127" s="79"/>
      <c r="L127" s="79"/>
      <c r="M127" s="93" t="s">
        <v>77</v>
      </c>
      <c r="N127" s="59">
        <f>IF(ISBLANK(J127),"",IF(OR(M127="Completed",M127="Closed"),"",IF(H127="Issue",IF(I127="High",WORKDAY(J127,2,DATA!A126:A154),IF(I127="Medium",WORKDAY(J127,14,DATA!A126:A154),IF(OR(I127="Low"),WORKDAY(J127,30,DATA!A126:A154),""))),
"")
))</f>
        <v>46135</v>
      </c>
      <c r="O127" s="60">
        <f ca="1">IF(OR(ISBLANK(#REF!), M127="Completed", M127="Closed", H127&lt;&gt;"Issue"), "",
   (NETWORKDAYS.INTL(TODAY(), N127, 1, DATA!A126:A154) - 1))</f>
        <v>-71</v>
      </c>
      <c r="P127" s="88">
        <f t="shared" ca="1" si="2"/>
        <v>71</v>
      </c>
      <c r="Q127" s="88" t="str">
        <f t="shared" ca="1" si="3"/>
        <v>&gt;60 Days</v>
      </c>
    </row>
    <row r="128" spans="1:17" x14ac:dyDescent="0.3">
      <c r="A128" s="93">
        <v>126</v>
      </c>
      <c r="B128" s="77" t="s">
        <v>800</v>
      </c>
      <c r="C128" s="77" t="s">
        <v>70</v>
      </c>
      <c r="D128" s="77" t="s">
        <v>465</v>
      </c>
      <c r="E128" s="77" t="s">
        <v>356</v>
      </c>
      <c r="F128" s="77" t="s">
        <v>801</v>
      </c>
      <c r="G128" s="77" t="s">
        <v>802</v>
      </c>
      <c r="H128" s="77" t="s">
        <v>74</v>
      </c>
      <c r="I128" s="77" t="s">
        <v>75</v>
      </c>
      <c r="J128" s="94">
        <v>46118.428472222222</v>
      </c>
      <c r="K128" s="94">
        <v>46118.46597222222</v>
      </c>
      <c r="L128" s="94">
        <v>46118.466666666667</v>
      </c>
      <c r="M128" s="93"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8" t="str">
        <f t="shared" ca="1" si="2"/>
        <v/>
      </c>
      <c r="Q128" s="88" t="str">
        <f t="shared" ca="1" si="3"/>
        <v/>
      </c>
    </row>
    <row r="129" spans="1:17" ht="138" customHeight="1" x14ac:dyDescent="0.3">
      <c r="A129" s="93">
        <v>127</v>
      </c>
      <c r="B129" s="77" t="s">
        <v>803</v>
      </c>
      <c r="C129" s="79"/>
      <c r="D129" s="77" t="s">
        <v>804</v>
      </c>
      <c r="E129" s="77" t="s">
        <v>356</v>
      </c>
      <c r="F129" s="77" t="s">
        <v>805</v>
      </c>
      <c r="G129" s="77" t="s">
        <v>806</v>
      </c>
      <c r="H129" s="77" t="s">
        <v>74</v>
      </c>
      <c r="I129" s="77" t="s">
        <v>75</v>
      </c>
      <c r="J129" s="94">
        <v>46118.638888888891</v>
      </c>
      <c r="K129" s="79"/>
      <c r="L129" s="79"/>
      <c r="M129" s="93"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-70</v>
      </c>
      <c r="P129" s="88">
        <f t="shared" ca="1" si="2"/>
        <v>70</v>
      </c>
      <c r="Q129" s="88" t="str">
        <f t="shared" ca="1" si="3"/>
        <v>&gt;60 Days</v>
      </c>
    </row>
    <row r="130" spans="1:17" ht="69" x14ac:dyDescent="0.3">
      <c r="A130" s="93">
        <v>128</v>
      </c>
      <c r="B130" s="77" t="s">
        <v>807</v>
      </c>
      <c r="C130" s="79"/>
      <c r="D130" s="77" t="s">
        <v>465</v>
      </c>
      <c r="E130" s="77" t="s">
        <v>356</v>
      </c>
      <c r="F130" s="77" t="s">
        <v>808</v>
      </c>
      <c r="G130" s="77" t="s">
        <v>809</v>
      </c>
      <c r="H130" s="77" t="s">
        <v>74</v>
      </c>
      <c r="I130" s="77" t="s">
        <v>75</v>
      </c>
      <c r="J130" s="94">
        <v>46119.431250000001</v>
      </c>
      <c r="K130" s="79"/>
      <c r="L130" s="79"/>
      <c r="M130" s="93" t="s">
        <v>77</v>
      </c>
      <c r="N130" s="59">
        <f>IF(ISBLANK(J130),"",IF(OR(M130="Completed",M130="Closed"),"",IF(H130="Issue",IF(I130="High",WORKDAY(J130,2,DATA!A129:A157),IF(I130="Medium",WORKDAY(J130,14,DATA!A129:A157),IF(OR(I130="Low"),WORKDAY(J130,30,DATA!A129:A157),""))),
"")
))</f>
        <v>46139</v>
      </c>
      <c r="O130" s="60">
        <f ca="1">IF(OR(ISBLANK(#REF!), M130="Completed", M130="Closed", H130&lt;&gt;"Issue"), "",
   (NETWORKDAYS.INTL(TODAY(), N130, 1, DATA!A129:A157) - 1))</f>
        <v>-69</v>
      </c>
      <c r="P130" s="88">
        <f t="shared" ca="1" si="2"/>
        <v>69</v>
      </c>
      <c r="Q130" s="88" t="str">
        <f t="shared" ca="1" si="3"/>
        <v>&gt;60 Days</v>
      </c>
    </row>
    <row r="131" spans="1:17" ht="96.6" x14ac:dyDescent="0.3">
      <c r="A131" s="93">
        <v>129</v>
      </c>
      <c r="B131" s="77" t="s">
        <v>810</v>
      </c>
      <c r="C131" s="77" t="s">
        <v>70</v>
      </c>
      <c r="D131" s="77" t="s">
        <v>465</v>
      </c>
      <c r="E131" s="77" t="s">
        <v>356</v>
      </c>
      <c r="F131" s="77" t="s">
        <v>811</v>
      </c>
      <c r="G131" s="77" t="s">
        <v>812</v>
      </c>
      <c r="H131" s="77" t="s">
        <v>74</v>
      </c>
      <c r="I131" s="77" t="s">
        <v>75</v>
      </c>
      <c r="J131" s="94">
        <v>46119.445833333331</v>
      </c>
      <c r="K131" s="94">
        <v>46204.615277777775</v>
      </c>
      <c r="L131" s="79"/>
      <c r="M131" s="93"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8" t="str">
        <f t="shared" ca="1" si="2"/>
        <v/>
      </c>
      <c r="Q131" s="88" t="str">
        <f t="shared" ca="1" si="3"/>
        <v/>
      </c>
    </row>
    <row r="132" spans="1:17" ht="41.4" x14ac:dyDescent="0.3">
      <c r="A132" s="93">
        <v>130</v>
      </c>
      <c r="B132" s="77" t="s">
        <v>813</v>
      </c>
      <c r="C132" s="77" t="s">
        <v>70</v>
      </c>
      <c r="D132" s="77" t="s">
        <v>477</v>
      </c>
      <c r="E132" s="77" t="s">
        <v>356</v>
      </c>
      <c r="F132" s="77" t="s">
        <v>814</v>
      </c>
      <c r="G132" s="77" t="s">
        <v>815</v>
      </c>
      <c r="H132" s="77" t="s">
        <v>74</v>
      </c>
      <c r="I132" s="77" t="s">
        <v>75</v>
      </c>
      <c r="J132" s="94">
        <v>46119.459722222222</v>
      </c>
      <c r="K132" s="94">
        <v>46119.628472222219</v>
      </c>
      <c r="L132" s="94">
        <v>46119.628472222219</v>
      </c>
      <c r="M132" s="93"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8" t="str">
        <f t="shared" ref="P132:P189" ca="1" si="4">IF(O132="","",LEFT(O132,10)*(-1))</f>
        <v/>
      </c>
      <c r="Q132" s="88" t="str">
        <f t="shared" ref="Q132:Q189" ca="1" si="5">IF(P132="","",
IF(P132&lt;=0,"Not Due",
IF(P132&lt;=30,"1-30 Days",
IF(P132&lt;=60,"31-60 Days",
"&gt;60 Days"))))</f>
        <v/>
      </c>
    </row>
    <row r="133" spans="1:17" ht="41.4" x14ac:dyDescent="0.3">
      <c r="A133" s="93">
        <v>131</v>
      </c>
      <c r="B133" s="77" t="s">
        <v>816</v>
      </c>
      <c r="C133" s="77" t="s">
        <v>70</v>
      </c>
      <c r="D133" s="77" t="s">
        <v>465</v>
      </c>
      <c r="E133" s="77" t="s">
        <v>356</v>
      </c>
      <c r="F133" s="77" t="s">
        <v>817</v>
      </c>
      <c r="G133" s="77" t="s">
        <v>818</v>
      </c>
      <c r="H133" s="77" t="s">
        <v>74</v>
      </c>
      <c r="I133" s="77" t="s">
        <v>75</v>
      </c>
      <c r="J133" s="94">
        <v>46119.495138888888</v>
      </c>
      <c r="K133" s="94">
        <v>46119.673611111109</v>
      </c>
      <c r="L133" s="94">
        <v>46159.938888888886</v>
      </c>
      <c r="M133" s="93"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8" t="str">
        <f t="shared" ca="1" si="4"/>
        <v/>
      </c>
      <c r="Q133" s="88" t="str">
        <f t="shared" ca="1" si="5"/>
        <v/>
      </c>
    </row>
    <row r="134" spans="1:17" ht="27.6" x14ac:dyDescent="0.3">
      <c r="A134" s="93">
        <v>132</v>
      </c>
      <c r="B134" s="77" t="s">
        <v>819</v>
      </c>
      <c r="C134" s="77" t="s">
        <v>70</v>
      </c>
      <c r="D134" s="77" t="s">
        <v>552</v>
      </c>
      <c r="E134" s="77" t="s">
        <v>356</v>
      </c>
      <c r="F134" s="77" t="s">
        <v>820</v>
      </c>
      <c r="G134" s="77" t="s">
        <v>821</v>
      </c>
      <c r="H134" s="77" t="s">
        <v>74</v>
      </c>
      <c r="I134" s="77" t="s">
        <v>75</v>
      </c>
      <c r="J134" s="94">
        <v>46119.644444444442</v>
      </c>
      <c r="K134" s="94">
        <v>46121.599305555559</v>
      </c>
      <c r="L134" s="94">
        <v>46159.938888888886</v>
      </c>
      <c r="M134" s="93"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8" t="str">
        <f t="shared" ca="1" si="4"/>
        <v/>
      </c>
      <c r="Q134" s="88" t="str">
        <f t="shared" ca="1" si="5"/>
        <v/>
      </c>
    </row>
    <row r="135" spans="1:17" ht="27.6" x14ac:dyDescent="0.3">
      <c r="A135" s="93">
        <v>133</v>
      </c>
      <c r="B135" s="77" t="s">
        <v>822</v>
      </c>
      <c r="C135" s="79"/>
      <c r="D135" s="77" t="s">
        <v>552</v>
      </c>
      <c r="E135" s="77" t="s">
        <v>356</v>
      </c>
      <c r="F135" s="77" t="s">
        <v>820</v>
      </c>
      <c r="G135" s="77" t="s">
        <v>823</v>
      </c>
      <c r="H135" s="77" t="s">
        <v>74</v>
      </c>
      <c r="I135" s="77" t="s">
        <v>75</v>
      </c>
      <c r="J135" s="94">
        <v>46119.646527777775</v>
      </c>
      <c r="K135" s="79"/>
      <c r="L135" s="79"/>
      <c r="M135" s="93"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-69</v>
      </c>
      <c r="P135" s="88">
        <f t="shared" ca="1" si="4"/>
        <v>69</v>
      </c>
      <c r="Q135" s="88" t="str">
        <f t="shared" ca="1" si="5"/>
        <v>&gt;60 Days</v>
      </c>
    </row>
    <row r="136" spans="1:17" ht="165.6" x14ac:dyDescent="0.3">
      <c r="A136" s="93">
        <v>134</v>
      </c>
      <c r="B136" s="77" t="s">
        <v>824</v>
      </c>
      <c r="C136" s="79"/>
      <c r="D136" s="77" t="s">
        <v>552</v>
      </c>
      <c r="E136" s="77" t="s">
        <v>356</v>
      </c>
      <c r="F136" s="77" t="s">
        <v>825</v>
      </c>
      <c r="G136" s="77" t="s">
        <v>826</v>
      </c>
      <c r="H136" s="77" t="s">
        <v>74</v>
      </c>
      <c r="I136" s="77" t="s">
        <v>75</v>
      </c>
      <c r="J136" s="94">
        <v>46119.652083333334</v>
      </c>
      <c r="K136" s="79"/>
      <c r="L136" s="79"/>
      <c r="M136" s="93"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-69</v>
      </c>
      <c r="P136" s="88">
        <f t="shared" ca="1" si="4"/>
        <v>69</v>
      </c>
      <c r="Q136" s="88" t="str">
        <f t="shared" ca="1" si="5"/>
        <v>&gt;60 Days</v>
      </c>
    </row>
    <row r="137" spans="1:17" ht="55.2" x14ac:dyDescent="0.3">
      <c r="A137" s="93">
        <v>135</v>
      </c>
      <c r="B137" s="77" t="s">
        <v>827</v>
      </c>
      <c r="C137" s="79"/>
      <c r="D137" s="77" t="s">
        <v>465</v>
      </c>
      <c r="E137" s="77" t="s">
        <v>356</v>
      </c>
      <c r="F137" s="77" t="s">
        <v>828</v>
      </c>
      <c r="G137" s="77" t="s">
        <v>829</v>
      </c>
      <c r="H137" s="77" t="s">
        <v>74</v>
      </c>
      <c r="I137" s="77" t="s">
        <v>75</v>
      </c>
      <c r="J137" s="94">
        <v>46120.457638888889</v>
      </c>
      <c r="K137" s="79"/>
      <c r="L137" s="79"/>
      <c r="M137" s="93" t="s">
        <v>77</v>
      </c>
      <c r="N137" s="59">
        <f>IF(ISBLANK(J137),"",IF(OR(M137="Completed",M137="Closed"),"",IF(H137="Issue",IF(I137="High",WORKDAY(J137,2,DATA!A136:A164),IF(I137="Medium",WORKDAY(J137,14,DATA!A136:A164),IF(OR(I137="Low"),WORKDAY(J137,30,DATA!A136:A164),""))),
"")
))</f>
        <v>46140</v>
      </c>
      <c r="O137" s="60">
        <f ca="1">IF(OR(ISBLANK(#REF!), M137="Completed", M137="Closed", H137&lt;&gt;"Issue"), "",
   (NETWORKDAYS.INTL(TODAY(), N137, 1, DATA!A136:A164) - 1))</f>
        <v>-68</v>
      </c>
      <c r="P137" s="88">
        <f t="shared" ca="1" si="4"/>
        <v>68</v>
      </c>
      <c r="Q137" s="88" t="str">
        <f t="shared" ca="1" si="5"/>
        <v>&gt;60 Days</v>
      </c>
    </row>
    <row r="138" spans="1:17" ht="27.6" x14ac:dyDescent="0.3">
      <c r="A138" s="93">
        <v>136</v>
      </c>
      <c r="B138" s="77" t="s">
        <v>830</v>
      </c>
      <c r="C138" s="77" t="s">
        <v>70</v>
      </c>
      <c r="D138" s="77" t="s">
        <v>477</v>
      </c>
      <c r="E138" s="77" t="s">
        <v>356</v>
      </c>
      <c r="F138" s="77" t="s">
        <v>831</v>
      </c>
      <c r="G138" s="77" t="s">
        <v>832</v>
      </c>
      <c r="H138" s="77" t="s">
        <v>74</v>
      </c>
      <c r="I138" s="77" t="s">
        <v>75</v>
      </c>
      <c r="J138" s="94">
        <v>46120.59375</v>
      </c>
      <c r="K138" s="94">
        <v>46136.420138888891</v>
      </c>
      <c r="L138" s="94">
        <v>46159.939583333333</v>
      </c>
      <c r="M138" s="93"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8" t="str">
        <f t="shared" ca="1" si="4"/>
        <v/>
      </c>
      <c r="Q138" s="88" t="str">
        <f t="shared" ca="1" si="5"/>
        <v/>
      </c>
    </row>
    <row r="139" spans="1:17" ht="15.6" customHeight="1" x14ac:dyDescent="0.3">
      <c r="A139" s="93">
        <v>137</v>
      </c>
      <c r="B139" s="93" t="s">
        <v>833</v>
      </c>
      <c r="C139" s="93" t="s">
        <v>70</v>
      </c>
      <c r="D139" s="93" t="s">
        <v>477</v>
      </c>
      <c r="E139" s="93" t="s">
        <v>356</v>
      </c>
      <c r="F139" s="93" t="s">
        <v>834</v>
      </c>
      <c r="G139" s="93" t="s">
        <v>835</v>
      </c>
      <c r="H139" s="93" t="s">
        <v>74</v>
      </c>
      <c r="I139" s="93" t="s">
        <v>75</v>
      </c>
      <c r="J139" s="94">
        <v>46120.63958333333</v>
      </c>
      <c r="K139" s="94">
        <v>46134.661111111112</v>
      </c>
      <c r="L139" s="94">
        <v>46159.940972222219</v>
      </c>
      <c r="M139" s="93"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8" t="str">
        <f t="shared" ca="1" si="4"/>
        <v/>
      </c>
      <c r="Q139" s="88" t="str">
        <f t="shared" ca="1" si="5"/>
        <v/>
      </c>
    </row>
    <row r="140" spans="1:17" ht="41.4" x14ac:dyDescent="0.3">
      <c r="A140" s="93">
        <v>139</v>
      </c>
      <c r="B140" s="77" t="s">
        <v>836</v>
      </c>
      <c r="C140" s="77" t="s">
        <v>70</v>
      </c>
      <c r="D140" s="77" t="s">
        <v>477</v>
      </c>
      <c r="E140" s="77" t="s">
        <v>356</v>
      </c>
      <c r="F140" s="77" t="s">
        <v>837</v>
      </c>
      <c r="G140" s="77" t="s">
        <v>838</v>
      </c>
      <c r="H140" s="77" t="s">
        <v>74</v>
      </c>
      <c r="I140" s="77" t="s">
        <v>75</v>
      </c>
      <c r="J140" s="94">
        <v>46120.679166666669</v>
      </c>
      <c r="K140" s="94">
        <v>46133.420138888891</v>
      </c>
      <c r="L140" s="94">
        <v>46133.42083333333</v>
      </c>
      <c r="M140" s="93"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8" t="str">
        <f t="shared" ca="1" si="4"/>
        <v/>
      </c>
      <c r="Q140" s="88" t="str">
        <f t="shared" ca="1" si="5"/>
        <v/>
      </c>
    </row>
    <row r="141" spans="1:17" ht="41.4" x14ac:dyDescent="0.3">
      <c r="A141" s="93">
        <v>140</v>
      </c>
      <c r="B141" s="77" t="s">
        <v>839</v>
      </c>
      <c r="C141" s="77" t="s">
        <v>70</v>
      </c>
      <c r="D141" s="77" t="s">
        <v>465</v>
      </c>
      <c r="E141" s="77" t="s">
        <v>356</v>
      </c>
      <c r="F141" s="77" t="s">
        <v>840</v>
      </c>
      <c r="G141" s="77" t="s">
        <v>841</v>
      </c>
      <c r="H141" s="77" t="s">
        <v>74</v>
      </c>
      <c r="I141" s="77" t="s">
        <v>75</v>
      </c>
      <c r="J141" s="94">
        <v>46121.616666666669</v>
      </c>
      <c r="K141" s="94">
        <v>46121.648611111108</v>
      </c>
      <c r="L141" s="94">
        <v>46159.941666666666</v>
      </c>
      <c r="M141" s="93"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8" t="str">
        <f t="shared" ca="1" si="4"/>
        <v/>
      </c>
      <c r="Q141" s="88" t="str">
        <f t="shared" ca="1" si="5"/>
        <v/>
      </c>
    </row>
    <row r="142" spans="1:17" ht="41.4" x14ac:dyDescent="0.3">
      <c r="A142" s="93">
        <v>141</v>
      </c>
      <c r="B142" s="77" t="s">
        <v>842</v>
      </c>
      <c r="C142" s="77" t="s">
        <v>70</v>
      </c>
      <c r="D142" s="77" t="s">
        <v>465</v>
      </c>
      <c r="E142" s="77" t="s">
        <v>356</v>
      </c>
      <c r="F142" s="77" t="s">
        <v>843</v>
      </c>
      <c r="G142" s="77" t="s">
        <v>844</v>
      </c>
      <c r="H142" s="77" t="s">
        <v>74</v>
      </c>
      <c r="I142" s="77" t="s">
        <v>75</v>
      </c>
      <c r="J142" s="94">
        <v>46121.618750000001</v>
      </c>
      <c r="K142" s="94">
        <v>46121.647222222222</v>
      </c>
      <c r="L142" s="94">
        <v>46159.941666666666</v>
      </c>
      <c r="M142" s="93"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8" t="str">
        <f t="shared" ca="1" si="4"/>
        <v/>
      </c>
      <c r="Q142" s="88" t="str">
        <f t="shared" ca="1" si="5"/>
        <v/>
      </c>
    </row>
    <row r="143" spans="1:17" ht="69" x14ac:dyDescent="0.3">
      <c r="A143" s="93">
        <v>142</v>
      </c>
      <c r="B143" s="77" t="s">
        <v>845</v>
      </c>
      <c r="C143" s="77" t="s">
        <v>70</v>
      </c>
      <c r="D143" s="77" t="s">
        <v>465</v>
      </c>
      <c r="E143" s="77" t="s">
        <v>356</v>
      </c>
      <c r="F143" s="77" t="s">
        <v>846</v>
      </c>
      <c r="G143" s="77" t="s">
        <v>847</v>
      </c>
      <c r="H143" s="77" t="s">
        <v>74</v>
      </c>
      <c r="I143" s="77" t="s">
        <v>75</v>
      </c>
      <c r="J143" s="94">
        <v>46121.625</v>
      </c>
      <c r="K143" s="94">
        <v>46122.365277777775</v>
      </c>
      <c r="L143" s="94">
        <v>46122.365277777775</v>
      </c>
      <c r="M143" s="93"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8" t="str">
        <f t="shared" ca="1" si="4"/>
        <v/>
      </c>
      <c r="Q143" s="88" t="str">
        <f t="shared" ca="1" si="5"/>
        <v/>
      </c>
    </row>
    <row r="144" spans="1:17" ht="82.8" x14ac:dyDescent="0.3">
      <c r="A144" s="93">
        <v>143</v>
      </c>
      <c r="B144" s="77" t="s">
        <v>848</v>
      </c>
      <c r="C144" s="77" t="s">
        <v>70</v>
      </c>
      <c r="D144" s="77" t="s">
        <v>465</v>
      </c>
      <c r="E144" s="77" t="s">
        <v>356</v>
      </c>
      <c r="F144" s="77" t="s">
        <v>849</v>
      </c>
      <c r="G144" s="77" t="s">
        <v>850</v>
      </c>
      <c r="H144" s="77" t="s">
        <v>74</v>
      </c>
      <c r="I144" s="77" t="s">
        <v>75</v>
      </c>
      <c r="J144" s="94">
        <v>46121.660416666666</v>
      </c>
      <c r="K144" s="94">
        <v>46129.370833333334</v>
      </c>
      <c r="L144" s="94">
        <v>46159.942361111112</v>
      </c>
      <c r="M144" s="93"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8" t="str">
        <f t="shared" ca="1" si="4"/>
        <v/>
      </c>
      <c r="Q144" s="88" t="str">
        <f t="shared" ca="1" si="5"/>
        <v/>
      </c>
    </row>
    <row r="145" spans="1:17" ht="41.4" x14ac:dyDescent="0.3">
      <c r="A145" s="93">
        <v>144</v>
      </c>
      <c r="B145" s="77" t="s">
        <v>851</v>
      </c>
      <c r="C145" s="77" t="s">
        <v>70</v>
      </c>
      <c r="D145" s="77" t="s">
        <v>465</v>
      </c>
      <c r="E145" s="77" t="s">
        <v>356</v>
      </c>
      <c r="F145" s="77" t="s">
        <v>852</v>
      </c>
      <c r="G145" s="77" t="s">
        <v>853</v>
      </c>
      <c r="H145" s="77" t="s">
        <v>74</v>
      </c>
      <c r="I145" s="77" t="s">
        <v>75</v>
      </c>
      <c r="J145" s="94">
        <v>46122.491666666669</v>
      </c>
      <c r="K145" s="94">
        <v>46132.466666666667</v>
      </c>
      <c r="L145" s="94">
        <v>46159.943055555559</v>
      </c>
      <c r="M145" s="93"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8" t="str">
        <f t="shared" ca="1" si="4"/>
        <v/>
      </c>
      <c r="Q145" s="88" t="str">
        <f t="shared" ca="1" si="5"/>
        <v/>
      </c>
    </row>
    <row r="146" spans="1:17" ht="96.6" x14ac:dyDescent="0.3">
      <c r="A146" s="93">
        <v>145</v>
      </c>
      <c r="B146" s="77" t="s">
        <v>854</v>
      </c>
      <c r="C146" s="77" t="s">
        <v>70</v>
      </c>
      <c r="D146" s="77" t="s">
        <v>477</v>
      </c>
      <c r="E146" s="77" t="s">
        <v>356</v>
      </c>
      <c r="F146" s="77" t="s">
        <v>855</v>
      </c>
      <c r="G146" s="77" t="s">
        <v>856</v>
      </c>
      <c r="H146" s="77" t="s">
        <v>74</v>
      </c>
      <c r="I146" s="77" t="s">
        <v>75</v>
      </c>
      <c r="J146" s="94">
        <v>46125.602083333331</v>
      </c>
      <c r="K146" s="94">
        <v>46129.695138888892</v>
      </c>
      <c r="L146" s="94">
        <v>46129.725694444445</v>
      </c>
      <c r="M146" s="93"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8" t="str">
        <f t="shared" ca="1" si="4"/>
        <v/>
      </c>
      <c r="Q146" s="88" t="str">
        <f t="shared" ca="1" si="5"/>
        <v/>
      </c>
    </row>
    <row r="147" spans="1:17" ht="82.8" x14ac:dyDescent="0.3">
      <c r="A147" s="93">
        <v>146</v>
      </c>
      <c r="B147" s="77" t="s">
        <v>857</v>
      </c>
      <c r="C147" s="77" t="s">
        <v>70</v>
      </c>
      <c r="D147" s="77" t="s">
        <v>477</v>
      </c>
      <c r="E147" s="77" t="s">
        <v>356</v>
      </c>
      <c r="F147" s="77" t="s">
        <v>858</v>
      </c>
      <c r="G147" s="77" t="s">
        <v>859</v>
      </c>
      <c r="H147" s="77" t="s">
        <v>74</v>
      </c>
      <c r="I147" s="77" t="s">
        <v>75</v>
      </c>
      <c r="J147" s="94">
        <v>46125.604166666664</v>
      </c>
      <c r="K147" s="79"/>
      <c r="L147" s="79"/>
      <c r="M147" s="93"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-65</v>
      </c>
      <c r="P147" s="88">
        <f t="shared" ca="1" si="4"/>
        <v>65</v>
      </c>
      <c r="Q147" s="88" t="str">
        <f t="shared" ca="1" si="5"/>
        <v>&gt;60 Days</v>
      </c>
    </row>
    <row r="148" spans="1:17" ht="55.2" x14ac:dyDescent="0.3">
      <c r="A148" s="93">
        <v>147</v>
      </c>
      <c r="B148" s="77" t="s">
        <v>860</v>
      </c>
      <c r="C148" s="77" t="s">
        <v>70</v>
      </c>
      <c r="D148" s="77" t="s">
        <v>465</v>
      </c>
      <c r="E148" s="77" t="s">
        <v>356</v>
      </c>
      <c r="F148" s="77" t="s">
        <v>861</v>
      </c>
      <c r="G148" s="77" t="s">
        <v>862</v>
      </c>
      <c r="H148" s="77" t="s">
        <v>74</v>
      </c>
      <c r="I148" s="77" t="s">
        <v>75</v>
      </c>
      <c r="J148" s="94">
        <v>46126.458333333336</v>
      </c>
      <c r="K148" s="94">
        <v>46128.615972222222</v>
      </c>
      <c r="L148" s="94">
        <v>46159.944444444445</v>
      </c>
      <c r="M148" s="93"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8" t="str">
        <f t="shared" ca="1" si="4"/>
        <v/>
      </c>
      <c r="Q148" s="88" t="str">
        <f t="shared" ca="1" si="5"/>
        <v/>
      </c>
    </row>
    <row r="149" spans="1:17" ht="69" x14ac:dyDescent="0.3">
      <c r="A149" s="93">
        <v>148</v>
      </c>
      <c r="B149" s="77" t="s">
        <v>863</v>
      </c>
      <c r="C149" s="77" t="s">
        <v>70</v>
      </c>
      <c r="D149" s="77" t="s">
        <v>465</v>
      </c>
      <c r="E149" s="77" t="s">
        <v>356</v>
      </c>
      <c r="F149" s="77" t="s">
        <v>864</v>
      </c>
      <c r="G149" s="77" t="s">
        <v>865</v>
      </c>
      <c r="H149" s="77" t="s">
        <v>74</v>
      </c>
      <c r="I149" s="77" t="s">
        <v>75</v>
      </c>
      <c r="J149" s="94">
        <v>46126.729166666664</v>
      </c>
      <c r="K149" s="94">
        <v>46129.649305555555</v>
      </c>
      <c r="L149" s="94">
        <v>46129.65</v>
      </c>
      <c r="M149" s="93"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8" t="str">
        <f t="shared" ca="1" si="4"/>
        <v/>
      </c>
      <c r="Q149" s="88" t="str">
        <f t="shared" ca="1" si="5"/>
        <v/>
      </c>
    </row>
    <row r="150" spans="1:17" ht="55.2" x14ac:dyDescent="0.3">
      <c r="A150" s="93">
        <v>149</v>
      </c>
      <c r="B150" s="77" t="s">
        <v>866</v>
      </c>
      <c r="C150" s="77" t="s">
        <v>70</v>
      </c>
      <c r="D150" s="77" t="s">
        <v>465</v>
      </c>
      <c r="E150" s="77" t="s">
        <v>356</v>
      </c>
      <c r="F150" s="77" t="s">
        <v>87</v>
      </c>
      <c r="G150" s="77" t="s">
        <v>867</v>
      </c>
      <c r="H150" s="77" t="s">
        <v>74</v>
      </c>
      <c r="I150" s="77" t="s">
        <v>75</v>
      </c>
      <c r="J150" s="94">
        <v>46127.506249999999</v>
      </c>
      <c r="K150" s="94">
        <v>46129.695833333331</v>
      </c>
      <c r="L150" s="94">
        <v>46159.949305555558</v>
      </c>
      <c r="M150" s="93"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8" t="str">
        <f t="shared" ca="1" si="4"/>
        <v/>
      </c>
      <c r="Q150" s="88" t="str">
        <f t="shared" ca="1" si="5"/>
        <v/>
      </c>
    </row>
    <row r="151" spans="1:17" ht="138" x14ac:dyDescent="0.3">
      <c r="A151" s="93">
        <v>150</v>
      </c>
      <c r="B151" s="77" t="s">
        <v>868</v>
      </c>
      <c r="C151" s="77" t="s">
        <v>70</v>
      </c>
      <c r="D151" s="77" t="s">
        <v>477</v>
      </c>
      <c r="E151" s="77" t="s">
        <v>356</v>
      </c>
      <c r="F151" s="77" t="s">
        <v>869</v>
      </c>
      <c r="G151" s="77" t="s">
        <v>870</v>
      </c>
      <c r="H151" s="77" t="s">
        <v>74</v>
      </c>
      <c r="I151" s="77" t="s">
        <v>75</v>
      </c>
      <c r="J151" s="94">
        <v>46127.518750000003</v>
      </c>
      <c r="K151" s="94">
        <v>46129.478472222225</v>
      </c>
      <c r="L151" s="94">
        <v>46159.95</v>
      </c>
      <c r="M151" s="93"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8" t="str">
        <f t="shared" ca="1" si="4"/>
        <v/>
      </c>
      <c r="Q151" s="88" t="str">
        <f t="shared" ca="1" si="5"/>
        <v/>
      </c>
    </row>
    <row r="152" spans="1:17" ht="41.4" x14ac:dyDescent="0.3">
      <c r="A152" s="93">
        <v>151</v>
      </c>
      <c r="B152" s="77" t="s">
        <v>871</v>
      </c>
      <c r="C152" s="77" t="s">
        <v>70</v>
      </c>
      <c r="D152" s="77" t="s">
        <v>465</v>
      </c>
      <c r="E152" s="77" t="s">
        <v>356</v>
      </c>
      <c r="F152" s="77" t="s">
        <v>872</v>
      </c>
      <c r="G152" s="77" t="s">
        <v>873</v>
      </c>
      <c r="H152" s="77" t="s">
        <v>74</v>
      </c>
      <c r="I152" s="77" t="s">
        <v>75</v>
      </c>
      <c r="J152" s="94">
        <v>46127.522916666669</v>
      </c>
      <c r="K152" s="94">
        <v>46127.660416666666</v>
      </c>
      <c r="L152" s="94">
        <v>46127.660416666666</v>
      </c>
      <c r="M152" s="93"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8" t="str">
        <f t="shared" ca="1" si="4"/>
        <v/>
      </c>
      <c r="Q152" s="88" t="str">
        <f t="shared" ca="1" si="5"/>
        <v/>
      </c>
    </row>
    <row r="153" spans="1:17" ht="41.4" x14ac:dyDescent="0.3">
      <c r="A153" s="93">
        <v>152</v>
      </c>
      <c r="B153" s="77" t="s">
        <v>874</v>
      </c>
      <c r="C153" s="77" t="s">
        <v>70</v>
      </c>
      <c r="D153" s="77" t="s">
        <v>465</v>
      </c>
      <c r="E153" s="77" t="s">
        <v>356</v>
      </c>
      <c r="F153" s="77" t="s">
        <v>875</v>
      </c>
      <c r="G153" s="77" t="s">
        <v>876</v>
      </c>
      <c r="H153" s="77" t="s">
        <v>74</v>
      </c>
      <c r="I153" s="77" t="s">
        <v>75</v>
      </c>
      <c r="J153" s="94">
        <v>46127.677083333336</v>
      </c>
      <c r="K153" s="94">
        <v>46128.604166666664</v>
      </c>
      <c r="L153" s="94">
        <v>46159.95208333333</v>
      </c>
      <c r="M153" s="93"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8" t="str">
        <f t="shared" ca="1" si="4"/>
        <v/>
      </c>
      <c r="Q153" s="88" t="str">
        <f t="shared" ca="1" si="5"/>
        <v/>
      </c>
    </row>
    <row r="154" spans="1:17" ht="69" x14ac:dyDescent="0.3">
      <c r="A154" s="93">
        <v>153</v>
      </c>
      <c r="B154" s="77" t="s">
        <v>877</v>
      </c>
      <c r="C154" s="77" t="s">
        <v>70</v>
      </c>
      <c r="D154" s="77" t="s">
        <v>465</v>
      </c>
      <c r="E154" s="77" t="s">
        <v>356</v>
      </c>
      <c r="F154" s="77" t="s">
        <v>878</v>
      </c>
      <c r="G154" s="77" t="s">
        <v>879</v>
      </c>
      <c r="H154" s="77" t="s">
        <v>74</v>
      </c>
      <c r="I154" s="77" t="s">
        <v>75</v>
      </c>
      <c r="J154" s="94">
        <v>46128.69027777778</v>
      </c>
      <c r="K154" s="94">
        <v>46136.702777777777</v>
      </c>
      <c r="L154" s="94">
        <v>46159.952777777777</v>
      </c>
      <c r="M154" s="93"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8" t="str">
        <f t="shared" ca="1" si="4"/>
        <v/>
      </c>
      <c r="Q154" s="88" t="str">
        <f t="shared" ca="1" si="5"/>
        <v/>
      </c>
    </row>
    <row r="155" spans="1:17" ht="69" customHeight="1" x14ac:dyDescent="0.3">
      <c r="A155" s="93">
        <v>154</v>
      </c>
      <c r="B155" s="77" t="s">
        <v>880</v>
      </c>
      <c r="C155" s="77" t="s">
        <v>70</v>
      </c>
      <c r="D155" s="77" t="s">
        <v>465</v>
      </c>
      <c r="E155" s="77" t="s">
        <v>356</v>
      </c>
      <c r="F155" s="77" t="s">
        <v>881</v>
      </c>
      <c r="G155" s="77" t="s">
        <v>882</v>
      </c>
      <c r="H155" s="77" t="s">
        <v>74</v>
      </c>
      <c r="I155" s="77" t="s">
        <v>75</v>
      </c>
      <c r="J155" s="94">
        <v>46129.413888888892</v>
      </c>
      <c r="K155" s="94">
        <v>46129.597916666666</v>
      </c>
      <c r="L155" s="94">
        <v>46159.95416666667</v>
      </c>
      <c r="M155" s="93"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8" t="str">
        <f t="shared" ca="1" si="4"/>
        <v/>
      </c>
      <c r="Q155" s="88" t="str">
        <f t="shared" ca="1" si="5"/>
        <v/>
      </c>
    </row>
    <row r="156" spans="1:17" ht="193.2" x14ac:dyDescent="0.3">
      <c r="A156" s="93">
        <v>155</v>
      </c>
      <c r="B156" s="77" t="s">
        <v>883</v>
      </c>
      <c r="C156" s="79"/>
      <c r="D156" s="77" t="s">
        <v>465</v>
      </c>
      <c r="E156" s="77" t="s">
        <v>356</v>
      </c>
      <c r="F156" s="77" t="s">
        <v>884</v>
      </c>
      <c r="G156" s="77" t="s">
        <v>885</v>
      </c>
      <c r="H156" s="77" t="s">
        <v>74</v>
      </c>
      <c r="I156" s="77" t="s">
        <v>75</v>
      </c>
      <c r="J156" s="94">
        <v>46129.618055555555</v>
      </c>
      <c r="K156" s="79"/>
      <c r="L156" s="79"/>
      <c r="M156" s="93" t="s">
        <v>77</v>
      </c>
      <c r="N156" s="59">
        <f>IF(ISBLANK(J156),"",IF(OR(M156="Completed",M156="Closed"),"",IF(H156="Issue",IF(I156="High",WORKDAY(J156,2,DATA!A155:A183),IF(I156="Medium",WORKDAY(J156,14,DATA!A155:A183),IF(OR(I156="Low"),WORKDAY(J156,30,DATA!A155:A183),""))),
"")
))</f>
        <v>46149</v>
      </c>
      <c r="O156" s="60">
        <f ca="1">IF(OR(ISBLANK(#REF!), M156="Completed", M156="Closed", H156&lt;&gt;"Issue"), "",
   (NETWORKDAYS.INTL(TODAY(), N156, 1, DATA!A155:A183) - 1))</f>
        <v>-61</v>
      </c>
      <c r="P156" s="88">
        <f t="shared" ca="1" si="4"/>
        <v>61</v>
      </c>
      <c r="Q156" s="88" t="str">
        <f t="shared" ca="1" si="5"/>
        <v>&gt;60 Days</v>
      </c>
    </row>
    <row r="157" spans="1:17" ht="55.2" x14ac:dyDescent="0.3">
      <c r="A157" s="93">
        <v>156</v>
      </c>
      <c r="B157" s="77" t="s">
        <v>886</v>
      </c>
      <c r="C157" s="77" t="s">
        <v>70</v>
      </c>
      <c r="D157" s="77" t="s">
        <v>465</v>
      </c>
      <c r="E157" s="77" t="s">
        <v>356</v>
      </c>
      <c r="F157" s="77" t="s">
        <v>887</v>
      </c>
      <c r="G157" s="77" t="s">
        <v>888</v>
      </c>
      <c r="H157" s="77" t="s">
        <v>74</v>
      </c>
      <c r="I157" s="77" t="s">
        <v>75</v>
      </c>
      <c r="J157" s="94">
        <v>46129.667361111111</v>
      </c>
      <c r="K157" s="79"/>
      <c r="L157" s="79"/>
      <c r="M157" s="93"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-61</v>
      </c>
      <c r="P157" s="88">
        <f t="shared" ca="1" si="4"/>
        <v>61</v>
      </c>
      <c r="Q157" s="88" t="str">
        <f t="shared" ca="1" si="5"/>
        <v>&gt;60 Days</v>
      </c>
    </row>
    <row r="158" spans="1:17" ht="82.8" x14ac:dyDescent="0.3">
      <c r="A158" s="93">
        <v>157</v>
      </c>
      <c r="B158" s="77" t="s">
        <v>889</v>
      </c>
      <c r="C158" s="77" t="s">
        <v>70</v>
      </c>
      <c r="D158" s="77" t="s">
        <v>465</v>
      </c>
      <c r="E158" s="77" t="s">
        <v>356</v>
      </c>
      <c r="F158" s="77" t="s">
        <v>888</v>
      </c>
      <c r="G158" s="77" t="s">
        <v>890</v>
      </c>
      <c r="H158" s="77" t="s">
        <v>74</v>
      </c>
      <c r="I158" s="77" t="s">
        <v>75</v>
      </c>
      <c r="J158" s="94">
        <v>46129.675000000003</v>
      </c>
      <c r="K158" s="94">
        <v>46129.677777777775</v>
      </c>
      <c r="L158" s="94">
        <v>46129.678472222222</v>
      </c>
      <c r="M158" s="93"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8" t="str">
        <f t="shared" ca="1" si="4"/>
        <v/>
      </c>
      <c r="Q158" s="88" t="str">
        <f t="shared" ca="1" si="5"/>
        <v/>
      </c>
    </row>
    <row r="159" spans="1:17" ht="55.2" x14ac:dyDescent="0.3">
      <c r="A159" s="93">
        <v>158</v>
      </c>
      <c r="B159" s="77" t="s">
        <v>891</v>
      </c>
      <c r="C159" s="77" t="s">
        <v>70</v>
      </c>
      <c r="D159" s="77" t="s">
        <v>477</v>
      </c>
      <c r="E159" s="77" t="s">
        <v>356</v>
      </c>
      <c r="F159" s="77" t="s">
        <v>892</v>
      </c>
      <c r="G159" s="77" t="s">
        <v>893</v>
      </c>
      <c r="H159" s="77" t="s">
        <v>74</v>
      </c>
      <c r="I159" s="77" t="s">
        <v>75</v>
      </c>
      <c r="J159" s="94">
        <v>46132.699305555558</v>
      </c>
      <c r="K159" s="94">
        <v>46133.352083333331</v>
      </c>
      <c r="L159" s="94">
        <v>46133.352777777778</v>
      </c>
      <c r="M159" s="93"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8" t="str">
        <f t="shared" ca="1" si="4"/>
        <v/>
      </c>
      <c r="Q159" s="88" t="str">
        <f t="shared" ca="1" si="5"/>
        <v/>
      </c>
    </row>
    <row r="160" spans="1:17" ht="69" x14ac:dyDescent="0.3">
      <c r="A160" s="93">
        <v>159</v>
      </c>
      <c r="B160" s="77" t="s">
        <v>894</v>
      </c>
      <c r="C160" s="77" t="s">
        <v>70</v>
      </c>
      <c r="D160" s="77" t="s">
        <v>465</v>
      </c>
      <c r="E160" s="77" t="s">
        <v>356</v>
      </c>
      <c r="F160" s="77" t="s">
        <v>895</v>
      </c>
      <c r="G160" s="77" t="s">
        <v>896</v>
      </c>
      <c r="H160" s="77" t="s">
        <v>74</v>
      </c>
      <c r="I160" s="77" t="s">
        <v>75</v>
      </c>
      <c r="J160" s="94">
        <v>46133.429166666669</v>
      </c>
      <c r="K160" s="94">
        <v>46133.681944444441</v>
      </c>
      <c r="L160" s="94">
        <v>46159.955555555556</v>
      </c>
      <c r="M160" s="93"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8" t="str">
        <f t="shared" ca="1" si="4"/>
        <v/>
      </c>
      <c r="Q160" s="88" t="str">
        <f t="shared" ca="1" si="5"/>
        <v/>
      </c>
    </row>
    <row r="161" spans="1:17" ht="82.8" customHeight="1" x14ac:dyDescent="0.3">
      <c r="A161" s="93">
        <v>160</v>
      </c>
      <c r="B161" s="77" t="s">
        <v>897</v>
      </c>
      <c r="C161" s="77" t="s">
        <v>70</v>
      </c>
      <c r="D161" s="77" t="s">
        <v>477</v>
      </c>
      <c r="E161" s="77" t="s">
        <v>356</v>
      </c>
      <c r="F161" s="77" t="s">
        <v>898</v>
      </c>
      <c r="G161" s="77" t="s">
        <v>899</v>
      </c>
      <c r="H161" s="77" t="s">
        <v>74</v>
      </c>
      <c r="I161" s="77" t="s">
        <v>75</v>
      </c>
      <c r="J161" s="94">
        <v>46133.461805555555</v>
      </c>
      <c r="K161" s="94">
        <v>46133.706250000003</v>
      </c>
      <c r="L161" s="94">
        <v>46159.956250000003</v>
      </c>
      <c r="M161" s="93"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8" t="str">
        <f t="shared" ca="1" si="4"/>
        <v/>
      </c>
      <c r="Q161" s="88" t="str">
        <f t="shared" ca="1" si="5"/>
        <v/>
      </c>
    </row>
    <row r="162" spans="1:17" ht="96.6" x14ac:dyDescent="0.3">
      <c r="A162" s="93">
        <v>161</v>
      </c>
      <c r="B162" s="77" t="s">
        <v>900</v>
      </c>
      <c r="C162" s="77" t="s">
        <v>70</v>
      </c>
      <c r="D162" s="77" t="s">
        <v>477</v>
      </c>
      <c r="E162" s="77" t="s">
        <v>356</v>
      </c>
      <c r="F162" s="77" t="s">
        <v>901</v>
      </c>
      <c r="G162" s="77" t="s">
        <v>902</v>
      </c>
      <c r="H162" s="77" t="s">
        <v>74</v>
      </c>
      <c r="I162" s="77" t="s">
        <v>75</v>
      </c>
      <c r="J162" s="94">
        <v>46133.462500000001</v>
      </c>
      <c r="K162" s="94">
        <v>46133.72152777778</v>
      </c>
      <c r="L162" s="94">
        <v>46159.956944444442</v>
      </c>
      <c r="M162" s="93"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8" t="str">
        <f t="shared" ca="1" si="4"/>
        <v/>
      </c>
      <c r="Q162" s="88" t="str">
        <f t="shared" ca="1" si="5"/>
        <v/>
      </c>
    </row>
    <row r="163" spans="1:17" ht="96.6" x14ac:dyDescent="0.3">
      <c r="A163" s="93">
        <v>162</v>
      </c>
      <c r="B163" s="77" t="s">
        <v>903</v>
      </c>
      <c r="C163" s="77" t="s">
        <v>70</v>
      </c>
      <c r="D163" s="77" t="s">
        <v>477</v>
      </c>
      <c r="E163" s="77" t="s">
        <v>356</v>
      </c>
      <c r="F163" s="77" t="s">
        <v>904</v>
      </c>
      <c r="G163" s="77" t="s">
        <v>905</v>
      </c>
      <c r="H163" s="77" t="s">
        <v>74</v>
      </c>
      <c r="I163" s="77" t="s">
        <v>75</v>
      </c>
      <c r="J163" s="94">
        <v>46134.411111111112</v>
      </c>
      <c r="K163" s="94">
        <v>46134.598611111112</v>
      </c>
      <c r="L163" s="94">
        <v>46159.959027777775</v>
      </c>
      <c r="M163" s="93"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8" t="str">
        <f t="shared" ca="1" si="4"/>
        <v/>
      </c>
      <c r="Q163" s="88" t="str">
        <f t="shared" ca="1" si="5"/>
        <v/>
      </c>
    </row>
    <row r="164" spans="1:17" ht="82.8" x14ac:dyDescent="0.3">
      <c r="A164" s="93">
        <v>163</v>
      </c>
      <c r="B164" s="77" t="s">
        <v>906</v>
      </c>
      <c r="C164" s="77" t="s">
        <v>70</v>
      </c>
      <c r="D164" s="77" t="s">
        <v>477</v>
      </c>
      <c r="E164" s="77" t="s">
        <v>356</v>
      </c>
      <c r="F164" s="77" t="s">
        <v>907</v>
      </c>
      <c r="G164" s="77" t="s">
        <v>908</v>
      </c>
      <c r="H164" s="77" t="s">
        <v>74</v>
      </c>
      <c r="I164" s="77" t="s">
        <v>75</v>
      </c>
      <c r="J164" s="94">
        <v>46134.726388888892</v>
      </c>
      <c r="K164" s="94">
        <v>46140.487500000003</v>
      </c>
      <c r="L164" s="94">
        <v>46159.961111111108</v>
      </c>
      <c r="M164" s="93"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8" t="str">
        <f t="shared" ca="1" si="4"/>
        <v/>
      </c>
      <c r="Q164" s="88" t="str">
        <f t="shared" ca="1" si="5"/>
        <v/>
      </c>
    </row>
    <row r="165" spans="1:17" ht="82.8" customHeight="1" x14ac:dyDescent="0.3">
      <c r="A165" s="93">
        <v>164</v>
      </c>
      <c r="B165" s="77" t="s">
        <v>909</v>
      </c>
      <c r="C165" s="79"/>
      <c r="D165" s="77" t="s">
        <v>487</v>
      </c>
      <c r="E165" s="77" t="s">
        <v>356</v>
      </c>
      <c r="F165" s="77" t="s">
        <v>910</v>
      </c>
      <c r="G165" s="77" t="s">
        <v>911</v>
      </c>
      <c r="H165" s="77" t="s">
        <v>74</v>
      </c>
      <c r="I165" s="77" t="s">
        <v>75</v>
      </c>
      <c r="J165" s="94">
        <v>46140.456944444442</v>
      </c>
      <c r="K165" s="79"/>
      <c r="L165" s="79"/>
      <c r="M165" s="93"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-54</v>
      </c>
      <c r="P165" s="88">
        <f t="shared" ca="1" si="4"/>
        <v>54</v>
      </c>
      <c r="Q165" s="88" t="str">
        <f t="shared" ca="1" si="5"/>
        <v>31-60 Days</v>
      </c>
    </row>
    <row r="166" spans="1:17" ht="124.2" x14ac:dyDescent="0.3">
      <c r="A166" s="93">
        <v>165</v>
      </c>
      <c r="B166" s="77" t="s">
        <v>912</v>
      </c>
      <c r="C166" s="77" t="s">
        <v>70</v>
      </c>
      <c r="D166" s="77" t="s">
        <v>477</v>
      </c>
      <c r="E166" s="77" t="s">
        <v>356</v>
      </c>
      <c r="F166" s="77" t="s">
        <v>913</v>
      </c>
      <c r="G166" s="77" t="s">
        <v>914</v>
      </c>
      <c r="H166" s="77" t="s">
        <v>74</v>
      </c>
      <c r="I166" s="77" t="s">
        <v>75</v>
      </c>
      <c r="J166" s="94">
        <v>46140.65347222222</v>
      </c>
      <c r="K166" s="94">
        <v>46142.662499999999</v>
      </c>
      <c r="L166" s="94">
        <v>46159.961805555555</v>
      </c>
      <c r="M166" s="93"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8" t="str">
        <f t="shared" ca="1" si="4"/>
        <v/>
      </c>
      <c r="Q166" s="88" t="str">
        <f t="shared" ca="1" si="5"/>
        <v/>
      </c>
    </row>
    <row r="167" spans="1:17" ht="82.8" x14ac:dyDescent="0.3">
      <c r="A167" s="93">
        <v>166</v>
      </c>
      <c r="B167" s="77" t="s">
        <v>915</v>
      </c>
      <c r="C167" s="77" t="s">
        <v>70</v>
      </c>
      <c r="D167" s="77" t="s">
        <v>477</v>
      </c>
      <c r="E167" s="77" t="s">
        <v>356</v>
      </c>
      <c r="F167" s="77" t="s">
        <v>916</v>
      </c>
      <c r="G167" s="77" t="s">
        <v>917</v>
      </c>
      <c r="H167" s="77" t="s">
        <v>74</v>
      </c>
      <c r="I167" s="77" t="s">
        <v>75</v>
      </c>
      <c r="J167" s="94">
        <v>46141.388888888891</v>
      </c>
      <c r="K167" s="94">
        <v>46141.685416666667</v>
      </c>
      <c r="L167" s="94">
        <v>46159.962500000001</v>
      </c>
      <c r="M167" s="93"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8" t="str">
        <f t="shared" ca="1" si="4"/>
        <v/>
      </c>
      <c r="Q167" s="88" t="str">
        <f t="shared" ca="1" si="5"/>
        <v/>
      </c>
    </row>
    <row r="168" spans="1:17" ht="55.2" x14ac:dyDescent="0.3">
      <c r="A168" s="93">
        <v>167</v>
      </c>
      <c r="B168" s="77" t="s">
        <v>918</v>
      </c>
      <c r="C168" s="77" t="s">
        <v>70</v>
      </c>
      <c r="D168" s="77" t="s">
        <v>465</v>
      </c>
      <c r="E168" s="77" t="s">
        <v>356</v>
      </c>
      <c r="F168" s="77" t="s">
        <v>919</v>
      </c>
      <c r="G168" s="77" t="s">
        <v>920</v>
      </c>
      <c r="H168" s="77" t="s">
        <v>74</v>
      </c>
      <c r="I168" s="77" t="s">
        <v>75</v>
      </c>
      <c r="J168" s="94">
        <v>46142.45416666667</v>
      </c>
      <c r="K168" s="94">
        <v>46146.600694444445</v>
      </c>
      <c r="L168" s="94">
        <v>46159.963194444441</v>
      </c>
      <c r="M168" s="93"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8" t="str">
        <f t="shared" ca="1" si="4"/>
        <v/>
      </c>
      <c r="Q168" s="88" t="str">
        <f t="shared" ca="1" si="5"/>
        <v/>
      </c>
    </row>
    <row r="169" spans="1:17" ht="55.2" x14ac:dyDescent="0.3">
      <c r="A169" s="93">
        <v>168</v>
      </c>
      <c r="B169" s="77" t="s">
        <v>921</v>
      </c>
      <c r="C169" s="79"/>
      <c r="D169" s="77" t="s">
        <v>477</v>
      </c>
      <c r="E169" s="77" t="s">
        <v>356</v>
      </c>
      <c r="F169" s="77" t="s">
        <v>922</v>
      </c>
      <c r="G169" s="77" t="s">
        <v>923</v>
      </c>
      <c r="H169" s="77" t="s">
        <v>74</v>
      </c>
      <c r="I169" s="77" t="s">
        <v>75</v>
      </c>
      <c r="J169" s="94">
        <v>46146.428472222222</v>
      </c>
      <c r="K169" s="79"/>
      <c r="L169" s="79"/>
      <c r="M169" s="93"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-50</v>
      </c>
      <c r="P169" s="88">
        <f t="shared" ca="1" si="4"/>
        <v>50</v>
      </c>
      <c r="Q169" s="88" t="str">
        <f t="shared" ca="1" si="5"/>
        <v>31-60 Days</v>
      </c>
    </row>
    <row r="170" spans="1:17" ht="41.4" x14ac:dyDescent="0.3">
      <c r="A170" s="93">
        <v>169</v>
      </c>
      <c r="B170" s="77" t="s">
        <v>924</v>
      </c>
      <c r="C170" s="77" t="s">
        <v>70</v>
      </c>
      <c r="D170" s="77" t="s">
        <v>465</v>
      </c>
      <c r="E170" s="77" t="s">
        <v>356</v>
      </c>
      <c r="F170" s="77" t="s">
        <v>925</v>
      </c>
      <c r="G170" s="77" t="s">
        <v>926</v>
      </c>
      <c r="H170" s="77" t="s">
        <v>74</v>
      </c>
      <c r="I170" s="77" t="s">
        <v>75</v>
      </c>
      <c r="J170" s="94">
        <v>46148.4</v>
      </c>
      <c r="K170" s="94">
        <v>46148.456944444442</v>
      </c>
      <c r="L170" s="94">
        <v>46159.969444444447</v>
      </c>
      <c r="M170" s="93"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8" t="str">
        <f t="shared" ca="1" si="4"/>
        <v/>
      </c>
      <c r="Q170" s="88" t="str">
        <f t="shared" ca="1" si="5"/>
        <v/>
      </c>
    </row>
    <row r="171" spans="1:17" ht="27.6" x14ac:dyDescent="0.3">
      <c r="A171" s="93">
        <v>170</v>
      </c>
      <c r="B171" s="77" t="s">
        <v>927</v>
      </c>
      <c r="C171" s="77" t="s">
        <v>70</v>
      </c>
      <c r="D171" s="77" t="s">
        <v>465</v>
      </c>
      <c r="E171" s="77" t="s">
        <v>356</v>
      </c>
      <c r="F171" s="77" t="s">
        <v>928</v>
      </c>
      <c r="G171" s="77" t="s">
        <v>929</v>
      </c>
      <c r="H171" s="77" t="s">
        <v>74</v>
      </c>
      <c r="I171" s="77" t="s">
        <v>75</v>
      </c>
      <c r="J171" s="94">
        <v>46153.599305555559</v>
      </c>
      <c r="K171" s="94">
        <v>46153.71875</v>
      </c>
      <c r="L171" s="79"/>
      <c r="M171" s="93" t="s">
        <v>85</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8" t="str">
        <f t="shared" ca="1" si="4"/>
        <v/>
      </c>
      <c r="Q171" s="88" t="str">
        <f t="shared" ca="1" si="5"/>
        <v/>
      </c>
    </row>
    <row r="172" spans="1:17" ht="55.2" x14ac:dyDescent="0.3">
      <c r="A172" s="93">
        <v>171</v>
      </c>
      <c r="B172" s="77" t="s">
        <v>930</v>
      </c>
      <c r="C172" s="77" t="s">
        <v>70</v>
      </c>
      <c r="D172" s="77" t="s">
        <v>465</v>
      </c>
      <c r="E172" s="77" t="s">
        <v>356</v>
      </c>
      <c r="F172" s="77" t="s">
        <v>931</v>
      </c>
      <c r="G172" s="77" t="s">
        <v>932</v>
      </c>
      <c r="H172" s="77" t="s">
        <v>74</v>
      </c>
      <c r="I172" s="77" t="s">
        <v>75</v>
      </c>
      <c r="J172" s="94">
        <v>46155.399305555555</v>
      </c>
      <c r="K172" s="94">
        <v>46163.380555555559</v>
      </c>
      <c r="L172" s="79"/>
      <c r="M172" s="93" t="s">
        <v>85</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8" t="str">
        <f t="shared" ca="1" si="4"/>
        <v/>
      </c>
      <c r="Q172" s="88" t="str">
        <f t="shared" ca="1" si="5"/>
        <v/>
      </c>
    </row>
    <row r="173" spans="1:17" ht="41.4" x14ac:dyDescent="0.3">
      <c r="A173" s="93">
        <v>172</v>
      </c>
      <c r="B173" s="77" t="s">
        <v>933</v>
      </c>
      <c r="C173" s="77" t="s">
        <v>70</v>
      </c>
      <c r="D173" s="77" t="s">
        <v>465</v>
      </c>
      <c r="E173" s="77" t="s">
        <v>356</v>
      </c>
      <c r="F173" s="77" t="s">
        <v>934</v>
      </c>
      <c r="G173" s="77" t="s">
        <v>935</v>
      </c>
      <c r="H173" s="77" t="s">
        <v>74</v>
      </c>
      <c r="I173" s="77" t="s">
        <v>75</v>
      </c>
      <c r="J173" s="94">
        <v>46155.404861111114</v>
      </c>
      <c r="K173" s="94">
        <v>46156.345138888886</v>
      </c>
      <c r="L173" s="79"/>
      <c r="M173" s="93" t="s">
        <v>85</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8" t="str">
        <f t="shared" ca="1" si="4"/>
        <v/>
      </c>
      <c r="Q173" s="88" t="str">
        <f t="shared" ca="1" si="5"/>
        <v/>
      </c>
    </row>
    <row r="174" spans="1:17" ht="27.6" x14ac:dyDescent="0.3">
      <c r="A174" s="93">
        <v>173</v>
      </c>
      <c r="B174" s="77" t="s">
        <v>936</v>
      </c>
      <c r="C174" s="79"/>
      <c r="D174" s="77" t="s">
        <v>465</v>
      </c>
      <c r="E174" s="77" t="s">
        <v>356</v>
      </c>
      <c r="F174" s="77" t="s">
        <v>937</v>
      </c>
      <c r="G174" s="77" t="s">
        <v>938</v>
      </c>
      <c r="H174" s="77" t="s">
        <v>74</v>
      </c>
      <c r="I174" s="77" t="s">
        <v>75</v>
      </c>
      <c r="J174" s="94">
        <v>46155.505555555559</v>
      </c>
      <c r="K174" s="79"/>
      <c r="L174" s="79"/>
      <c r="M174" s="93" t="s">
        <v>77</v>
      </c>
      <c r="N174" s="59">
        <f>IF(ISBLANK(J174),"",IF(OR(M174="Completed",M174="Closed"),"",IF(H174="Issue",IF(I174="High",WORKDAY(J174,2,DATA!A173:A201),IF(I174="Medium",WORKDAY(J174,14,DATA!A173:A201),IF(OR(I174="Low"),WORKDAY(J174,30,DATA!A173:A201),""))),
"")
))</f>
        <v>46175</v>
      </c>
      <c r="O174" s="60">
        <f ca="1">IF(OR(ISBLANK(#REF!), M174="Completed", M174="Closed", H174&lt;&gt;"Issue"), "",
   (NETWORKDAYS.INTL(TODAY(), N174, 1, DATA!A173:A201) - 1))</f>
        <v>-43</v>
      </c>
      <c r="P174" s="88">
        <f t="shared" ca="1" si="4"/>
        <v>43</v>
      </c>
      <c r="Q174" s="88" t="str">
        <f t="shared" ca="1" si="5"/>
        <v>31-60 Days</v>
      </c>
    </row>
    <row r="175" spans="1:17" ht="27.6" x14ac:dyDescent="0.3">
      <c r="A175" s="93">
        <v>174</v>
      </c>
      <c r="B175" s="77" t="s">
        <v>939</v>
      </c>
      <c r="C175" s="77" t="s">
        <v>70</v>
      </c>
      <c r="D175" s="77" t="s">
        <v>465</v>
      </c>
      <c r="E175" s="77" t="s">
        <v>356</v>
      </c>
      <c r="F175" s="77" t="s">
        <v>940</v>
      </c>
      <c r="G175" s="77" t="s">
        <v>941</v>
      </c>
      <c r="H175" s="77" t="s">
        <v>74</v>
      </c>
      <c r="I175" s="77" t="s">
        <v>75</v>
      </c>
      <c r="J175" s="94">
        <v>46155.507638888892</v>
      </c>
      <c r="K175" s="94">
        <v>46155.708333333336</v>
      </c>
      <c r="L175" s="94">
        <v>46155.709027777775</v>
      </c>
      <c r="M175" s="93"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8" t="str">
        <f t="shared" ca="1" si="4"/>
        <v/>
      </c>
      <c r="Q175" s="88" t="str">
        <f t="shared" ca="1" si="5"/>
        <v/>
      </c>
    </row>
    <row r="176" spans="1:17" ht="27.6" x14ac:dyDescent="0.3">
      <c r="A176" s="93">
        <v>175</v>
      </c>
      <c r="B176" s="77" t="s">
        <v>942</v>
      </c>
      <c r="C176" s="77" t="s">
        <v>70</v>
      </c>
      <c r="D176" s="77" t="s">
        <v>465</v>
      </c>
      <c r="E176" s="77" t="s">
        <v>356</v>
      </c>
      <c r="F176" s="77" t="s">
        <v>943</v>
      </c>
      <c r="G176" s="77" t="s">
        <v>944</v>
      </c>
      <c r="H176" s="77" t="s">
        <v>74</v>
      </c>
      <c r="I176" s="77" t="s">
        <v>75</v>
      </c>
      <c r="J176" s="94">
        <v>46155.517361111109</v>
      </c>
      <c r="K176" s="94">
        <v>46155.62777777778</v>
      </c>
      <c r="L176" s="79"/>
      <c r="M176" s="93" t="s">
        <v>85</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8" t="str">
        <f t="shared" ca="1" si="4"/>
        <v/>
      </c>
      <c r="Q176" s="88" t="str">
        <f t="shared" ca="1" si="5"/>
        <v/>
      </c>
    </row>
    <row r="177" spans="1:17" ht="69" x14ac:dyDescent="0.3">
      <c r="A177" s="93">
        <v>176</v>
      </c>
      <c r="B177" s="77" t="s">
        <v>945</v>
      </c>
      <c r="C177" s="77" t="s">
        <v>70</v>
      </c>
      <c r="D177" s="77" t="s">
        <v>465</v>
      </c>
      <c r="E177" s="77" t="s">
        <v>356</v>
      </c>
      <c r="F177" s="77" t="s">
        <v>946</v>
      </c>
      <c r="G177" s="77" t="s">
        <v>947</v>
      </c>
      <c r="H177" s="77" t="s">
        <v>74</v>
      </c>
      <c r="I177" s="77" t="s">
        <v>75</v>
      </c>
      <c r="J177" s="94">
        <v>46155.522222222222</v>
      </c>
      <c r="K177" s="94">
        <v>46155.624305555553</v>
      </c>
      <c r="L177" s="79"/>
      <c r="M177" s="93" t="s">
        <v>85</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8" t="str">
        <f t="shared" ca="1" si="4"/>
        <v/>
      </c>
      <c r="Q177" s="88" t="str">
        <f t="shared" ca="1" si="5"/>
        <v/>
      </c>
    </row>
    <row r="178" spans="1:17" ht="69" x14ac:dyDescent="0.3">
      <c r="A178" s="93">
        <v>177</v>
      </c>
      <c r="B178" s="77" t="s">
        <v>948</v>
      </c>
      <c r="C178" s="77" t="s">
        <v>70</v>
      </c>
      <c r="D178" s="77" t="s">
        <v>465</v>
      </c>
      <c r="E178" s="77" t="s">
        <v>356</v>
      </c>
      <c r="F178" s="77" t="s">
        <v>949</v>
      </c>
      <c r="G178" s="77" t="s">
        <v>949</v>
      </c>
      <c r="H178" s="77" t="s">
        <v>74</v>
      </c>
      <c r="I178" s="77" t="s">
        <v>75</v>
      </c>
      <c r="J178" s="94">
        <v>46155.62777777778</v>
      </c>
      <c r="K178" s="94">
        <v>46156.694444444445</v>
      </c>
      <c r="L178" s="94">
        <v>46156.694444444445</v>
      </c>
      <c r="M178" s="93"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8" t="str">
        <f t="shared" ca="1" si="4"/>
        <v/>
      </c>
      <c r="Q178" s="88" t="str">
        <f t="shared" ca="1" si="5"/>
        <v/>
      </c>
    </row>
    <row r="179" spans="1:17" ht="27.6" x14ac:dyDescent="0.3">
      <c r="A179" s="93">
        <v>178</v>
      </c>
      <c r="B179" s="77" t="s">
        <v>950</v>
      </c>
      <c r="C179" s="77" t="s">
        <v>70</v>
      </c>
      <c r="D179" s="77" t="s">
        <v>465</v>
      </c>
      <c r="E179" s="77" t="s">
        <v>356</v>
      </c>
      <c r="F179" s="77" t="s">
        <v>951</v>
      </c>
      <c r="G179" s="77" t="s">
        <v>952</v>
      </c>
      <c r="H179" s="77" t="s">
        <v>74</v>
      </c>
      <c r="I179" s="77" t="s">
        <v>75</v>
      </c>
      <c r="J179" s="94">
        <v>46155.686805555553</v>
      </c>
      <c r="K179" s="94">
        <v>46155.693749999999</v>
      </c>
      <c r="L179" s="94">
        <v>46155.694444444445</v>
      </c>
      <c r="M179" s="93"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8" t="str">
        <f t="shared" ca="1" si="4"/>
        <v/>
      </c>
      <c r="Q179" s="88" t="str">
        <f t="shared" ca="1" si="5"/>
        <v/>
      </c>
    </row>
    <row r="180" spans="1:17" ht="27.6" x14ac:dyDescent="0.3">
      <c r="A180" s="93">
        <v>179</v>
      </c>
      <c r="B180" s="77" t="s">
        <v>953</v>
      </c>
      <c r="C180" s="77" t="s">
        <v>70</v>
      </c>
      <c r="D180" s="77" t="s">
        <v>804</v>
      </c>
      <c r="E180" s="77" t="s">
        <v>356</v>
      </c>
      <c r="F180" s="77" t="s">
        <v>954</v>
      </c>
      <c r="G180" s="77" t="s">
        <v>955</v>
      </c>
      <c r="H180" s="77" t="s">
        <v>74</v>
      </c>
      <c r="I180" s="77" t="s">
        <v>75</v>
      </c>
      <c r="J180" s="94">
        <v>46156.493055555555</v>
      </c>
      <c r="K180" s="94">
        <v>46156.663888888892</v>
      </c>
      <c r="L180" s="94">
        <v>46156.663888888892</v>
      </c>
      <c r="M180" s="93"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8" t="str">
        <f t="shared" ca="1" si="4"/>
        <v/>
      </c>
      <c r="Q180" s="88" t="str">
        <f t="shared" ca="1" si="5"/>
        <v/>
      </c>
    </row>
    <row r="181" spans="1:17" ht="41.4" x14ac:dyDescent="0.3">
      <c r="A181" s="93">
        <v>180</v>
      </c>
      <c r="B181" s="77" t="s">
        <v>956</v>
      </c>
      <c r="C181" s="77" t="s">
        <v>70</v>
      </c>
      <c r="D181" s="77" t="s">
        <v>477</v>
      </c>
      <c r="E181" s="77" t="s">
        <v>356</v>
      </c>
      <c r="F181" s="77" t="s">
        <v>957</v>
      </c>
      <c r="G181" s="77" t="s">
        <v>958</v>
      </c>
      <c r="H181" s="77" t="s">
        <v>74</v>
      </c>
      <c r="I181" s="77" t="s">
        <v>75</v>
      </c>
      <c r="J181" s="94">
        <v>46157.474305555559</v>
      </c>
      <c r="K181" s="94">
        <v>46157.622916666667</v>
      </c>
      <c r="L181" s="79"/>
      <c r="M181" s="93" t="s">
        <v>85</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8" t="str">
        <f t="shared" ca="1" si="4"/>
        <v/>
      </c>
      <c r="Q181" s="88" t="str">
        <f t="shared" ca="1" si="5"/>
        <v/>
      </c>
    </row>
    <row r="182" spans="1:17" ht="96.6" x14ac:dyDescent="0.3">
      <c r="A182" s="93">
        <v>181</v>
      </c>
      <c r="B182" s="77" t="s">
        <v>959</v>
      </c>
      <c r="C182" s="77" t="s">
        <v>70</v>
      </c>
      <c r="D182" s="77" t="s">
        <v>477</v>
      </c>
      <c r="E182" s="77" t="s">
        <v>356</v>
      </c>
      <c r="F182" s="77" t="s">
        <v>960</v>
      </c>
      <c r="G182" s="77" t="s">
        <v>961</v>
      </c>
      <c r="H182" s="77" t="s">
        <v>74</v>
      </c>
      <c r="I182" s="77" t="s">
        <v>75</v>
      </c>
      <c r="J182" s="94">
        <v>46157.477777777778</v>
      </c>
      <c r="K182" s="94">
        <v>46161.423611111109</v>
      </c>
      <c r="L182" s="79"/>
      <c r="M182" s="93" t="s">
        <v>85</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8" t="str">
        <f t="shared" ca="1" si="4"/>
        <v/>
      </c>
      <c r="Q182" s="88" t="str">
        <f t="shared" ca="1" si="5"/>
        <v/>
      </c>
    </row>
    <row r="183" spans="1:17" ht="27.6" x14ac:dyDescent="0.3">
      <c r="A183" s="93">
        <v>182</v>
      </c>
      <c r="B183" s="77" t="s">
        <v>962</v>
      </c>
      <c r="C183" s="79"/>
      <c r="D183" s="77" t="s">
        <v>465</v>
      </c>
      <c r="E183" s="77" t="s">
        <v>356</v>
      </c>
      <c r="F183" s="77" t="s">
        <v>963</v>
      </c>
      <c r="G183" s="77" t="s">
        <v>964</v>
      </c>
      <c r="H183" s="77" t="s">
        <v>74</v>
      </c>
      <c r="I183" s="77" t="s">
        <v>75</v>
      </c>
      <c r="J183" s="94">
        <v>46157.647222222222</v>
      </c>
      <c r="K183" s="79"/>
      <c r="L183" s="79"/>
      <c r="M183" s="93" t="s">
        <v>77</v>
      </c>
      <c r="N183" s="59">
        <f>IF(ISBLANK(J183),"",IF(OR(M183="Completed",M183="Closed"),"",IF(H183="Issue",IF(I183="High",WORKDAY(J183,2,DATA!A182:A210),IF(I183="Medium",WORKDAY(J183,14,DATA!A182:A210),IF(OR(I183="Low"),WORKDAY(J183,30,DATA!A182:A210),""))),
"")
))</f>
        <v>46177</v>
      </c>
      <c r="O183" s="60">
        <f ca="1">IF(OR(ISBLANK(#REF!), M183="Completed", M183="Closed", H183&lt;&gt;"Issue"), "",
   (NETWORKDAYS.INTL(TODAY(), N183, 1, DATA!A182:A210) - 1))</f>
        <v>-41</v>
      </c>
      <c r="P183" s="88">
        <f t="shared" ca="1" si="4"/>
        <v>41</v>
      </c>
      <c r="Q183" s="88" t="str">
        <f t="shared" ca="1" si="5"/>
        <v>31-60 Days</v>
      </c>
    </row>
    <row r="184" spans="1:17" ht="55.2" x14ac:dyDescent="0.3">
      <c r="A184" s="93">
        <v>183</v>
      </c>
      <c r="B184" s="77" t="s">
        <v>965</v>
      </c>
      <c r="C184" s="79"/>
      <c r="D184" s="77" t="s">
        <v>966</v>
      </c>
      <c r="E184" s="77" t="s">
        <v>356</v>
      </c>
      <c r="F184" s="77" t="s">
        <v>967</v>
      </c>
      <c r="G184" s="77" t="s">
        <v>968</v>
      </c>
      <c r="H184" s="77" t="s">
        <v>74</v>
      </c>
      <c r="I184" s="77" t="s">
        <v>75</v>
      </c>
      <c r="J184" s="94">
        <v>46160.513194444444</v>
      </c>
      <c r="K184" s="79"/>
      <c r="L184" s="79"/>
      <c r="M184" s="93"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-40</v>
      </c>
      <c r="P184" s="88">
        <f t="shared" ca="1" si="4"/>
        <v>40</v>
      </c>
      <c r="Q184" s="88" t="str">
        <f t="shared" ca="1" si="5"/>
        <v>31-60 Days</v>
      </c>
    </row>
    <row r="185" spans="1:17" ht="41.4" x14ac:dyDescent="0.3">
      <c r="A185" s="93">
        <v>184</v>
      </c>
      <c r="B185" s="77" t="s">
        <v>969</v>
      </c>
      <c r="C185" s="77" t="s">
        <v>70</v>
      </c>
      <c r="D185" s="77" t="s">
        <v>465</v>
      </c>
      <c r="E185" s="77" t="s">
        <v>356</v>
      </c>
      <c r="F185" s="77" t="s">
        <v>970</v>
      </c>
      <c r="G185" s="77" t="s">
        <v>971</v>
      </c>
      <c r="H185" s="77" t="s">
        <v>74</v>
      </c>
      <c r="I185" s="77" t="s">
        <v>75</v>
      </c>
      <c r="J185" s="94">
        <v>46161.474999999999</v>
      </c>
      <c r="K185" s="94">
        <v>46161.612500000003</v>
      </c>
      <c r="L185" s="79"/>
      <c r="M185" s="93" t="s">
        <v>85</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8" t="str">
        <f t="shared" ca="1" si="4"/>
        <v/>
      </c>
      <c r="Q185" s="88" t="str">
        <f t="shared" ca="1" si="5"/>
        <v/>
      </c>
    </row>
    <row r="186" spans="1:17" ht="41.4" x14ac:dyDescent="0.3">
      <c r="A186" s="93">
        <v>185</v>
      </c>
      <c r="B186" s="77" t="s">
        <v>972</v>
      </c>
      <c r="C186" s="79"/>
      <c r="D186" s="77" t="s">
        <v>477</v>
      </c>
      <c r="E186" s="77" t="s">
        <v>356</v>
      </c>
      <c r="F186" s="77" t="s">
        <v>973</v>
      </c>
      <c r="G186" s="77" t="s">
        <v>974</v>
      </c>
      <c r="H186" s="77" t="s">
        <v>74</v>
      </c>
      <c r="I186" s="77" t="s">
        <v>75</v>
      </c>
      <c r="J186" s="94">
        <v>46161.486805555556</v>
      </c>
      <c r="K186" s="79"/>
      <c r="L186" s="79"/>
      <c r="M186" s="93"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-39</v>
      </c>
      <c r="P186" s="88">
        <f t="shared" ca="1" si="4"/>
        <v>39</v>
      </c>
      <c r="Q186" s="88" t="str">
        <f t="shared" ca="1" si="5"/>
        <v>31-60 Days</v>
      </c>
    </row>
    <row r="187" spans="1:17" ht="55.2" x14ac:dyDescent="0.3">
      <c r="A187" s="93">
        <v>186</v>
      </c>
      <c r="B187" s="77" t="s">
        <v>975</v>
      </c>
      <c r="C187" s="77" t="s">
        <v>70</v>
      </c>
      <c r="D187" s="77" t="s">
        <v>465</v>
      </c>
      <c r="E187" s="77" t="s">
        <v>356</v>
      </c>
      <c r="F187" s="77" t="s">
        <v>976</v>
      </c>
      <c r="G187" s="77" t="s">
        <v>977</v>
      </c>
      <c r="H187" s="77" t="s">
        <v>74</v>
      </c>
      <c r="I187" s="77" t="s">
        <v>75</v>
      </c>
      <c r="J187" s="94">
        <v>46161.64166666667</v>
      </c>
      <c r="K187" s="94">
        <v>46161.652777777781</v>
      </c>
      <c r="L187" s="94">
        <v>46161.65902777778</v>
      </c>
      <c r="M187" s="93"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8" t="str">
        <f t="shared" ca="1" si="4"/>
        <v/>
      </c>
      <c r="Q187" s="88" t="str">
        <f t="shared" ca="1" si="5"/>
        <v/>
      </c>
    </row>
    <row r="188" spans="1:17" ht="151.80000000000001" x14ac:dyDescent="0.3">
      <c r="A188" s="93">
        <v>187</v>
      </c>
      <c r="B188" s="77" t="s">
        <v>978</v>
      </c>
      <c r="C188" s="79"/>
      <c r="D188" s="77" t="s">
        <v>465</v>
      </c>
      <c r="E188" s="77" t="s">
        <v>356</v>
      </c>
      <c r="F188" s="77" t="s">
        <v>979</v>
      </c>
      <c r="G188" s="77" t="s">
        <v>980</v>
      </c>
      <c r="H188" s="77" t="s">
        <v>74</v>
      </c>
      <c r="I188" s="77" t="s">
        <v>75</v>
      </c>
      <c r="J188" s="94">
        <v>46162.504861111112</v>
      </c>
      <c r="K188" s="79"/>
      <c r="L188" s="79"/>
      <c r="M188" s="93"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-38</v>
      </c>
      <c r="P188" s="88">
        <f t="shared" ca="1" si="4"/>
        <v>38</v>
      </c>
      <c r="Q188" s="88" t="str">
        <f t="shared" ca="1" si="5"/>
        <v>31-60 Days</v>
      </c>
    </row>
    <row r="189" spans="1:17" ht="27.6" x14ac:dyDescent="0.3">
      <c r="A189" s="93">
        <v>188</v>
      </c>
      <c r="B189" s="77" t="s">
        <v>981</v>
      </c>
      <c r="C189" s="79"/>
      <c r="D189" s="77" t="s">
        <v>487</v>
      </c>
      <c r="E189" s="77" t="s">
        <v>356</v>
      </c>
      <c r="F189" s="77" t="s">
        <v>982</v>
      </c>
      <c r="G189" s="77" t="s">
        <v>983</v>
      </c>
      <c r="H189" s="77" t="s">
        <v>74</v>
      </c>
      <c r="I189" s="77" t="s">
        <v>75</v>
      </c>
      <c r="J189" s="94">
        <v>46162.743055555555</v>
      </c>
      <c r="K189" s="79"/>
      <c r="L189" s="79"/>
      <c r="M189" s="93"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-38</v>
      </c>
      <c r="P189" s="88">
        <f t="shared" ca="1" si="4"/>
        <v>38</v>
      </c>
      <c r="Q189" s="88" t="str">
        <f t="shared" ca="1" si="5"/>
        <v>31-60 Days</v>
      </c>
    </row>
    <row r="190" spans="1:17" ht="41.4" x14ac:dyDescent="0.3">
      <c r="A190" s="93">
        <v>189</v>
      </c>
      <c r="B190" s="93" t="s">
        <v>1379</v>
      </c>
      <c r="C190" s="93" t="s">
        <v>70</v>
      </c>
      <c r="D190" s="93" t="s">
        <v>465</v>
      </c>
      <c r="E190" s="93" t="s">
        <v>356</v>
      </c>
      <c r="F190" s="93" t="s">
        <v>1380</v>
      </c>
      <c r="G190" s="93" t="s">
        <v>971</v>
      </c>
      <c r="H190" s="93" t="s">
        <v>74</v>
      </c>
      <c r="I190" s="93" t="s">
        <v>75</v>
      </c>
      <c r="J190" s="94">
        <v>46163.475694444445</v>
      </c>
      <c r="K190" s="94">
        <v>46171.48333333333</v>
      </c>
      <c r="L190" s="79"/>
      <c r="M190" s="93" t="s">
        <v>85</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row>
    <row r="191" spans="1:17" ht="55.2" x14ac:dyDescent="0.3">
      <c r="A191" s="93">
        <v>190</v>
      </c>
      <c r="B191" s="93" t="s">
        <v>1381</v>
      </c>
      <c r="C191" s="93" t="s">
        <v>70</v>
      </c>
      <c r="D191" s="93" t="s">
        <v>465</v>
      </c>
      <c r="E191" s="93" t="s">
        <v>356</v>
      </c>
      <c r="F191" s="93" t="s">
        <v>1382</v>
      </c>
      <c r="G191" s="93" t="s">
        <v>1383</v>
      </c>
      <c r="H191" s="93" t="s">
        <v>74</v>
      </c>
      <c r="I191" s="93" t="s">
        <v>75</v>
      </c>
      <c r="J191" s="94">
        <v>46164.763194444444</v>
      </c>
      <c r="K191" s="94">
        <v>46167.40347222222</v>
      </c>
      <c r="L191" s="79"/>
      <c r="M191" s="93" t="s">
        <v>85</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row>
    <row r="192" spans="1:17" ht="82.8" x14ac:dyDescent="0.3">
      <c r="A192" s="93">
        <v>191</v>
      </c>
      <c r="B192" s="93" t="s">
        <v>1384</v>
      </c>
      <c r="C192" s="93" t="s">
        <v>70</v>
      </c>
      <c r="D192" s="93" t="s">
        <v>465</v>
      </c>
      <c r="E192" s="93" t="s">
        <v>356</v>
      </c>
      <c r="F192" s="93" t="s">
        <v>1385</v>
      </c>
      <c r="G192" s="93" t="s">
        <v>1386</v>
      </c>
      <c r="H192" s="93" t="s">
        <v>74</v>
      </c>
      <c r="I192" s="93" t="s">
        <v>75</v>
      </c>
      <c r="J192" s="94">
        <v>46167.45416666667</v>
      </c>
      <c r="K192" s="94">
        <v>46167.525694444441</v>
      </c>
      <c r="L192" s="79"/>
      <c r="M192" s="93" t="s">
        <v>85</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row>
    <row r="193" spans="1:15" ht="55.2" x14ac:dyDescent="0.3">
      <c r="A193" s="93">
        <v>192</v>
      </c>
      <c r="B193" s="93" t="s">
        <v>1387</v>
      </c>
      <c r="C193" s="93" t="s">
        <v>70</v>
      </c>
      <c r="D193" s="93" t="s">
        <v>465</v>
      </c>
      <c r="E193" s="93" t="s">
        <v>356</v>
      </c>
      <c r="F193" s="93" t="s">
        <v>1388</v>
      </c>
      <c r="G193" s="93" t="s">
        <v>1389</v>
      </c>
      <c r="H193" s="93" t="s">
        <v>74</v>
      </c>
      <c r="I193" s="93" t="s">
        <v>75</v>
      </c>
      <c r="J193" s="94">
        <v>46170.640972222223</v>
      </c>
      <c r="K193" s="94">
        <v>46171.388194444444</v>
      </c>
      <c r="L193" s="79"/>
      <c r="M193" s="93" t="s">
        <v>85</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row>
    <row r="194" spans="1:15" ht="55.2" x14ac:dyDescent="0.3">
      <c r="A194" s="93">
        <v>193</v>
      </c>
      <c r="B194" s="93" t="s">
        <v>1390</v>
      </c>
      <c r="C194" s="93" t="s">
        <v>70</v>
      </c>
      <c r="D194" s="93" t="s">
        <v>465</v>
      </c>
      <c r="E194" s="93" t="s">
        <v>356</v>
      </c>
      <c r="F194" s="93" t="s">
        <v>1391</v>
      </c>
      <c r="G194" s="93" t="s">
        <v>1392</v>
      </c>
      <c r="H194" s="93" t="s">
        <v>74</v>
      </c>
      <c r="I194" s="93" t="s">
        <v>75</v>
      </c>
      <c r="J194" s="94">
        <v>46177.477083333331</v>
      </c>
      <c r="K194" s="94">
        <v>46202.711111111108</v>
      </c>
      <c r="L194" s="94">
        <v>46202.711111111108</v>
      </c>
      <c r="M194" s="93"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row>
    <row r="195" spans="1:15" ht="110.4" x14ac:dyDescent="0.3">
      <c r="A195" s="93">
        <v>194</v>
      </c>
      <c r="B195" s="93" t="s">
        <v>1393</v>
      </c>
      <c r="C195" s="93" t="s">
        <v>70</v>
      </c>
      <c r="D195" s="93" t="s">
        <v>477</v>
      </c>
      <c r="E195" s="93" t="s">
        <v>356</v>
      </c>
      <c r="F195" s="93" t="s">
        <v>1394</v>
      </c>
      <c r="G195" s="93" t="s">
        <v>1395</v>
      </c>
      <c r="H195" s="93" t="s">
        <v>74</v>
      </c>
      <c r="I195" s="93" t="s">
        <v>75</v>
      </c>
      <c r="J195" s="94">
        <v>46178.458333333336</v>
      </c>
      <c r="K195" s="94">
        <v>46191.645138888889</v>
      </c>
      <c r="L195" s="79"/>
      <c r="M195" s="93"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row>
    <row r="196" spans="1:15" ht="96.6" x14ac:dyDescent="0.3">
      <c r="A196" s="93">
        <v>195</v>
      </c>
      <c r="B196" s="93" t="s">
        <v>1396</v>
      </c>
      <c r="C196" s="93" t="s">
        <v>70</v>
      </c>
      <c r="D196" s="93" t="s">
        <v>477</v>
      </c>
      <c r="E196" s="93" t="s">
        <v>356</v>
      </c>
      <c r="F196" s="93" t="s">
        <v>1397</v>
      </c>
      <c r="G196" s="93" t="s">
        <v>1398</v>
      </c>
      <c r="H196" s="93" t="s">
        <v>74</v>
      </c>
      <c r="I196" s="93" t="s">
        <v>75</v>
      </c>
      <c r="J196" s="94">
        <v>46182.69027777778</v>
      </c>
      <c r="K196" s="94">
        <v>46183.441666666666</v>
      </c>
      <c r="L196" s="79"/>
      <c r="M196" s="93" t="s">
        <v>85</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row>
    <row r="197" spans="1:15" ht="55.2" x14ac:dyDescent="0.3">
      <c r="A197" s="93">
        <v>196</v>
      </c>
      <c r="B197" s="93" t="s">
        <v>1399</v>
      </c>
      <c r="C197" s="93" t="s">
        <v>70</v>
      </c>
      <c r="D197" s="93" t="s">
        <v>477</v>
      </c>
      <c r="E197" s="93" t="s">
        <v>356</v>
      </c>
      <c r="F197" s="93" t="s">
        <v>1400</v>
      </c>
      <c r="G197" s="93" t="s">
        <v>1401</v>
      </c>
      <c r="H197" s="93" t="s">
        <v>74</v>
      </c>
      <c r="I197" s="93" t="s">
        <v>75</v>
      </c>
      <c r="J197" s="94">
        <v>46183.630555555559</v>
      </c>
      <c r="K197" s="94">
        <v>46202.643750000003</v>
      </c>
      <c r="L197" s="94">
        <v>46202.644444444442</v>
      </c>
      <c r="M197" s="93"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row>
    <row r="198" spans="1:15" ht="55.2" x14ac:dyDescent="0.3">
      <c r="A198" s="93">
        <v>197</v>
      </c>
      <c r="B198" s="93" t="s">
        <v>1402</v>
      </c>
      <c r="C198" s="93" t="s">
        <v>70</v>
      </c>
      <c r="D198" s="93" t="s">
        <v>465</v>
      </c>
      <c r="E198" s="93" t="s">
        <v>356</v>
      </c>
      <c r="F198" s="93" t="s">
        <v>1403</v>
      </c>
      <c r="G198" s="93" t="s">
        <v>1404</v>
      </c>
      <c r="H198" s="93" t="s">
        <v>74</v>
      </c>
      <c r="I198" s="93" t="s">
        <v>75</v>
      </c>
      <c r="J198" s="94">
        <v>46183.643750000003</v>
      </c>
      <c r="K198" s="94">
        <v>46202.678472222222</v>
      </c>
      <c r="L198" s="94">
        <v>46202.679861111108</v>
      </c>
      <c r="M198" s="93"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row>
    <row r="199" spans="1:15" ht="110.4" x14ac:dyDescent="0.3">
      <c r="A199" s="93">
        <v>198</v>
      </c>
      <c r="B199" s="93" t="s">
        <v>1405</v>
      </c>
      <c r="C199" s="93" t="s">
        <v>70</v>
      </c>
      <c r="D199" s="93" t="s">
        <v>487</v>
      </c>
      <c r="E199" s="93" t="s">
        <v>356</v>
      </c>
      <c r="F199" s="93" t="s">
        <v>1406</v>
      </c>
      <c r="G199" s="93" t="s">
        <v>1407</v>
      </c>
      <c r="H199" s="93" t="s">
        <v>74</v>
      </c>
      <c r="I199" s="93" t="s">
        <v>75</v>
      </c>
      <c r="J199" s="94">
        <v>46183.676388888889</v>
      </c>
      <c r="K199" s="79"/>
      <c r="L199" s="79"/>
      <c r="M199" s="93"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-23</v>
      </c>
    </row>
    <row r="200" spans="1:15" ht="124.2" x14ac:dyDescent="0.3">
      <c r="A200" s="93">
        <v>199</v>
      </c>
      <c r="B200" s="93" t="s">
        <v>1408</v>
      </c>
      <c r="C200" s="93" t="s">
        <v>70</v>
      </c>
      <c r="D200" s="93" t="s">
        <v>465</v>
      </c>
      <c r="E200" s="93" t="s">
        <v>356</v>
      </c>
      <c r="F200" s="93" t="s">
        <v>1409</v>
      </c>
      <c r="G200" s="93" t="s">
        <v>1410</v>
      </c>
      <c r="H200" s="93" t="s">
        <v>74</v>
      </c>
      <c r="I200" s="93" t="s">
        <v>75</v>
      </c>
      <c r="J200" s="94">
        <v>46183.697916666664</v>
      </c>
      <c r="K200" s="94">
        <v>46202.635416666664</v>
      </c>
      <c r="L200" s="79"/>
      <c r="M200" s="93"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row>
    <row r="201" spans="1:15" ht="151.80000000000001" x14ac:dyDescent="0.3">
      <c r="A201" s="93">
        <v>200</v>
      </c>
      <c r="B201" s="93" t="s">
        <v>1411</v>
      </c>
      <c r="C201" s="93" t="s">
        <v>70</v>
      </c>
      <c r="D201" s="93" t="s">
        <v>465</v>
      </c>
      <c r="E201" s="93" t="s">
        <v>356</v>
      </c>
      <c r="F201" s="93" t="s">
        <v>1412</v>
      </c>
      <c r="G201" s="93" t="s">
        <v>1413</v>
      </c>
      <c r="H201" s="93" t="s">
        <v>74</v>
      </c>
      <c r="I201" s="93" t="s">
        <v>75</v>
      </c>
      <c r="J201" s="94">
        <v>46184.44027777778</v>
      </c>
      <c r="K201" s="94">
        <v>46202.606249999997</v>
      </c>
      <c r="L201" s="79"/>
      <c r="M201" s="93"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row>
    <row r="202" spans="1:15" ht="110.4" x14ac:dyDescent="0.3">
      <c r="A202" s="93">
        <v>201</v>
      </c>
      <c r="B202" s="93" t="s">
        <v>1414</v>
      </c>
      <c r="C202" s="93" t="s">
        <v>70</v>
      </c>
      <c r="D202" s="93" t="s">
        <v>465</v>
      </c>
      <c r="E202" s="93" t="s">
        <v>356</v>
      </c>
      <c r="F202" s="93" t="s">
        <v>1415</v>
      </c>
      <c r="G202" s="93" t="s">
        <v>1416</v>
      </c>
      <c r="H202" s="93" t="s">
        <v>74</v>
      </c>
      <c r="I202" s="93" t="s">
        <v>75</v>
      </c>
      <c r="J202" s="94">
        <v>46185.383333333331</v>
      </c>
      <c r="K202" s="94">
        <v>46195.670138888891</v>
      </c>
      <c r="L202" s="79"/>
      <c r="M202" s="93"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row>
    <row r="203" spans="1:15" ht="124.2" x14ac:dyDescent="0.3">
      <c r="A203" s="93">
        <v>202</v>
      </c>
      <c r="B203" s="93" t="s">
        <v>1417</v>
      </c>
      <c r="C203" s="93" t="s">
        <v>70</v>
      </c>
      <c r="D203" s="93" t="s">
        <v>465</v>
      </c>
      <c r="E203" s="93" t="s">
        <v>356</v>
      </c>
      <c r="F203" s="93" t="s">
        <v>1418</v>
      </c>
      <c r="G203" s="93" t="s">
        <v>1419</v>
      </c>
      <c r="H203" s="93" t="s">
        <v>74</v>
      </c>
      <c r="I203" s="93" t="s">
        <v>75</v>
      </c>
      <c r="J203" s="94">
        <v>46185.385416666664</v>
      </c>
      <c r="K203" s="94">
        <v>46195.645138888889</v>
      </c>
      <c r="L203" s="79"/>
      <c r="M203" s="93"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row>
    <row r="204" spans="1:15" ht="96.6" x14ac:dyDescent="0.3">
      <c r="A204" s="93">
        <v>203</v>
      </c>
      <c r="B204" s="93" t="s">
        <v>1420</v>
      </c>
      <c r="C204" s="93" t="s">
        <v>70</v>
      </c>
      <c r="D204" s="93" t="s">
        <v>465</v>
      </c>
      <c r="E204" s="93" t="s">
        <v>356</v>
      </c>
      <c r="F204" s="93" t="s">
        <v>1421</v>
      </c>
      <c r="G204" s="93" t="s">
        <v>1422</v>
      </c>
      <c r="H204" s="93" t="s">
        <v>74</v>
      </c>
      <c r="I204" s="93" t="s">
        <v>75</v>
      </c>
      <c r="J204" s="94">
        <v>46191.707638888889</v>
      </c>
      <c r="K204" s="94">
        <v>46195.695833333331</v>
      </c>
      <c r="L204" s="79"/>
      <c r="M204" s="93"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row>
    <row r="205" spans="1:15" ht="55.2" x14ac:dyDescent="0.3">
      <c r="A205" s="93">
        <v>204</v>
      </c>
      <c r="B205" s="93" t="s">
        <v>1423</v>
      </c>
      <c r="C205" s="93" t="s">
        <v>70</v>
      </c>
      <c r="D205" s="93" t="s">
        <v>465</v>
      </c>
      <c r="E205" s="93" t="s">
        <v>356</v>
      </c>
      <c r="F205" s="93" t="s">
        <v>1424</v>
      </c>
      <c r="G205" s="93" t="s">
        <v>1425</v>
      </c>
      <c r="H205" s="93" t="s">
        <v>74</v>
      </c>
      <c r="I205" s="93" t="s">
        <v>75</v>
      </c>
      <c r="J205" s="94">
        <v>46192.490277777775</v>
      </c>
      <c r="K205" s="94">
        <v>46195.445138888892</v>
      </c>
      <c r="L205" s="79"/>
      <c r="M205" s="93"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row>
    <row r="206" spans="1:15" ht="41.4" x14ac:dyDescent="0.3">
      <c r="A206" s="93">
        <v>205</v>
      </c>
      <c r="B206" s="93" t="s">
        <v>1426</v>
      </c>
      <c r="C206" s="93" t="s">
        <v>70</v>
      </c>
      <c r="D206" s="93" t="s">
        <v>465</v>
      </c>
      <c r="E206" s="93" t="s">
        <v>356</v>
      </c>
      <c r="F206" s="93" t="s">
        <v>1427</v>
      </c>
      <c r="G206" s="93" t="s">
        <v>1428</v>
      </c>
      <c r="H206" s="93" t="s">
        <v>74</v>
      </c>
      <c r="I206" s="93" t="s">
        <v>75</v>
      </c>
      <c r="J206" s="94">
        <v>46195.456944444442</v>
      </c>
      <c r="K206" s="94">
        <v>46195.477083333331</v>
      </c>
      <c r="L206" s="79"/>
      <c r="M206" s="93"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row>
    <row r="207" spans="1:15" ht="41.4" x14ac:dyDescent="0.3">
      <c r="A207" s="93">
        <v>206</v>
      </c>
      <c r="B207" s="93" t="s">
        <v>1429</v>
      </c>
      <c r="C207" s="93" t="s">
        <v>70</v>
      </c>
      <c r="D207" s="93" t="s">
        <v>477</v>
      </c>
      <c r="E207" s="93" t="s">
        <v>356</v>
      </c>
      <c r="F207" s="93" t="s">
        <v>1430</v>
      </c>
      <c r="G207" s="93" t="s">
        <v>1431</v>
      </c>
      <c r="H207" s="93" t="s">
        <v>74</v>
      </c>
      <c r="I207" s="93" t="s">
        <v>75</v>
      </c>
      <c r="J207" s="94">
        <v>46195.619444444441</v>
      </c>
      <c r="K207" s="94">
        <v>46197.405555555553</v>
      </c>
      <c r="L207" s="79"/>
      <c r="M207" s="93"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row>
    <row r="208" spans="1:15" ht="55.2" x14ac:dyDescent="0.3">
      <c r="A208" s="93">
        <v>207</v>
      </c>
      <c r="B208" s="93" t="s">
        <v>1432</v>
      </c>
      <c r="C208" s="93" t="s">
        <v>70</v>
      </c>
      <c r="D208" s="93" t="s">
        <v>477</v>
      </c>
      <c r="E208" s="93" t="s">
        <v>356</v>
      </c>
      <c r="F208" s="93" t="s">
        <v>1433</v>
      </c>
      <c r="G208" s="93" t="s">
        <v>1434</v>
      </c>
      <c r="H208" s="93" t="s">
        <v>74</v>
      </c>
      <c r="I208" s="93" t="s">
        <v>75</v>
      </c>
      <c r="J208" s="94">
        <v>46202.710416666669</v>
      </c>
      <c r="K208" s="94">
        <v>46203.441666666666</v>
      </c>
      <c r="L208" s="94">
        <v>46203.441666666666</v>
      </c>
      <c r="M208" s="93"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row>
    <row r="209" spans="10:13" x14ac:dyDescent="0.3">
      <c r="J209" s="108"/>
      <c r="K209" s="109"/>
      <c r="L209" s="109"/>
      <c r="M209" s="93"/>
    </row>
    <row r="210" spans="10:13" x14ac:dyDescent="0.3">
      <c r="J210" s="108"/>
      <c r="K210" s="108"/>
      <c r="L210" s="109"/>
      <c r="M210" s="93"/>
    </row>
    <row r="211" spans="10:13" x14ac:dyDescent="0.3">
      <c r="J211" s="108"/>
      <c r="K211" s="108"/>
      <c r="L211" s="109"/>
      <c r="M211" s="93"/>
    </row>
    <row r="212" spans="10:13" x14ac:dyDescent="0.3">
      <c r="J212" s="108"/>
      <c r="K212" s="108"/>
      <c r="L212" s="109"/>
      <c r="M212" s="93"/>
    </row>
    <row r="213" spans="10:13" x14ac:dyDescent="0.3">
      <c r="J213" s="108"/>
      <c r="K213" s="108"/>
      <c r="L213" s="109"/>
      <c r="M213" s="93"/>
    </row>
    <row r="214" spans="10:13" x14ac:dyDescent="0.3">
      <c r="J214" s="108"/>
      <c r="K214" s="108"/>
      <c r="L214" s="109"/>
      <c r="M214" s="93"/>
    </row>
    <row r="215" spans="10:13" x14ac:dyDescent="0.3">
      <c r="J215" s="108"/>
      <c r="K215" s="108"/>
      <c r="L215" s="109"/>
      <c r="M215" s="93"/>
    </row>
    <row r="216" spans="10:13" x14ac:dyDescent="0.3">
      <c r="J216" s="108"/>
      <c r="K216" s="108"/>
      <c r="L216" s="109"/>
      <c r="M216" s="93"/>
    </row>
    <row r="217" spans="10:13" x14ac:dyDescent="0.3">
      <c r="J217" s="108"/>
      <c r="K217" s="108"/>
      <c r="L217" s="109"/>
      <c r="M217" s="93"/>
    </row>
    <row r="218" spans="10:13" x14ac:dyDescent="0.3">
      <c r="J218" s="108"/>
      <c r="K218" s="108"/>
      <c r="L218" s="108"/>
      <c r="M218" s="93"/>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08"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topLeftCell="G4" workbookViewId="0">
      <selection activeCell="D21" sqref="D21"/>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15</v>
      </c>
      <c r="D1" s="47" t="s">
        <v>50</v>
      </c>
      <c r="E1" s="48">
        <f>SUM(T3:T4)</f>
        <v>4</v>
      </c>
      <c r="F1" s="49" t="s">
        <v>51</v>
      </c>
      <c r="G1" s="50">
        <f>SUM(T5:T6)</f>
        <v>11</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77">
        <v>1</v>
      </c>
      <c r="B3" s="77" t="s">
        <v>985</v>
      </c>
      <c r="C3" s="77" t="s">
        <v>70</v>
      </c>
      <c r="D3" s="77" t="s">
        <v>375</v>
      </c>
      <c r="E3" s="77" t="s">
        <v>358</v>
      </c>
      <c r="F3" s="77" t="s">
        <v>986</v>
      </c>
      <c r="G3" s="77" t="s">
        <v>987</v>
      </c>
      <c r="H3" s="77" t="s">
        <v>74</v>
      </c>
      <c r="I3" s="77" t="s">
        <v>75</v>
      </c>
      <c r="J3" s="108">
        <v>46083.624305555553</v>
      </c>
      <c r="K3" s="108">
        <v>46141.631249999999</v>
      </c>
      <c r="L3" s="108">
        <v>46159.847222222219</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4</v>
      </c>
    </row>
    <row r="4" spans="1:22" ht="55.2" x14ac:dyDescent="0.3">
      <c r="A4" s="77">
        <v>2</v>
      </c>
      <c r="B4" s="77" t="s">
        <v>988</v>
      </c>
      <c r="C4" s="77" t="s">
        <v>70</v>
      </c>
      <c r="D4" s="77" t="s">
        <v>375</v>
      </c>
      <c r="E4" s="77" t="s">
        <v>358</v>
      </c>
      <c r="F4" s="77" t="s">
        <v>989</v>
      </c>
      <c r="G4" s="77" t="s">
        <v>990</v>
      </c>
      <c r="H4" s="77" t="s">
        <v>74</v>
      </c>
      <c r="I4" s="77" t="s">
        <v>75</v>
      </c>
      <c r="J4" s="108">
        <v>46083.625694444447</v>
      </c>
      <c r="K4" s="108">
        <v>46141.634027777778</v>
      </c>
      <c r="L4" s="108">
        <v>46159.847916666666</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77">
        <v>3</v>
      </c>
      <c r="B5" s="77" t="s">
        <v>991</v>
      </c>
      <c r="C5" s="77" t="s">
        <v>70</v>
      </c>
      <c r="D5" s="77" t="s">
        <v>375</v>
      </c>
      <c r="E5" s="77" t="s">
        <v>358</v>
      </c>
      <c r="F5" s="77" t="s">
        <v>992</v>
      </c>
      <c r="G5" s="77" t="s">
        <v>993</v>
      </c>
      <c r="H5" s="77" t="s">
        <v>74</v>
      </c>
      <c r="I5" s="77" t="s">
        <v>75</v>
      </c>
      <c r="J5" s="108">
        <v>46092.667361111111</v>
      </c>
      <c r="K5" s="108">
        <v>46141.62777777778</v>
      </c>
      <c r="L5" s="108">
        <v>46159.875694444447</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2</v>
      </c>
    </row>
    <row r="6" spans="1:22" ht="27.6" x14ac:dyDescent="0.3">
      <c r="A6" s="77">
        <v>4</v>
      </c>
      <c r="B6" s="77" t="s">
        <v>994</v>
      </c>
      <c r="C6" s="77" t="s">
        <v>70</v>
      </c>
      <c r="D6" s="77" t="s">
        <v>375</v>
      </c>
      <c r="E6" s="77" t="s">
        <v>358</v>
      </c>
      <c r="F6" s="77" t="s">
        <v>995</v>
      </c>
      <c r="G6" s="77" t="s">
        <v>996</v>
      </c>
      <c r="H6" s="77" t="s">
        <v>74</v>
      </c>
      <c r="I6" s="77" t="s">
        <v>75</v>
      </c>
      <c r="J6" s="108">
        <v>46126.490277777775</v>
      </c>
      <c r="K6" s="108">
        <v>46141.626388888886</v>
      </c>
      <c r="L6" s="108">
        <v>46159.947222222225</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9</v>
      </c>
    </row>
    <row r="7" spans="1:22" ht="27.6" x14ac:dyDescent="0.3">
      <c r="A7" s="77">
        <v>5</v>
      </c>
      <c r="B7" s="77" t="s">
        <v>997</v>
      </c>
      <c r="C7" s="77" t="s">
        <v>70</v>
      </c>
      <c r="D7" s="77" t="s">
        <v>375</v>
      </c>
      <c r="E7" s="77" t="s">
        <v>358</v>
      </c>
      <c r="F7" s="77" t="s">
        <v>998</v>
      </c>
      <c r="G7" s="77" t="s">
        <v>999</v>
      </c>
      <c r="H7" s="77" t="s">
        <v>74</v>
      </c>
      <c r="I7" s="77" t="s">
        <v>75</v>
      </c>
      <c r="J7" s="108">
        <v>46126.490972222222</v>
      </c>
      <c r="K7" s="108">
        <v>46141.631944444445</v>
      </c>
      <c r="L7" s="108">
        <v>46159.947916666664</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15</v>
      </c>
    </row>
    <row r="8" spans="1:22" ht="55.2" x14ac:dyDescent="0.3">
      <c r="A8" s="77">
        <v>6</v>
      </c>
      <c r="B8" s="77" t="s">
        <v>1000</v>
      </c>
      <c r="C8" s="77" t="s">
        <v>70</v>
      </c>
      <c r="D8" s="77" t="s">
        <v>87</v>
      </c>
      <c r="E8" s="77" t="s">
        <v>358</v>
      </c>
      <c r="F8" s="77" t="s">
        <v>1001</v>
      </c>
      <c r="G8" s="77" t="s">
        <v>1002</v>
      </c>
      <c r="H8" s="77" t="s">
        <v>74</v>
      </c>
      <c r="I8" s="77" t="s">
        <v>75</v>
      </c>
      <c r="J8" s="108">
        <v>46132.680555555555</v>
      </c>
      <c r="K8" s="109"/>
      <c r="L8" s="109"/>
      <c r="M8" s="93" t="s">
        <v>77</v>
      </c>
      <c r="N8" s="59">
        <f>IF(ISBLANK(J8),"",IF(OR(M8="Completed",M8="Closed"),"",IF(H8="Issue",IF(I8="High",WORKDAY(J8,2,DATA!A7:A35),IF(I8="Medium",WORKDAY(J8,14,DATA!A7:A35),IF(OR(I8="Low"),WORKDAY(J8,30,DATA!A7:A35),""))),
"")
))</f>
        <v>46153</v>
      </c>
      <c r="O8" s="60">
        <f ca="1">IF(OR(ISBLANK(#REF!), M8="Completed", M8="Closed", H8&lt;&gt;"Issue"), "",
   (NETWORKDAYS.INTL(TODAY(), N8, 1, DATA!A7:A35) - 1))</f>
        <v>-57</v>
      </c>
      <c r="P8" s="78">
        <f t="shared" ca="1" si="0"/>
        <v>57</v>
      </c>
      <c r="Q8" s="62" t="str">
        <f t="shared" ca="1" si="1"/>
        <v>31-60 Days</v>
      </c>
      <c r="S8" s="238" t="s">
        <v>66</v>
      </c>
      <c r="T8" s="69" t="s">
        <v>94</v>
      </c>
      <c r="U8" s="69" t="s">
        <v>95</v>
      </c>
      <c r="V8" s="69" t="s">
        <v>96</v>
      </c>
    </row>
    <row r="9" spans="1:22" ht="41.4" x14ac:dyDescent="0.3">
      <c r="A9" s="77">
        <v>7</v>
      </c>
      <c r="B9" s="77" t="s">
        <v>1003</v>
      </c>
      <c r="C9" s="77" t="s">
        <v>70</v>
      </c>
      <c r="D9" s="77" t="s">
        <v>238</v>
      </c>
      <c r="E9" s="77" t="s">
        <v>358</v>
      </c>
      <c r="F9" s="77" t="s">
        <v>1004</v>
      </c>
      <c r="G9" s="77" t="s">
        <v>1005</v>
      </c>
      <c r="H9" s="77" t="s">
        <v>74</v>
      </c>
      <c r="I9" s="77" t="s">
        <v>75</v>
      </c>
      <c r="J9" s="108">
        <v>46133.729861111111</v>
      </c>
      <c r="K9" s="108">
        <v>46134.602777777778</v>
      </c>
      <c r="L9" s="108">
        <v>46159.958333333336</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238"/>
      <c r="T9" s="70">
        <f ca="1">COUNTIFS(P3:P277,"&gt;=1",P3:P277,"&lt;=30")</f>
        <v>2</v>
      </c>
      <c r="U9" s="70">
        <f ca="1">COUNTIFS(P3:P277,"&gt;=31",P3:P277,"&lt;=60")</f>
        <v>2</v>
      </c>
      <c r="V9" s="70">
        <f ca="1">COUNTIFS(P3:P277,"&gt;60")</f>
        <v>0</v>
      </c>
    </row>
    <row r="10" spans="1:22" ht="55.2" x14ac:dyDescent="0.3">
      <c r="A10" s="77">
        <v>8</v>
      </c>
      <c r="B10" s="77" t="s">
        <v>1006</v>
      </c>
      <c r="C10" s="77" t="s">
        <v>70</v>
      </c>
      <c r="D10" s="77" t="s">
        <v>238</v>
      </c>
      <c r="E10" s="77" t="s">
        <v>358</v>
      </c>
      <c r="F10" s="77" t="s">
        <v>1007</v>
      </c>
      <c r="G10" s="77" t="s">
        <v>1008</v>
      </c>
      <c r="H10" s="77" t="s">
        <v>74</v>
      </c>
      <c r="I10" s="77" t="s">
        <v>75</v>
      </c>
      <c r="J10" s="108">
        <v>46135.503472222219</v>
      </c>
      <c r="K10" s="109"/>
      <c r="L10" s="109"/>
      <c r="M10" s="93"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-54</v>
      </c>
      <c r="P10" s="78">
        <f t="shared" ca="1" si="0"/>
        <v>54</v>
      </c>
      <c r="Q10" s="62" t="str">
        <f t="shared" ref="Q10:Q12" ca="1" si="2">IF(P10="","",
IF(P10&lt;=0,"Not Due",
IF(P10&lt;=30,"1-30 Days",
IF(P10&lt;=60,"31-60 Days",
"&gt;60 Days"))))</f>
        <v>31-60 Days</v>
      </c>
    </row>
    <row r="11" spans="1:22" ht="41.4" x14ac:dyDescent="0.3">
      <c r="A11" s="77">
        <v>9</v>
      </c>
      <c r="B11" s="77" t="s">
        <v>1009</v>
      </c>
      <c r="C11" s="77" t="s">
        <v>70</v>
      </c>
      <c r="D11" s="77" t="s">
        <v>1010</v>
      </c>
      <c r="E11" s="77" t="s">
        <v>358</v>
      </c>
      <c r="F11" s="77" t="s">
        <v>1011</v>
      </c>
      <c r="G11" s="77" t="s">
        <v>1012</v>
      </c>
      <c r="H11" s="77" t="s">
        <v>74</v>
      </c>
      <c r="I11" s="77" t="s">
        <v>75</v>
      </c>
      <c r="J11" s="108">
        <v>46154.441666666666</v>
      </c>
      <c r="K11" s="108">
        <v>46160.444444444445</v>
      </c>
      <c r="L11" s="109"/>
      <c r="M11" s="93" t="s">
        <v>85</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77">
        <v>10</v>
      </c>
      <c r="B12" s="77" t="s">
        <v>1013</v>
      </c>
      <c r="C12" s="77" t="s">
        <v>70</v>
      </c>
      <c r="D12" s="77" t="s">
        <v>368</v>
      </c>
      <c r="E12" s="77" t="s">
        <v>358</v>
      </c>
      <c r="F12" s="77" t="s">
        <v>1014</v>
      </c>
      <c r="G12" s="77" t="s">
        <v>1015</v>
      </c>
      <c r="H12" s="77" t="s">
        <v>74</v>
      </c>
      <c r="I12" s="77" t="s">
        <v>75</v>
      </c>
      <c r="J12" s="108">
        <v>46155.503472222219</v>
      </c>
      <c r="K12" s="108">
        <v>46157.625694444447</v>
      </c>
      <c r="L12" s="108">
        <v>46188.711111111108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77">
        <v>11</v>
      </c>
      <c r="B13" s="77" t="s">
        <v>1016</v>
      </c>
      <c r="C13" s="77" t="s">
        <v>70</v>
      </c>
      <c r="D13" s="77" t="s">
        <v>238</v>
      </c>
      <c r="E13" s="77" t="s">
        <v>358</v>
      </c>
      <c r="F13" s="77" t="s">
        <v>1017</v>
      </c>
      <c r="G13" s="77" t="s">
        <v>1018</v>
      </c>
      <c r="H13" s="77" t="s">
        <v>74</v>
      </c>
      <c r="I13" s="77" t="s">
        <v>75</v>
      </c>
      <c r="J13" s="108">
        <v>46182.406944444447</v>
      </c>
      <c r="K13" s="109"/>
      <c r="L13" s="109"/>
      <c r="M13" s="93"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-24</v>
      </c>
      <c r="P13" s="78">
        <f t="shared" ca="1" si="0"/>
        <v>24</v>
      </c>
      <c r="Q13" s="62" t="str">
        <f ca="1">IF(P13="","",
IF(P13&lt;=0,"Not Due",
IF(P13&lt;=30,"1-30 Days",
IF(P13&lt;=60,"31-60 Days",
"&gt;60 Days"))))</f>
        <v>1-30 Days</v>
      </c>
    </row>
    <row r="14" spans="1:22" ht="69" x14ac:dyDescent="0.3">
      <c r="A14" s="77">
        <v>12</v>
      </c>
      <c r="B14" s="77" t="s">
        <v>1019</v>
      </c>
      <c r="C14" s="77" t="s">
        <v>70</v>
      </c>
      <c r="D14" s="77" t="s">
        <v>375</v>
      </c>
      <c r="E14" s="77" t="s">
        <v>358</v>
      </c>
      <c r="F14" s="77" t="s">
        <v>1020</v>
      </c>
      <c r="G14" s="77" t="s">
        <v>1021</v>
      </c>
      <c r="H14" s="77" t="s">
        <v>74</v>
      </c>
      <c r="I14" s="77" t="s">
        <v>75</v>
      </c>
      <c r="J14" s="108">
        <v>46183.668055555558</v>
      </c>
      <c r="K14" s="108">
        <v>46188.722222222219</v>
      </c>
      <c r="L14" s="108">
        <v>46188.722222222219</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77">
        <v>13</v>
      </c>
      <c r="B15" s="77" t="s">
        <v>1022</v>
      </c>
      <c r="C15" s="77" t="s">
        <v>70</v>
      </c>
      <c r="D15" s="77" t="s">
        <v>87</v>
      </c>
      <c r="E15" s="77" t="s">
        <v>358</v>
      </c>
      <c r="F15" s="77" t="s">
        <v>1023</v>
      </c>
      <c r="G15" s="77" t="s">
        <v>1024</v>
      </c>
      <c r="H15" s="77" t="s">
        <v>74</v>
      </c>
      <c r="I15" s="77" t="s">
        <v>75</v>
      </c>
      <c r="J15" s="108">
        <v>46187.50277777778</v>
      </c>
      <c r="K15" s="108">
        <v>46191.675000000003</v>
      </c>
      <c r="L15" s="108">
        <v>46204.478472222225</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93">
        <v>14</v>
      </c>
      <c r="B16" s="93" t="s">
        <v>1435</v>
      </c>
      <c r="C16" s="93" t="s">
        <v>70</v>
      </c>
      <c r="D16" s="93" t="s">
        <v>379</v>
      </c>
      <c r="E16" s="93" t="s">
        <v>358</v>
      </c>
      <c r="F16" s="93" t="s">
        <v>1436</v>
      </c>
      <c r="G16" s="93" t="s">
        <v>1437</v>
      </c>
      <c r="H16" s="93" t="s">
        <v>74</v>
      </c>
      <c r="I16" s="93" t="s">
        <v>75</v>
      </c>
      <c r="J16" s="108">
        <v>46188.650694444441</v>
      </c>
      <c r="K16" s="108">
        <v>46192.40625</v>
      </c>
      <c r="L16" s="109"/>
      <c r="M16" s="93"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93">
        <v>15</v>
      </c>
      <c r="B17" s="93" t="s">
        <v>1438</v>
      </c>
      <c r="C17" s="79"/>
      <c r="D17" s="93" t="s">
        <v>1010</v>
      </c>
      <c r="E17" s="93" t="s">
        <v>358</v>
      </c>
      <c r="F17" s="93" t="s">
        <v>1439</v>
      </c>
      <c r="G17" s="93" t="s">
        <v>1440</v>
      </c>
      <c r="H17" s="93" t="s">
        <v>74</v>
      </c>
      <c r="I17" s="93" t="s">
        <v>75</v>
      </c>
      <c r="J17" s="108">
        <v>46198.52847222222</v>
      </c>
      <c r="K17" s="109"/>
      <c r="L17" s="109"/>
      <c r="M17" s="93"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-12</v>
      </c>
      <c r="P17" s="78">
        <f t="shared" ca="1" si="0"/>
        <v>12</v>
      </c>
      <c r="Q17" s="62" t="str">
        <f t="shared" ca="1" si="1"/>
        <v>1-30 Days</v>
      </c>
    </row>
    <row r="18" spans="1:17" x14ac:dyDescent="0.3">
      <c r="A18" s="93">
        <v>16</v>
      </c>
      <c r="B18" s="57"/>
      <c r="C18" s="57"/>
      <c r="D18" s="57"/>
      <c r="E18" s="57"/>
      <c r="F18" s="57"/>
      <c r="G18" s="57"/>
      <c r="H18" s="57"/>
      <c r="I18" s="57"/>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93">
        <v>17</v>
      </c>
      <c r="B19" s="57"/>
      <c r="C19" s="57"/>
      <c r="D19" s="57"/>
      <c r="E19" s="57"/>
      <c r="F19" s="57"/>
      <c r="G19" s="57"/>
      <c r="H19" s="57"/>
      <c r="I19" s="57"/>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93">
        <v>18</v>
      </c>
      <c r="B20" s="57"/>
      <c r="C20" s="57"/>
      <c r="D20" s="57"/>
      <c r="E20" s="57"/>
      <c r="F20" s="57"/>
      <c r="G20" s="57"/>
      <c r="H20" s="57"/>
      <c r="I20" s="57"/>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93">
        <v>19</v>
      </c>
      <c r="B21" s="57"/>
      <c r="C21" s="57"/>
      <c r="D21" s="57"/>
      <c r="E21" s="57"/>
      <c r="F21" s="57"/>
      <c r="G21" s="57"/>
      <c r="H21" s="57"/>
      <c r="I21" s="57"/>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93">
        <v>20</v>
      </c>
      <c r="B22" s="57"/>
      <c r="C22" s="57"/>
      <c r="D22" s="57"/>
      <c r="E22" s="57"/>
      <c r="F22" s="57"/>
      <c r="G22" s="57"/>
      <c r="H22" s="57"/>
      <c r="I22" s="57"/>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93">
        <v>21</v>
      </c>
      <c r="B23" s="57"/>
      <c r="C23" s="57"/>
      <c r="D23" s="57"/>
      <c r="E23" s="57"/>
      <c r="F23" s="57"/>
      <c r="G23" s="57"/>
      <c r="H23" s="57"/>
      <c r="I23" s="57"/>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93">
        <v>22</v>
      </c>
      <c r="B24" s="57"/>
      <c r="C24" s="57"/>
      <c r="D24" s="57"/>
      <c r="E24" s="57"/>
      <c r="F24" s="57"/>
      <c r="G24" s="57"/>
      <c r="H24" s="57"/>
      <c r="I24" s="57"/>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3">
        <v>23</v>
      </c>
      <c r="B25" s="57"/>
      <c r="C25" s="57"/>
      <c r="D25" s="57"/>
      <c r="E25" s="57"/>
      <c r="F25" s="57"/>
      <c r="G25" s="57"/>
      <c r="H25" s="57"/>
      <c r="I25" s="57"/>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3">
        <v>24</v>
      </c>
      <c r="B26" s="57"/>
      <c r="C26" s="57"/>
      <c r="D26" s="57"/>
      <c r="E26" s="57"/>
      <c r="F26" s="57"/>
      <c r="G26" s="57"/>
      <c r="H26" s="57"/>
      <c r="I26" s="57"/>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3">
        <v>25</v>
      </c>
      <c r="B27" s="57"/>
      <c r="C27" s="57"/>
      <c r="D27" s="57"/>
      <c r="E27" s="57"/>
      <c r="F27" s="57"/>
      <c r="G27" s="57"/>
      <c r="H27" s="57"/>
      <c r="I27" s="57"/>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3">
        <v>26</v>
      </c>
      <c r="B28" s="57"/>
      <c r="C28" s="57"/>
      <c r="D28" s="57"/>
      <c r="E28" s="57"/>
      <c r="F28" s="57"/>
      <c r="G28" s="57"/>
      <c r="H28" s="57"/>
      <c r="I28" s="57"/>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3">
        <v>27</v>
      </c>
      <c r="B29" s="57"/>
      <c r="C29" s="57"/>
      <c r="D29" s="57"/>
      <c r="E29" s="57"/>
      <c r="F29" s="57"/>
      <c r="G29" s="57"/>
      <c r="H29" s="57"/>
      <c r="I29" s="57"/>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3">
        <v>28</v>
      </c>
      <c r="B30" s="57"/>
      <c r="C30" s="57"/>
      <c r="D30" s="57"/>
      <c r="E30" s="57"/>
      <c r="F30" s="57"/>
      <c r="G30" s="57"/>
      <c r="H30" s="57"/>
      <c r="I30" s="57"/>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3">
        <v>29</v>
      </c>
      <c r="B31" s="57"/>
      <c r="C31" s="57"/>
      <c r="D31" s="57"/>
      <c r="E31" s="57"/>
      <c r="F31" s="57"/>
      <c r="G31" s="57"/>
      <c r="H31" s="57"/>
      <c r="I31" s="57"/>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3">
        <v>30</v>
      </c>
      <c r="B32" s="57"/>
      <c r="C32" s="57"/>
      <c r="D32" s="57"/>
      <c r="E32" s="57"/>
      <c r="F32" s="57"/>
      <c r="G32" s="57"/>
      <c r="H32" s="57"/>
      <c r="I32" s="57"/>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3">
        <v>31</v>
      </c>
      <c r="B33" s="57"/>
      <c r="C33" s="57"/>
      <c r="D33" s="57"/>
      <c r="E33" s="57"/>
      <c r="F33" s="57"/>
      <c r="G33" s="57"/>
      <c r="H33" s="57"/>
      <c r="I33" s="57"/>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3">
        <v>32</v>
      </c>
      <c r="B34" s="57"/>
      <c r="C34" s="57"/>
      <c r="D34" s="57"/>
      <c r="E34" s="57"/>
      <c r="F34" s="57"/>
      <c r="G34" s="57"/>
      <c r="H34" s="57"/>
      <c r="I34" s="57"/>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3">
        <v>33</v>
      </c>
      <c r="B35" s="57"/>
      <c r="C35" s="57"/>
      <c r="D35" s="57"/>
      <c r="E35" s="57"/>
      <c r="F35" s="57"/>
      <c r="G35" s="57"/>
      <c r="H35" s="57"/>
      <c r="I35" s="57"/>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3">
        <v>34</v>
      </c>
      <c r="B36" s="57"/>
      <c r="C36" s="57"/>
      <c r="D36" s="57"/>
      <c r="E36" s="57"/>
      <c r="F36" s="57"/>
      <c r="G36" s="57"/>
      <c r="H36" s="57"/>
      <c r="I36" s="57"/>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3">
        <v>35</v>
      </c>
      <c r="B37" s="57"/>
      <c r="C37" s="57"/>
      <c r="D37" s="57"/>
      <c r="E37" s="57"/>
      <c r="F37" s="57"/>
      <c r="G37" s="57"/>
      <c r="H37" s="57"/>
      <c r="I37" s="57"/>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3">
        <v>36</v>
      </c>
      <c r="B38" s="57"/>
      <c r="C38" s="57"/>
      <c r="D38" s="57"/>
      <c r="E38" s="57"/>
      <c r="F38" s="57"/>
      <c r="G38" s="57"/>
      <c r="H38" s="57"/>
      <c r="I38" s="57"/>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3">
        <v>37</v>
      </c>
      <c r="B39" s="57"/>
      <c r="C39" s="57"/>
      <c r="D39" s="57"/>
      <c r="E39" s="57"/>
      <c r="F39" s="57"/>
      <c r="G39" s="57"/>
      <c r="H39" s="57"/>
      <c r="I39" s="57"/>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3">
        <v>38</v>
      </c>
      <c r="B40" s="57"/>
      <c r="C40" s="57"/>
      <c r="D40" s="57"/>
      <c r="E40" s="57"/>
      <c r="F40" s="57"/>
      <c r="G40" s="57"/>
      <c r="H40" s="57"/>
      <c r="I40" s="57"/>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3">
        <v>39</v>
      </c>
      <c r="B41" s="57"/>
      <c r="C41" s="57"/>
      <c r="D41" s="57"/>
      <c r="E41" s="57"/>
      <c r="F41" s="57"/>
      <c r="G41" s="57"/>
      <c r="H41" s="57"/>
      <c r="I41" s="57"/>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3">
        <v>40</v>
      </c>
      <c r="B42" s="57"/>
      <c r="C42" s="57"/>
      <c r="D42" s="57"/>
      <c r="E42" s="57"/>
      <c r="F42" s="57"/>
      <c r="G42" s="57"/>
      <c r="H42" s="57"/>
      <c r="I42" s="57"/>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3">
        <v>41</v>
      </c>
      <c r="B43" s="57"/>
      <c r="C43" s="57"/>
      <c r="D43" s="57"/>
      <c r="E43" s="57"/>
      <c r="F43" s="57"/>
      <c r="G43" s="57"/>
      <c r="H43" s="57"/>
      <c r="I43" s="57"/>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3">
        <v>42</v>
      </c>
      <c r="B44" s="57"/>
      <c r="C44" s="57"/>
      <c r="D44" s="57"/>
      <c r="E44" s="57"/>
      <c r="F44" s="57"/>
      <c r="G44" s="57"/>
      <c r="H44" s="57"/>
      <c r="I44" s="57"/>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3">
        <v>43</v>
      </c>
      <c r="B45" s="57"/>
      <c r="C45" s="57"/>
      <c r="D45" s="57"/>
      <c r="E45" s="57"/>
      <c r="F45" s="57"/>
      <c r="G45" s="57"/>
      <c r="H45" s="57"/>
      <c r="I45" s="57"/>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3">
        <v>44</v>
      </c>
      <c r="B46" s="57"/>
      <c r="C46" s="57"/>
      <c r="D46" s="57"/>
      <c r="E46" s="57"/>
      <c r="F46" s="57"/>
      <c r="G46" s="57"/>
      <c r="H46" s="57"/>
      <c r="I46" s="57"/>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3">
        <v>45</v>
      </c>
      <c r="B47" s="57"/>
      <c r="C47" s="57"/>
      <c r="D47" s="57"/>
      <c r="E47" s="57"/>
      <c r="F47" s="57"/>
      <c r="G47" s="57"/>
      <c r="H47" s="57"/>
      <c r="I47" s="57"/>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3">
        <v>46</v>
      </c>
      <c r="B48" s="57"/>
      <c r="C48" s="57"/>
      <c r="D48" s="57"/>
      <c r="E48" s="57"/>
      <c r="F48" s="57"/>
      <c r="G48" s="57"/>
      <c r="H48" s="57"/>
      <c r="I48" s="57"/>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3">
        <v>47</v>
      </c>
      <c r="B49" s="57"/>
      <c r="C49" s="57"/>
      <c r="D49" s="57"/>
      <c r="E49" s="57"/>
      <c r="F49" s="57"/>
      <c r="G49" s="57"/>
      <c r="H49" s="57"/>
      <c r="I49" s="57"/>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3">
        <v>48</v>
      </c>
      <c r="B50" s="57"/>
      <c r="C50" s="57"/>
      <c r="D50" s="57"/>
      <c r="E50" s="57"/>
      <c r="F50" s="57"/>
      <c r="G50" s="57"/>
      <c r="H50" s="57"/>
      <c r="I50" s="57"/>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3">
        <v>49</v>
      </c>
      <c r="B51" s="57"/>
      <c r="C51" s="57"/>
      <c r="D51" s="57"/>
      <c r="E51" s="57"/>
      <c r="F51" s="57"/>
      <c r="G51" s="57"/>
      <c r="H51" s="57"/>
      <c r="I51" s="57"/>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3">
        <v>50</v>
      </c>
      <c r="B52" s="57"/>
      <c r="C52" s="57"/>
      <c r="D52" s="57"/>
      <c r="E52" s="57"/>
      <c r="F52" s="57"/>
      <c r="G52" s="57"/>
      <c r="H52" s="57"/>
      <c r="I52" s="57"/>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3">
        <v>51</v>
      </c>
      <c r="B53" s="57"/>
      <c r="C53" s="57"/>
      <c r="D53" s="57"/>
      <c r="E53" s="57"/>
      <c r="F53" s="57"/>
      <c r="G53" s="57"/>
      <c r="H53" s="57"/>
      <c r="I53" s="57"/>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3">
        <v>52</v>
      </c>
      <c r="B54" s="57"/>
      <c r="C54" s="57"/>
      <c r="D54" s="57"/>
      <c r="E54" s="57"/>
      <c r="F54" s="57"/>
      <c r="G54" s="57"/>
      <c r="H54" s="57"/>
      <c r="I54" s="57"/>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3">
        <v>53</v>
      </c>
      <c r="B55" s="57"/>
      <c r="C55" s="57"/>
      <c r="D55" s="57"/>
      <c r="E55" s="57"/>
      <c r="F55" s="57"/>
      <c r="G55" s="57"/>
      <c r="H55" s="57"/>
      <c r="I55" s="57"/>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3">
        <v>54</v>
      </c>
      <c r="B56" s="57"/>
      <c r="C56" s="57"/>
      <c r="D56" s="57"/>
      <c r="E56" s="57"/>
      <c r="F56" s="57"/>
      <c r="G56" s="57"/>
      <c r="H56" s="57"/>
      <c r="I56" s="57"/>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3">
        <v>55</v>
      </c>
      <c r="B57" s="57"/>
      <c r="C57" s="57"/>
      <c r="D57" s="57"/>
      <c r="E57" s="57"/>
      <c r="F57" s="57"/>
      <c r="G57" s="57"/>
      <c r="H57" s="57"/>
      <c r="I57" s="57"/>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3">
        <v>56</v>
      </c>
      <c r="B58" s="57"/>
      <c r="C58" s="57"/>
      <c r="D58" s="57"/>
      <c r="E58" s="57"/>
      <c r="F58" s="57"/>
      <c r="G58" s="57"/>
      <c r="H58" s="57"/>
      <c r="I58" s="57"/>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3">
        <v>57</v>
      </c>
      <c r="B59" s="57"/>
      <c r="C59" s="57"/>
      <c r="D59" s="57"/>
      <c r="E59" s="57"/>
      <c r="F59" s="57"/>
      <c r="G59" s="57"/>
      <c r="H59" s="57"/>
      <c r="I59" s="57"/>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3">
        <v>58</v>
      </c>
      <c r="B60" s="57"/>
      <c r="C60" s="57"/>
      <c r="D60" s="57"/>
      <c r="E60" s="57"/>
      <c r="F60" s="57"/>
      <c r="G60" s="57"/>
      <c r="H60" s="57"/>
      <c r="I60" s="57"/>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3">
        <v>59</v>
      </c>
      <c r="B61" s="57"/>
      <c r="C61" s="57"/>
      <c r="D61" s="57"/>
      <c r="E61" s="57"/>
      <c r="F61" s="57"/>
      <c r="G61" s="57"/>
      <c r="H61" s="57"/>
      <c r="I61" s="57"/>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3">
        <v>60</v>
      </c>
      <c r="B62" s="57"/>
      <c r="C62" s="57"/>
      <c r="D62" s="57"/>
      <c r="E62" s="57"/>
      <c r="F62" s="57"/>
      <c r="G62" s="57"/>
      <c r="H62" s="57"/>
      <c r="I62" s="57"/>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3">
        <v>61</v>
      </c>
      <c r="B63" s="57"/>
      <c r="C63" s="57"/>
      <c r="D63" s="57"/>
      <c r="E63" s="57"/>
      <c r="F63" s="57"/>
      <c r="G63" s="57"/>
      <c r="H63" s="57"/>
      <c r="I63" s="57"/>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3">
        <v>62</v>
      </c>
      <c r="B64" s="57"/>
      <c r="C64" s="57"/>
      <c r="D64" s="57"/>
      <c r="E64" s="57"/>
      <c r="F64" s="57"/>
      <c r="G64" s="57"/>
      <c r="H64" s="57"/>
      <c r="I64" s="57"/>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3">
        <v>63</v>
      </c>
      <c r="B65" s="57"/>
      <c r="C65" s="57"/>
      <c r="D65" s="57"/>
      <c r="E65" s="57"/>
      <c r="F65" s="57"/>
      <c r="G65" s="57"/>
      <c r="H65" s="57"/>
      <c r="I65" s="57"/>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3">
        <v>64</v>
      </c>
      <c r="B66" s="57"/>
      <c r="C66" s="57"/>
      <c r="D66" s="57"/>
      <c r="E66" s="57"/>
      <c r="F66" s="57"/>
      <c r="G66" s="57"/>
      <c r="H66" s="57"/>
      <c r="I66" s="57"/>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3">
        <v>65</v>
      </c>
      <c r="B67" s="57"/>
      <c r="C67" s="57"/>
      <c r="D67" s="57"/>
      <c r="E67" s="57"/>
      <c r="F67" s="57"/>
      <c r="G67" s="57"/>
      <c r="H67" s="57"/>
      <c r="I67" s="57"/>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3">
        <v>66</v>
      </c>
      <c r="B68" s="57"/>
      <c r="C68" s="57"/>
      <c r="D68" s="57"/>
      <c r="E68" s="57"/>
      <c r="F68" s="57"/>
      <c r="G68" s="57"/>
      <c r="H68" s="57"/>
      <c r="I68" s="57"/>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3">
        <v>67</v>
      </c>
      <c r="B69" s="57"/>
      <c r="C69" s="57"/>
      <c r="D69" s="57"/>
      <c r="E69" s="57"/>
      <c r="F69" s="57"/>
      <c r="G69" s="57"/>
      <c r="H69" s="57"/>
      <c r="I69" s="57"/>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3">
        <v>68</v>
      </c>
      <c r="B70" s="57"/>
      <c r="C70" s="57"/>
      <c r="D70" s="57"/>
      <c r="E70" s="57"/>
      <c r="F70" s="57"/>
      <c r="G70" s="57"/>
      <c r="H70" s="57"/>
      <c r="I70" s="57"/>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3">
        <v>69</v>
      </c>
      <c r="B71" s="57"/>
      <c r="C71" s="57"/>
      <c r="D71" s="57"/>
      <c r="E71" s="57"/>
      <c r="F71" s="57"/>
      <c r="G71" s="57"/>
      <c r="H71" s="57"/>
      <c r="I71" s="57"/>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3">
        <v>70</v>
      </c>
      <c r="B72" s="57"/>
      <c r="C72" s="57"/>
      <c r="D72" s="57"/>
      <c r="E72" s="57"/>
      <c r="F72" s="57"/>
      <c r="G72" s="57"/>
      <c r="H72" s="57"/>
      <c r="I72" s="57"/>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3">
        <v>71</v>
      </c>
      <c r="B73" s="57"/>
      <c r="C73" s="57"/>
      <c r="D73" s="57"/>
      <c r="E73" s="57"/>
      <c r="F73" s="57"/>
      <c r="G73" s="57"/>
      <c r="H73" s="57"/>
      <c r="I73" s="57"/>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3">
        <v>72</v>
      </c>
      <c r="B74" s="57"/>
      <c r="C74" s="57"/>
      <c r="D74" s="57"/>
      <c r="E74" s="57"/>
      <c r="F74" s="57"/>
      <c r="G74" s="57"/>
      <c r="H74" s="57"/>
      <c r="I74" s="57"/>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3">
        <v>73</v>
      </c>
      <c r="B75" s="57"/>
      <c r="C75" s="57"/>
      <c r="D75" s="57"/>
      <c r="E75" s="57"/>
      <c r="F75" s="57"/>
      <c r="G75" s="57"/>
      <c r="H75" s="57"/>
      <c r="I75" s="57"/>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3">
        <v>74</v>
      </c>
      <c r="B76" s="57"/>
      <c r="C76" s="57"/>
      <c r="D76" s="57"/>
      <c r="E76" s="57"/>
      <c r="F76" s="57"/>
      <c r="G76" s="57"/>
      <c r="H76" s="57"/>
      <c r="I76" s="57"/>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3">
        <v>75</v>
      </c>
      <c r="B77" s="57"/>
      <c r="C77" s="57"/>
      <c r="D77" s="57"/>
      <c r="E77" s="57"/>
      <c r="F77" s="57"/>
      <c r="G77" s="57"/>
      <c r="H77" s="57"/>
      <c r="I77" s="57"/>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3">
        <v>76</v>
      </c>
      <c r="B78" s="57"/>
      <c r="C78" s="57"/>
      <c r="D78" s="57"/>
      <c r="E78" s="57"/>
      <c r="F78" s="57"/>
      <c r="G78" s="57"/>
      <c r="H78" s="57"/>
      <c r="I78" s="57"/>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3">
        <v>77</v>
      </c>
      <c r="B79" s="57"/>
      <c r="C79" s="57"/>
      <c r="D79" s="57"/>
      <c r="E79" s="57"/>
      <c r="F79" s="57"/>
      <c r="G79" s="57"/>
      <c r="H79" s="57"/>
      <c r="I79" s="57"/>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3">
        <v>78</v>
      </c>
      <c r="B80" s="57"/>
      <c r="C80" s="57"/>
      <c r="D80" s="57"/>
      <c r="E80" s="57"/>
      <c r="F80" s="57"/>
      <c r="G80" s="57"/>
      <c r="H80" s="57"/>
      <c r="I80" s="57"/>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3">
        <v>79</v>
      </c>
      <c r="B81" s="57"/>
      <c r="C81" s="57"/>
      <c r="D81" s="57"/>
      <c r="E81" s="57"/>
      <c r="F81" s="57"/>
      <c r="G81" s="57"/>
      <c r="H81" s="57"/>
      <c r="I81" s="57"/>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3">
        <v>80</v>
      </c>
      <c r="B82" s="57"/>
      <c r="C82" s="57"/>
      <c r="D82" s="57"/>
      <c r="E82" s="57"/>
      <c r="F82" s="57"/>
      <c r="G82" s="57"/>
      <c r="H82" s="57"/>
      <c r="I82" s="57"/>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3">
        <v>81</v>
      </c>
      <c r="B83" s="57"/>
      <c r="C83" s="57"/>
      <c r="D83" s="57"/>
      <c r="E83" s="57"/>
      <c r="F83" s="57"/>
      <c r="G83" s="57"/>
      <c r="H83" s="57"/>
      <c r="I83" s="57"/>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3">
        <v>82</v>
      </c>
      <c r="B84" s="57"/>
      <c r="C84" s="57"/>
      <c r="D84" s="57"/>
      <c r="E84" s="57"/>
      <c r="F84" s="57"/>
      <c r="G84" s="57"/>
      <c r="H84" s="57"/>
      <c r="I84" s="57"/>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3">
        <v>83</v>
      </c>
      <c r="B85" s="57"/>
      <c r="C85" s="57"/>
      <c r="D85" s="57"/>
      <c r="E85" s="57"/>
      <c r="F85" s="57"/>
      <c r="G85" s="57"/>
      <c r="H85" s="57"/>
      <c r="I85" s="57"/>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3">
        <v>84</v>
      </c>
      <c r="B86" s="57"/>
      <c r="C86" s="57"/>
      <c r="D86" s="57"/>
      <c r="E86" s="57"/>
      <c r="F86" s="57"/>
      <c r="G86" s="57"/>
      <c r="H86" s="57"/>
      <c r="I86" s="57"/>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3">
        <v>85</v>
      </c>
      <c r="B87" s="57"/>
      <c r="C87" s="57"/>
      <c r="D87" s="57"/>
      <c r="E87" s="57"/>
      <c r="F87" s="57"/>
      <c r="G87" s="57"/>
      <c r="H87" s="57"/>
      <c r="I87" s="57"/>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3">
        <v>86</v>
      </c>
      <c r="B88" s="57"/>
      <c r="C88" s="57"/>
      <c r="D88" s="57"/>
      <c r="E88" s="57"/>
      <c r="F88" s="57"/>
      <c r="G88" s="57"/>
      <c r="H88" s="57"/>
      <c r="I88" s="57"/>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3">
        <v>87</v>
      </c>
      <c r="B89" s="57"/>
      <c r="C89" s="57"/>
      <c r="D89" s="57"/>
      <c r="E89" s="57"/>
      <c r="F89" s="57"/>
      <c r="G89" s="57"/>
      <c r="H89" s="57"/>
      <c r="I89" s="57"/>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3">
        <v>88</v>
      </c>
      <c r="B90" s="57"/>
      <c r="C90" s="57"/>
      <c r="D90" s="57"/>
      <c r="E90" s="57"/>
      <c r="F90" s="57"/>
      <c r="G90" s="57"/>
      <c r="H90" s="57"/>
      <c r="I90" s="57"/>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3">
        <v>89</v>
      </c>
      <c r="B91" s="57"/>
      <c r="C91" s="57"/>
      <c r="D91" s="57"/>
      <c r="E91" s="57"/>
      <c r="F91" s="57"/>
      <c r="G91" s="57"/>
      <c r="H91" s="57"/>
      <c r="I91" s="57"/>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3">
        <v>90</v>
      </c>
      <c r="B92" s="57"/>
      <c r="C92" s="57"/>
      <c r="D92" s="57"/>
      <c r="E92" s="57"/>
      <c r="F92" s="57"/>
      <c r="G92" s="57"/>
      <c r="H92" s="57"/>
      <c r="I92" s="57"/>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3">
        <v>91</v>
      </c>
      <c r="B93" s="57"/>
      <c r="C93" s="57"/>
      <c r="D93" s="57"/>
      <c r="E93" s="57"/>
      <c r="F93" s="57"/>
      <c r="G93" s="57"/>
      <c r="H93" s="57"/>
      <c r="I93" s="57"/>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3">
        <v>92</v>
      </c>
      <c r="B94" s="57"/>
      <c r="C94" s="57"/>
      <c r="D94" s="57"/>
      <c r="E94" s="57"/>
      <c r="F94" s="57"/>
      <c r="G94" s="57"/>
      <c r="H94" s="57"/>
      <c r="I94" s="57"/>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3">
        <v>93</v>
      </c>
      <c r="B95" s="57"/>
      <c r="C95" s="57"/>
      <c r="D95" s="57"/>
      <c r="E95" s="57"/>
      <c r="F95" s="57"/>
      <c r="G95" s="57"/>
      <c r="H95" s="57"/>
      <c r="I95" s="57"/>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3">
        <v>94</v>
      </c>
      <c r="J96" s="112"/>
      <c r="K96" s="112"/>
      <c r="L96" s="112"/>
      <c r="P96" s="78" t="str">
        <f t="shared" si="4"/>
        <v/>
      </c>
      <c r="Q96" s="62" t="str">
        <f t="shared" si="5"/>
        <v/>
      </c>
    </row>
    <row r="97" spans="1:17" x14ac:dyDescent="0.3">
      <c r="A97" s="93">
        <v>95</v>
      </c>
      <c r="J97" s="112"/>
      <c r="K97" s="112"/>
      <c r="L97" s="112"/>
      <c r="P97" s="78" t="str">
        <f t="shared" si="4"/>
        <v/>
      </c>
      <c r="Q97" s="62" t="str">
        <f t="shared" si="5"/>
        <v/>
      </c>
    </row>
    <row r="98" spans="1:17" x14ac:dyDescent="0.3">
      <c r="A98" s="93">
        <v>96</v>
      </c>
      <c r="J98" s="112"/>
      <c r="K98" s="112"/>
      <c r="L98" s="112"/>
      <c r="P98" s="78" t="str">
        <f t="shared" si="4"/>
        <v/>
      </c>
      <c r="Q98" s="62" t="str">
        <f t="shared" si="5"/>
        <v/>
      </c>
    </row>
    <row r="99" spans="1:17" x14ac:dyDescent="0.3">
      <c r="A99" s="93">
        <v>97</v>
      </c>
      <c r="J99" s="112"/>
      <c r="K99" s="112"/>
      <c r="L99" s="112"/>
      <c r="P99" s="78" t="str">
        <f t="shared" si="4"/>
        <v/>
      </c>
      <c r="Q99" s="62" t="str">
        <f t="shared" si="5"/>
        <v/>
      </c>
    </row>
    <row r="100" spans="1:17" x14ac:dyDescent="0.3">
      <c r="A100" s="93">
        <v>98</v>
      </c>
      <c r="J100" s="112"/>
      <c r="K100" s="112"/>
      <c r="L100" s="112"/>
      <c r="P100" s="78" t="str">
        <f t="shared" si="4"/>
        <v/>
      </c>
      <c r="Q100" s="62" t="str">
        <f t="shared" si="5"/>
        <v/>
      </c>
    </row>
    <row r="101" spans="1:17" x14ac:dyDescent="0.3">
      <c r="A101" s="93">
        <v>99</v>
      </c>
      <c r="J101" s="112"/>
      <c r="K101" s="112"/>
      <c r="L101" s="112"/>
      <c r="P101" s="78" t="str">
        <f t="shared" si="4"/>
        <v/>
      </c>
      <c r="Q101" s="62" t="str">
        <f t="shared" si="5"/>
        <v/>
      </c>
    </row>
    <row r="102" spans="1:17" x14ac:dyDescent="0.3">
      <c r="A102" s="93">
        <v>100</v>
      </c>
      <c r="J102" s="112"/>
      <c r="K102" s="112"/>
      <c r="L102" s="112"/>
      <c r="P102" s="78" t="str">
        <f t="shared" si="4"/>
        <v/>
      </c>
      <c r="Q102" s="62" t="str">
        <f t="shared" si="5"/>
        <v/>
      </c>
    </row>
    <row r="103" spans="1:17" x14ac:dyDescent="0.3">
      <c r="A103" s="93">
        <v>101</v>
      </c>
      <c r="J103" s="112"/>
      <c r="K103" s="112"/>
      <c r="L103" s="112"/>
      <c r="P103" s="78" t="str">
        <f t="shared" si="4"/>
        <v/>
      </c>
      <c r="Q103" s="62" t="str">
        <f t="shared" si="5"/>
        <v/>
      </c>
    </row>
    <row r="104" spans="1:17" x14ac:dyDescent="0.3">
      <c r="A104" s="93">
        <v>102</v>
      </c>
      <c r="J104" s="112"/>
      <c r="K104" s="112"/>
      <c r="L104" s="112"/>
      <c r="P104" s="78" t="str">
        <f t="shared" si="4"/>
        <v/>
      </c>
      <c r="Q104" s="62" t="str">
        <f t="shared" si="5"/>
        <v/>
      </c>
    </row>
    <row r="105" spans="1:17" x14ac:dyDescent="0.3">
      <c r="A105" s="93">
        <v>103</v>
      </c>
      <c r="J105" s="112"/>
      <c r="K105" s="112"/>
      <c r="L105" s="112"/>
      <c r="P105" s="78" t="str">
        <f t="shared" si="4"/>
        <v/>
      </c>
      <c r="Q105" s="62" t="str">
        <f t="shared" si="5"/>
        <v/>
      </c>
    </row>
    <row r="106" spans="1:17" x14ac:dyDescent="0.3">
      <c r="A106" s="93">
        <v>104</v>
      </c>
      <c r="J106" s="112"/>
      <c r="K106" s="112"/>
      <c r="L106" s="112"/>
      <c r="P106" s="78" t="str">
        <f t="shared" si="4"/>
        <v/>
      </c>
      <c r="Q106" s="62" t="str">
        <f t="shared" si="5"/>
        <v/>
      </c>
    </row>
    <row r="107" spans="1:17" x14ac:dyDescent="0.3">
      <c r="A107" s="93">
        <v>105</v>
      </c>
      <c r="J107" s="112"/>
      <c r="K107" s="112"/>
      <c r="L107" s="112"/>
      <c r="P107" s="78" t="str">
        <f t="shared" si="4"/>
        <v/>
      </c>
      <c r="Q107" s="62" t="str">
        <f t="shared" si="5"/>
        <v/>
      </c>
    </row>
    <row r="108" spans="1:17" x14ac:dyDescent="0.3">
      <c r="A108" s="93">
        <v>106</v>
      </c>
      <c r="J108" s="112"/>
      <c r="K108" s="112"/>
      <c r="L108" s="112"/>
      <c r="P108" s="78" t="str">
        <f t="shared" si="4"/>
        <v/>
      </c>
      <c r="Q108" s="62" t="str">
        <f t="shared" si="5"/>
        <v/>
      </c>
    </row>
    <row r="109" spans="1:17" x14ac:dyDescent="0.3">
      <c r="A109" s="93">
        <v>107</v>
      </c>
      <c r="J109" s="112"/>
      <c r="K109" s="112"/>
      <c r="L109" s="112"/>
      <c r="P109" s="78" t="str">
        <f t="shared" si="4"/>
        <v/>
      </c>
      <c r="Q109" s="62" t="str">
        <f t="shared" si="5"/>
        <v/>
      </c>
    </row>
    <row r="110" spans="1:17" x14ac:dyDescent="0.3">
      <c r="A110" s="93">
        <v>108</v>
      </c>
      <c r="J110" s="112"/>
      <c r="K110" s="112"/>
      <c r="L110" s="112"/>
      <c r="P110" s="78" t="str">
        <f t="shared" si="4"/>
        <v/>
      </c>
      <c r="Q110" s="62" t="str">
        <f t="shared" si="5"/>
        <v/>
      </c>
    </row>
    <row r="111" spans="1:17" x14ac:dyDescent="0.3">
      <c r="A111" s="93">
        <v>109</v>
      </c>
      <c r="P111" s="78" t="str">
        <f t="shared" si="4"/>
        <v/>
      </c>
      <c r="Q111" s="62" t="str">
        <f t="shared" si="5"/>
        <v/>
      </c>
    </row>
    <row r="112" spans="1:17" x14ac:dyDescent="0.3">
      <c r="A112" s="93">
        <v>110</v>
      </c>
      <c r="P112" s="78" t="str">
        <f t="shared" si="4"/>
        <v/>
      </c>
      <c r="Q112" s="62" t="str">
        <f t="shared" si="5"/>
        <v/>
      </c>
    </row>
    <row r="113" spans="1:17" x14ac:dyDescent="0.3">
      <c r="A113" s="93">
        <v>111</v>
      </c>
      <c r="P113" s="78" t="str">
        <f t="shared" si="4"/>
        <v/>
      </c>
      <c r="Q113" s="62" t="str">
        <f t="shared" si="5"/>
        <v/>
      </c>
    </row>
    <row r="114" spans="1:17" x14ac:dyDescent="0.3">
      <c r="A114" s="93">
        <v>112</v>
      </c>
      <c r="P114" s="78" t="str">
        <f t="shared" si="4"/>
        <v/>
      </c>
      <c r="Q114" s="62" t="str">
        <f t="shared" si="5"/>
        <v/>
      </c>
    </row>
    <row r="115" spans="1:17" x14ac:dyDescent="0.3">
      <c r="A115" s="93">
        <v>113</v>
      </c>
      <c r="P115" s="78" t="str">
        <f t="shared" si="4"/>
        <v/>
      </c>
      <c r="Q115" s="62" t="str">
        <f t="shared" si="5"/>
        <v/>
      </c>
    </row>
    <row r="116" spans="1:17" x14ac:dyDescent="0.3">
      <c r="A116" s="93">
        <v>114</v>
      </c>
      <c r="P116" s="78" t="str">
        <f t="shared" si="4"/>
        <v/>
      </c>
      <c r="Q116" s="62" t="str">
        <f t="shared" si="5"/>
        <v/>
      </c>
    </row>
    <row r="117" spans="1:17" x14ac:dyDescent="0.3">
      <c r="A117" s="93">
        <v>115</v>
      </c>
      <c r="P117" s="78" t="str">
        <f t="shared" si="4"/>
        <v/>
      </c>
      <c r="Q117" s="62" t="str">
        <f t="shared" si="5"/>
        <v/>
      </c>
    </row>
    <row r="118" spans="1:17" x14ac:dyDescent="0.3">
      <c r="A118" s="93">
        <v>116</v>
      </c>
      <c r="P118" s="78" t="str">
        <f t="shared" si="4"/>
        <v/>
      </c>
      <c r="Q118" s="62" t="str">
        <f t="shared" si="5"/>
        <v/>
      </c>
    </row>
    <row r="119" spans="1:17" x14ac:dyDescent="0.3">
      <c r="A119" s="93">
        <v>117</v>
      </c>
      <c r="P119" s="78" t="str">
        <f t="shared" si="4"/>
        <v/>
      </c>
      <c r="Q119" s="62" t="str">
        <f t="shared" si="5"/>
        <v/>
      </c>
    </row>
    <row r="120" spans="1:17" x14ac:dyDescent="0.3">
      <c r="A120" s="93">
        <v>118</v>
      </c>
      <c r="P120" s="78" t="str">
        <f t="shared" si="4"/>
        <v/>
      </c>
      <c r="Q120" s="62" t="str">
        <f t="shared" si="5"/>
        <v/>
      </c>
    </row>
    <row r="121" spans="1:17" x14ac:dyDescent="0.3">
      <c r="A121" s="93">
        <v>119</v>
      </c>
      <c r="P121" s="78" t="str">
        <f t="shared" si="4"/>
        <v/>
      </c>
      <c r="Q121" s="62" t="str">
        <f t="shared" si="5"/>
        <v/>
      </c>
    </row>
    <row r="122" spans="1:17" x14ac:dyDescent="0.3">
      <c r="A122" s="93">
        <v>120</v>
      </c>
      <c r="P122" s="78" t="str">
        <f t="shared" si="4"/>
        <v/>
      </c>
      <c r="Q122" s="62" t="str">
        <f t="shared" si="5"/>
        <v/>
      </c>
    </row>
    <row r="123" spans="1:17" x14ac:dyDescent="0.3">
      <c r="A123" s="93">
        <v>121</v>
      </c>
      <c r="P123" s="78" t="str">
        <f t="shared" si="4"/>
        <v/>
      </c>
      <c r="Q123" s="62" t="str">
        <f t="shared" si="5"/>
        <v/>
      </c>
    </row>
    <row r="124" spans="1:17" x14ac:dyDescent="0.3">
      <c r="A124" s="93">
        <v>122</v>
      </c>
      <c r="P124" s="78" t="str">
        <f t="shared" si="4"/>
        <v/>
      </c>
      <c r="Q124" s="62" t="str">
        <f t="shared" si="5"/>
        <v/>
      </c>
    </row>
    <row r="125" spans="1:17" x14ac:dyDescent="0.3">
      <c r="A125" s="93">
        <v>123</v>
      </c>
      <c r="P125" s="78" t="str">
        <f t="shared" si="4"/>
        <v/>
      </c>
      <c r="Q125" s="62" t="str">
        <f t="shared" si="5"/>
        <v/>
      </c>
    </row>
    <row r="126" spans="1:17" x14ac:dyDescent="0.3">
      <c r="A126" s="93">
        <v>124</v>
      </c>
      <c r="P126" s="78" t="str">
        <f t="shared" si="4"/>
        <v/>
      </c>
      <c r="Q126" s="62" t="str">
        <f t="shared" si="5"/>
        <v/>
      </c>
    </row>
    <row r="127" spans="1:17" x14ac:dyDescent="0.3">
      <c r="A127" s="93">
        <v>125</v>
      </c>
      <c r="P127" s="78" t="str">
        <f t="shared" si="4"/>
        <v/>
      </c>
      <c r="Q127" s="62" t="str">
        <f t="shared" si="5"/>
        <v/>
      </c>
    </row>
    <row r="128" spans="1:17" x14ac:dyDescent="0.3">
      <c r="A128" s="93">
        <v>126</v>
      </c>
      <c r="P128" s="78" t="str">
        <f t="shared" si="4"/>
        <v/>
      </c>
      <c r="Q128" s="62" t="str">
        <f t="shared" si="5"/>
        <v/>
      </c>
    </row>
    <row r="129" spans="1:17" x14ac:dyDescent="0.3">
      <c r="A129" s="93">
        <v>127</v>
      </c>
      <c r="P129" s="78" t="str">
        <f t="shared" si="4"/>
        <v/>
      </c>
      <c r="Q129" s="62" t="str">
        <f t="shared" si="5"/>
        <v/>
      </c>
    </row>
    <row r="130" spans="1:17" x14ac:dyDescent="0.3">
      <c r="A130" s="93">
        <v>128</v>
      </c>
      <c r="P130" s="78" t="str">
        <f t="shared" si="4"/>
        <v/>
      </c>
      <c r="Q130" s="62" t="str">
        <f t="shared" si="5"/>
        <v/>
      </c>
    </row>
    <row r="131" spans="1:17" x14ac:dyDescent="0.3">
      <c r="A131" s="93">
        <v>129</v>
      </c>
      <c r="P131" s="78" t="str">
        <f t="shared" si="4"/>
        <v/>
      </c>
      <c r="Q131" s="62" t="str">
        <f t="shared" si="5"/>
        <v/>
      </c>
    </row>
    <row r="132" spans="1:17" x14ac:dyDescent="0.3">
      <c r="A132" s="93">
        <v>130</v>
      </c>
      <c r="P132" s="78" t="str">
        <f t="shared" ref="P132:P190" si="6">IF(O132="","",LEFT(O132,10)*(-1))</f>
        <v/>
      </c>
      <c r="Q132" s="62" t="str">
        <f t="shared" ref="Q132:Q190" si="7">IF(P132="","",
IF(P132&lt;=30,"1-30 Days",
IF(AND(P132&gt;=31,P132&lt;=60),"31-60 Days",
"&gt;60 Days")))</f>
        <v/>
      </c>
    </row>
    <row r="133" spans="1:17" x14ac:dyDescent="0.3">
      <c r="A133" s="93">
        <v>131</v>
      </c>
      <c r="P133" s="78" t="str">
        <f t="shared" si="6"/>
        <v/>
      </c>
      <c r="Q133" s="62" t="str">
        <f t="shared" si="7"/>
        <v/>
      </c>
    </row>
    <row r="134" spans="1:17" x14ac:dyDescent="0.3">
      <c r="A134" s="93">
        <v>132</v>
      </c>
      <c r="P134" s="78" t="str">
        <f t="shared" si="6"/>
        <v/>
      </c>
      <c r="Q134" s="62" t="str">
        <f t="shared" si="7"/>
        <v/>
      </c>
    </row>
    <row r="135" spans="1:17" x14ac:dyDescent="0.3">
      <c r="A135" s="93">
        <v>133</v>
      </c>
      <c r="P135" s="78" t="str">
        <f t="shared" si="6"/>
        <v/>
      </c>
      <c r="Q135" s="62" t="str">
        <f t="shared" si="7"/>
        <v/>
      </c>
    </row>
    <row r="136" spans="1:17" x14ac:dyDescent="0.3">
      <c r="A136" s="93">
        <v>134</v>
      </c>
      <c r="P136" s="78" t="str">
        <f t="shared" si="6"/>
        <v/>
      </c>
      <c r="Q136" s="62" t="str">
        <f t="shared" si="7"/>
        <v/>
      </c>
    </row>
    <row r="137" spans="1:17" x14ac:dyDescent="0.3">
      <c r="A137" s="93">
        <v>135</v>
      </c>
      <c r="P137" s="78" t="str">
        <f t="shared" si="6"/>
        <v/>
      </c>
      <c r="Q137" s="62" t="str">
        <f t="shared" si="7"/>
        <v/>
      </c>
    </row>
    <row r="138" spans="1:17" x14ac:dyDescent="0.3">
      <c r="A138" s="93">
        <v>136</v>
      </c>
      <c r="P138" s="78" t="str">
        <f t="shared" si="6"/>
        <v/>
      </c>
      <c r="Q138" s="62" t="str">
        <f t="shared" si="7"/>
        <v/>
      </c>
    </row>
    <row r="139" spans="1:17" x14ac:dyDescent="0.3">
      <c r="A139" s="93">
        <v>137</v>
      </c>
      <c r="P139" s="78" t="str">
        <f t="shared" si="6"/>
        <v/>
      </c>
      <c r="Q139" s="62" t="str">
        <f t="shared" si="7"/>
        <v/>
      </c>
    </row>
    <row r="140" spans="1:17" x14ac:dyDescent="0.3">
      <c r="A140" s="93">
        <v>138</v>
      </c>
      <c r="P140" s="78" t="str">
        <f t="shared" si="6"/>
        <v/>
      </c>
      <c r="Q140" s="62" t="str">
        <f t="shared" si="7"/>
        <v/>
      </c>
    </row>
    <row r="141" spans="1:17" x14ac:dyDescent="0.3">
      <c r="A141" s="93">
        <v>139</v>
      </c>
      <c r="P141" s="78" t="str">
        <f t="shared" si="6"/>
        <v/>
      </c>
      <c r="Q141" s="62" t="str">
        <f t="shared" si="7"/>
        <v/>
      </c>
    </row>
    <row r="142" spans="1:17" x14ac:dyDescent="0.3">
      <c r="A142" s="93">
        <v>140</v>
      </c>
      <c r="P142" s="78" t="str">
        <f t="shared" si="6"/>
        <v/>
      </c>
      <c r="Q142" s="62" t="str">
        <f t="shared" si="7"/>
        <v/>
      </c>
    </row>
    <row r="143" spans="1:17" x14ac:dyDescent="0.3">
      <c r="A143" s="93">
        <v>141</v>
      </c>
      <c r="P143" s="78" t="str">
        <f t="shared" si="6"/>
        <v/>
      </c>
      <c r="Q143" s="62" t="str">
        <f t="shared" si="7"/>
        <v/>
      </c>
    </row>
    <row r="144" spans="1:17" x14ac:dyDescent="0.3">
      <c r="A144" s="93">
        <v>142</v>
      </c>
      <c r="P144" s="78" t="str">
        <f t="shared" si="6"/>
        <v/>
      </c>
      <c r="Q144" s="62" t="str">
        <f t="shared" si="7"/>
        <v/>
      </c>
    </row>
    <row r="145" spans="1:17" x14ac:dyDescent="0.3">
      <c r="A145" s="93">
        <v>143</v>
      </c>
      <c r="P145" s="78" t="str">
        <f t="shared" si="6"/>
        <v/>
      </c>
      <c r="Q145" s="62" t="str">
        <f t="shared" si="7"/>
        <v/>
      </c>
    </row>
    <row r="146" spans="1:17" x14ac:dyDescent="0.3">
      <c r="A146" s="93">
        <v>144</v>
      </c>
      <c r="P146" s="78" t="str">
        <f t="shared" si="6"/>
        <v/>
      </c>
      <c r="Q146" s="62" t="str">
        <f t="shared" si="7"/>
        <v/>
      </c>
    </row>
    <row r="147" spans="1:17" x14ac:dyDescent="0.3">
      <c r="A147" s="93">
        <v>145</v>
      </c>
      <c r="P147" s="78" t="str">
        <f t="shared" si="6"/>
        <v/>
      </c>
      <c r="Q147" s="62" t="str">
        <f t="shared" si="7"/>
        <v/>
      </c>
    </row>
    <row r="148" spans="1:17" x14ac:dyDescent="0.3">
      <c r="A148" s="93">
        <v>146</v>
      </c>
      <c r="P148" s="78" t="str">
        <f t="shared" si="6"/>
        <v/>
      </c>
      <c r="Q148" s="62" t="str">
        <f t="shared" si="7"/>
        <v/>
      </c>
    </row>
    <row r="149" spans="1:17" x14ac:dyDescent="0.3">
      <c r="A149" s="93">
        <v>147</v>
      </c>
      <c r="P149" s="78" t="str">
        <f t="shared" si="6"/>
        <v/>
      </c>
      <c r="Q149" s="62" t="str">
        <f t="shared" si="7"/>
        <v/>
      </c>
    </row>
    <row r="150" spans="1:17" x14ac:dyDescent="0.3">
      <c r="A150" s="93">
        <v>148</v>
      </c>
      <c r="P150" s="78" t="str">
        <f t="shared" si="6"/>
        <v/>
      </c>
      <c r="Q150" s="62" t="str">
        <f t="shared" si="7"/>
        <v/>
      </c>
    </row>
    <row r="151" spans="1:17" x14ac:dyDescent="0.3">
      <c r="A151" s="93">
        <v>149</v>
      </c>
      <c r="P151" s="78" t="str">
        <f t="shared" si="6"/>
        <v/>
      </c>
      <c r="Q151" s="62" t="str">
        <f t="shared" si="7"/>
        <v/>
      </c>
    </row>
    <row r="152" spans="1:17" x14ac:dyDescent="0.3">
      <c r="A152" s="93">
        <v>150</v>
      </c>
      <c r="P152" s="78" t="str">
        <f t="shared" si="6"/>
        <v/>
      </c>
      <c r="Q152" s="62" t="str">
        <f t="shared" si="7"/>
        <v/>
      </c>
    </row>
    <row r="153" spans="1:17" x14ac:dyDescent="0.3">
      <c r="A153" s="93">
        <v>151</v>
      </c>
      <c r="P153" s="78" t="str">
        <f t="shared" si="6"/>
        <v/>
      </c>
      <c r="Q153" s="62" t="str">
        <f t="shared" si="7"/>
        <v/>
      </c>
    </row>
    <row r="154" spans="1:17" x14ac:dyDescent="0.3">
      <c r="A154" s="93">
        <v>152</v>
      </c>
      <c r="P154" s="78" t="str">
        <f t="shared" si="6"/>
        <v/>
      </c>
      <c r="Q154" s="62" t="str">
        <f t="shared" si="7"/>
        <v/>
      </c>
    </row>
    <row r="155" spans="1:17" x14ac:dyDescent="0.3">
      <c r="A155" s="93">
        <v>153</v>
      </c>
      <c r="P155" s="78" t="str">
        <f t="shared" si="6"/>
        <v/>
      </c>
      <c r="Q155" s="62" t="str">
        <f t="shared" si="7"/>
        <v/>
      </c>
    </row>
    <row r="156" spans="1:17" x14ac:dyDescent="0.3">
      <c r="A156" s="93">
        <v>154</v>
      </c>
      <c r="P156" s="78" t="str">
        <f t="shared" si="6"/>
        <v/>
      </c>
      <c r="Q156" s="62" t="str">
        <f t="shared" si="7"/>
        <v/>
      </c>
    </row>
    <row r="157" spans="1:17" x14ac:dyDescent="0.3">
      <c r="A157" s="93">
        <v>155</v>
      </c>
      <c r="P157" s="78" t="str">
        <f t="shared" si="6"/>
        <v/>
      </c>
      <c r="Q157" s="62" t="str">
        <f t="shared" si="7"/>
        <v/>
      </c>
    </row>
    <row r="158" spans="1:17" x14ac:dyDescent="0.3">
      <c r="A158" s="93">
        <v>156</v>
      </c>
      <c r="P158" s="78" t="str">
        <f t="shared" si="6"/>
        <v/>
      </c>
      <c r="Q158" s="62" t="str">
        <f t="shared" si="7"/>
        <v/>
      </c>
    </row>
    <row r="159" spans="1:17" x14ac:dyDescent="0.3">
      <c r="A159" s="93">
        <v>157</v>
      </c>
      <c r="P159" s="78" t="str">
        <f t="shared" si="6"/>
        <v/>
      </c>
      <c r="Q159" s="62" t="str">
        <f t="shared" si="7"/>
        <v/>
      </c>
    </row>
    <row r="160" spans="1:17" x14ac:dyDescent="0.3">
      <c r="A160" s="93">
        <v>158</v>
      </c>
      <c r="P160" s="78" t="str">
        <f t="shared" si="6"/>
        <v/>
      </c>
      <c r="Q160" s="62" t="str">
        <f t="shared" si="7"/>
        <v/>
      </c>
    </row>
    <row r="161" spans="1:17" x14ac:dyDescent="0.3">
      <c r="A161" s="93">
        <v>159</v>
      </c>
      <c r="P161" s="78" t="str">
        <f t="shared" si="6"/>
        <v/>
      </c>
      <c r="Q161" s="62" t="str">
        <f t="shared" si="7"/>
        <v/>
      </c>
    </row>
    <row r="162" spans="1:17" x14ac:dyDescent="0.3">
      <c r="A162" s="93">
        <v>160</v>
      </c>
      <c r="P162" s="78" t="str">
        <f t="shared" si="6"/>
        <v/>
      </c>
      <c r="Q162" s="62" t="str">
        <f t="shared" si="7"/>
        <v/>
      </c>
    </row>
    <row r="163" spans="1:17" x14ac:dyDescent="0.3">
      <c r="A163" s="93">
        <v>161</v>
      </c>
      <c r="P163" s="78" t="str">
        <f t="shared" si="6"/>
        <v/>
      </c>
      <c r="Q163" s="62" t="str">
        <f t="shared" si="7"/>
        <v/>
      </c>
    </row>
    <row r="164" spans="1:17" x14ac:dyDescent="0.3">
      <c r="A164" s="93">
        <v>162</v>
      </c>
      <c r="P164" s="78" t="str">
        <f t="shared" si="6"/>
        <v/>
      </c>
      <c r="Q164" s="62" t="str">
        <f t="shared" si="7"/>
        <v/>
      </c>
    </row>
    <row r="165" spans="1:17" x14ac:dyDescent="0.3">
      <c r="A165" s="93">
        <v>163</v>
      </c>
      <c r="P165" s="78" t="str">
        <f t="shared" si="6"/>
        <v/>
      </c>
      <c r="Q165" s="62" t="str">
        <f t="shared" si="7"/>
        <v/>
      </c>
    </row>
    <row r="166" spans="1:17" x14ac:dyDescent="0.3">
      <c r="A166" s="93">
        <v>164</v>
      </c>
      <c r="P166" s="78" t="str">
        <f t="shared" si="6"/>
        <v/>
      </c>
      <c r="Q166" s="62" t="str">
        <f t="shared" si="7"/>
        <v/>
      </c>
    </row>
    <row r="167" spans="1:17" x14ac:dyDescent="0.3">
      <c r="A167" s="93">
        <v>165</v>
      </c>
      <c r="P167" s="78" t="str">
        <f t="shared" si="6"/>
        <v/>
      </c>
      <c r="Q167" s="62" t="str">
        <f t="shared" si="7"/>
        <v/>
      </c>
    </row>
    <row r="168" spans="1:17" x14ac:dyDescent="0.3">
      <c r="A168" s="93">
        <v>166</v>
      </c>
      <c r="P168" s="78" t="str">
        <f t="shared" si="6"/>
        <v/>
      </c>
      <c r="Q168" s="62" t="str">
        <f t="shared" si="7"/>
        <v/>
      </c>
    </row>
    <row r="169" spans="1:17" x14ac:dyDescent="0.3">
      <c r="A169" s="93">
        <v>167</v>
      </c>
      <c r="P169" s="78" t="str">
        <f t="shared" si="6"/>
        <v/>
      </c>
      <c r="Q169" s="62" t="str">
        <f t="shared" si="7"/>
        <v/>
      </c>
    </row>
    <row r="170" spans="1:17" x14ac:dyDescent="0.3">
      <c r="A170" s="93">
        <v>168</v>
      </c>
      <c r="P170" s="78" t="str">
        <f t="shared" si="6"/>
        <v/>
      </c>
      <c r="Q170" s="62" t="str">
        <f t="shared" si="7"/>
        <v/>
      </c>
    </row>
    <row r="171" spans="1:17" x14ac:dyDescent="0.3">
      <c r="A171" s="93">
        <v>169</v>
      </c>
      <c r="P171" s="78" t="str">
        <f t="shared" si="6"/>
        <v/>
      </c>
      <c r="Q171" s="62" t="str">
        <f t="shared" si="7"/>
        <v/>
      </c>
    </row>
    <row r="172" spans="1:17" x14ac:dyDescent="0.3">
      <c r="A172" s="93">
        <v>170</v>
      </c>
      <c r="P172" s="78" t="str">
        <f t="shared" si="6"/>
        <v/>
      </c>
      <c r="Q172" s="62" t="str">
        <f t="shared" si="7"/>
        <v/>
      </c>
    </row>
    <row r="173" spans="1:17" x14ac:dyDescent="0.3">
      <c r="A173" s="93">
        <v>171</v>
      </c>
      <c r="P173" s="78" t="str">
        <f t="shared" si="6"/>
        <v/>
      </c>
      <c r="Q173" s="62" t="str">
        <f t="shared" si="7"/>
        <v/>
      </c>
    </row>
    <row r="174" spans="1:17" x14ac:dyDescent="0.3">
      <c r="A174" s="93">
        <v>172</v>
      </c>
      <c r="P174" s="78" t="str">
        <f t="shared" si="6"/>
        <v/>
      </c>
      <c r="Q174" s="62" t="str">
        <f t="shared" si="7"/>
        <v/>
      </c>
    </row>
    <row r="175" spans="1:17" x14ac:dyDescent="0.3">
      <c r="A175" s="93">
        <v>173</v>
      </c>
      <c r="P175" s="78" t="str">
        <f t="shared" si="6"/>
        <v/>
      </c>
      <c r="Q175" s="62" t="str">
        <f t="shared" si="7"/>
        <v/>
      </c>
    </row>
    <row r="176" spans="1:17" x14ac:dyDescent="0.3">
      <c r="A176" s="93">
        <v>174</v>
      </c>
      <c r="P176" s="78" t="str">
        <f t="shared" si="6"/>
        <v/>
      </c>
      <c r="Q176" s="62" t="str">
        <f t="shared" si="7"/>
        <v/>
      </c>
    </row>
    <row r="177" spans="1:17" x14ac:dyDescent="0.3">
      <c r="A177" s="93">
        <v>175</v>
      </c>
      <c r="P177" s="78" t="str">
        <f t="shared" si="6"/>
        <v/>
      </c>
      <c r="Q177" s="62" t="str">
        <f t="shared" si="7"/>
        <v/>
      </c>
    </row>
    <row r="178" spans="1:17" x14ac:dyDescent="0.3">
      <c r="A178" s="93">
        <v>176</v>
      </c>
      <c r="P178" s="78" t="str">
        <f t="shared" si="6"/>
        <v/>
      </c>
      <c r="Q178" s="62" t="str">
        <f t="shared" si="7"/>
        <v/>
      </c>
    </row>
    <row r="179" spans="1:17" x14ac:dyDescent="0.3">
      <c r="A179" s="93">
        <v>177</v>
      </c>
      <c r="P179" s="78" t="str">
        <f t="shared" si="6"/>
        <v/>
      </c>
      <c r="Q179" s="62" t="str">
        <f t="shared" si="7"/>
        <v/>
      </c>
    </row>
    <row r="180" spans="1:17" x14ac:dyDescent="0.3">
      <c r="A180" s="93">
        <v>178</v>
      </c>
      <c r="P180" s="78" t="str">
        <f t="shared" si="6"/>
        <v/>
      </c>
      <c r="Q180" s="62" t="str">
        <f t="shared" si="7"/>
        <v/>
      </c>
    </row>
    <row r="181" spans="1:17" x14ac:dyDescent="0.3">
      <c r="A181" s="93">
        <v>179</v>
      </c>
      <c r="P181" s="78" t="str">
        <f t="shared" si="6"/>
        <v/>
      </c>
      <c r="Q181" s="62" t="str">
        <f t="shared" si="7"/>
        <v/>
      </c>
    </row>
    <row r="182" spans="1:17" x14ac:dyDescent="0.3">
      <c r="A182" s="93">
        <v>180</v>
      </c>
      <c r="P182" s="78" t="str">
        <f t="shared" si="6"/>
        <v/>
      </c>
      <c r="Q182" s="62" t="str">
        <f t="shared" si="7"/>
        <v/>
      </c>
    </row>
    <row r="183" spans="1:17" x14ac:dyDescent="0.3">
      <c r="A183" s="93">
        <v>181</v>
      </c>
      <c r="P183" s="78" t="str">
        <f t="shared" si="6"/>
        <v/>
      </c>
      <c r="Q183" s="62" t="str">
        <f t="shared" si="7"/>
        <v/>
      </c>
    </row>
    <row r="184" spans="1:17" x14ac:dyDescent="0.3">
      <c r="A184" s="93">
        <v>182</v>
      </c>
      <c r="P184" s="78" t="str">
        <f t="shared" si="6"/>
        <v/>
      </c>
      <c r="Q184" s="62" t="str">
        <f t="shared" si="7"/>
        <v/>
      </c>
    </row>
    <row r="185" spans="1:17" x14ac:dyDescent="0.3">
      <c r="A185" s="93">
        <v>183</v>
      </c>
      <c r="P185" s="78" t="str">
        <f t="shared" si="6"/>
        <v/>
      </c>
      <c r="Q185" s="62" t="str">
        <f t="shared" si="7"/>
        <v/>
      </c>
    </row>
    <row r="186" spans="1:17" x14ac:dyDescent="0.3">
      <c r="A186" s="93">
        <v>184</v>
      </c>
      <c r="P186" s="78" t="str">
        <f t="shared" si="6"/>
        <v/>
      </c>
      <c r="Q186" s="62" t="str">
        <f t="shared" si="7"/>
        <v/>
      </c>
    </row>
    <row r="187" spans="1:17" x14ac:dyDescent="0.3">
      <c r="A187" s="93">
        <v>185</v>
      </c>
      <c r="P187" s="78" t="str">
        <f t="shared" si="6"/>
        <v/>
      </c>
      <c r="Q187" s="62" t="str">
        <f t="shared" si="7"/>
        <v/>
      </c>
    </row>
    <row r="188" spans="1:17" x14ac:dyDescent="0.3">
      <c r="A188" s="93">
        <v>186</v>
      </c>
      <c r="P188" s="78" t="str">
        <f t="shared" si="6"/>
        <v/>
      </c>
      <c r="Q188" s="62" t="str">
        <f t="shared" si="7"/>
        <v/>
      </c>
    </row>
    <row r="189" spans="1:17" x14ac:dyDescent="0.3">
      <c r="A189" s="93">
        <v>187</v>
      </c>
      <c r="P189" s="78" t="str">
        <f t="shared" si="6"/>
        <v/>
      </c>
      <c r="Q189" s="62" t="str">
        <f t="shared" si="7"/>
        <v/>
      </c>
    </row>
    <row r="190" spans="1:17" x14ac:dyDescent="0.3">
      <c r="A190" s="93">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topLeftCell="G5" zoomScale="90" zoomScaleNormal="90" workbookViewId="0">
      <selection activeCell="U4" sqref="U4"/>
    </sheetView>
  </sheetViews>
  <sheetFormatPr defaultRowHeight="15.6" x14ac:dyDescent="0.3"/>
  <cols>
    <col min="1" max="1" width="8.796875" style="87"/>
    <col min="2" max="2" width="12.796875" style="87" customWidth="1"/>
    <col min="3" max="3" width="12.59765625" style="87" customWidth="1"/>
    <col min="4" max="4" width="16.59765625" style="87" customWidth="1"/>
    <col min="5" max="5" width="8.796875" style="87"/>
    <col min="6" max="6" width="19.69921875" style="87" customWidth="1"/>
    <col min="7" max="7" width="32.296875" style="87" customWidth="1"/>
    <col min="8" max="9" width="8.796875" style="87"/>
    <col min="10" max="10" width="14.5" style="87" customWidth="1"/>
    <col min="11" max="11" width="15.59765625" style="87" customWidth="1"/>
    <col min="12" max="12" width="14.3984375" style="87" customWidth="1"/>
    <col min="13" max="13" width="9.09765625" style="87" customWidth="1"/>
    <col min="14" max="14" width="10.69921875" style="87" customWidth="1"/>
    <col min="15" max="15" width="14.69921875" style="87" customWidth="1"/>
    <col min="16" max="16" width="8.796875" style="64"/>
    <col min="17" max="17" width="9.3984375" style="64" customWidth="1"/>
    <col min="19" max="22" width="11.8984375" customWidth="1"/>
  </cols>
  <sheetData>
    <row r="1" spans="1:22" x14ac:dyDescent="0.3">
      <c r="A1" s="45" t="s">
        <v>48</v>
      </c>
      <c r="B1" s="46" t="s">
        <v>49</v>
      </c>
      <c r="C1" s="46">
        <f>T7</f>
        <v>21</v>
      </c>
      <c r="D1" s="47" t="s">
        <v>50</v>
      </c>
      <c r="E1" s="48">
        <f>SUM(T3:T4)</f>
        <v>4</v>
      </c>
      <c r="F1" s="49" t="s">
        <v>51</v>
      </c>
      <c r="G1" s="99">
        <f>SUM(T5:T6)</f>
        <v>17</v>
      </c>
      <c r="H1" s="51"/>
      <c r="I1" s="51"/>
      <c r="J1" s="51"/>
      <c r="K1" s="51"/>
      <c r="L1" s="51"/>
      <c r="M1" s="51"/>
      <c r="N1" s="51"/>
      <c r="O1" s="51"/>
      <c r="P1" s="114"/>
      <c r="Q1" s="114"/>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82">
        <v>1</v>
      </c>
      <c r="B3" s="82" t="s">
        <v>1078</v>
      </c>
      <c r="C3" s="82" t="s">
        <v>70</v>
      </c>
      <c r="D3" s="82" t="s">
        <v>368</v>
      </c>
      <c r="E3" s="82" t="s">
        <v>359</v>
      </c>
      <c r="F3" s="82" t="s">
        <v>1079</v>
      </c>
      <c r="G3" s="82" t="s">
        <v>1080</v>
      </c>
      <c r="H3" s="82" t="s">
        <v>74</v>
      </c>
      <c r="I3" s="57" t="s">
        <v>75</v>
      </c>
      <c r="J3" s="83">
        <v>45966.429861111108</v>
      </c>
      <c r="K3" s="83">
        <v>45968.709722222222</v>
      </c>
      <c r="L3" s="83">
        <v>46080.695833333331</v>
      </c>
      <c r="M3" s="82"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COUNTIF(M3:M298, "Pending")</f>
        <v>4</v>
      </c>
    </row>
    <row r="4" spans="1:22" ht="69" x14ac:dyDescent="0.3">
      <c r="A4" s="82">
        <v>2</v>
      </c>
      <c r="B4" s="82" t="s">
        <v>1081</v>
      </c>
      <c r="C4" s="82" t="s">
        <v>70</v>
      </c>
      <c r="D4" s="82" t="s">
        <v>1082</v>
      </c>
      <c r="E4" s="82" t="s">
        <v>359</v>
      </c>
      <c r="F4" s="82" t="s">
        <v>1083</v>
      </c>
      <c r="G4" s="82" t="s">
        <v>1084</v>
      </c>
      <c r="H4" s="82" t="s">
        <v>74</v>
      </c>
      <c r="I4" s="57" t="s">
        <v>75</v>
      </c>
      <c r="J4" s="83">
        <v>46073.37222222222</v>
      </c>
      <c r="K4" s="83">
        <v>46073.381944444445</v>
      </c>
      <c r="L4" s="83">
        <v>46085.446527777778</v>
      </c>
      <c r="M4" s="82"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8" t="str">
        <f t="shared" ref="P4:P66" ca="1" si="1">IF(O4="","",LEFT(O4,10)*(-1))</f>
        <v/>
      </c>
      <c r="Q4" s="64" t="str">
        <f t="shared" ca="1" si="0"/>
        <v/>
      </c>
      <c r="S4" s="63" t="s">
        <v>80</v>
      </c>
      <c r="T4" s="64">
        <f>COUNTIF(M3:M298, "InProgress")</f>
        <v>0</v>
      </c>
    </row>
    <row r="5" spans="1:22" ht="55.2" x14ac:dyDescent="0.3">
      <c r="A5" s="82">
        <v>3</v>
      </c>
      <c r="B5" s="82" t="s">
        <v>1085</v>
      </c>
      <c r="C5" s="82" t="s">
        <v>70</v>
      </c>
      <c r="D5" s="82" t="s">
        <v>238</v>
      </c>
      <c r="E5" s="82" t="s">
        <v>359</v>
      </c>
      <c r="F5" s="82" t="s">
        <v>1086</v>
      </c>
      <c r="G5" s="82" t="s">
        <v>1087</v>
      </c>
      <c r="H5" s="82" t="s">
        <v>74</v>
      </c>
      <c r="I5" s="57" t="s">
        <v>75</v>
      </c>
      <c r="J5" s="83">
        <v>46118.484722222223</v>
      </c>
      <c r="K5" s="83">
        <v>46197.7</v>
      </c>
      <c r="L5" s="83">
        <v>46197.7</v>
      </c>
      <c r="M5" s="82"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8" t="str">
        <f t="shared" ca="1" si="1"/>
        <v/>
      </c>
      <c r="Q5" s="64" t="str">
        <f t="shared" ca="1" si="0"/>
        <v/>
      </c>
      <c r="S5" s="65" t="s">
        <v>85</v>
      </c>
      <c r="T5" s="64">
        <f>COUNTIF(M3:M298, "Completed")</f>
        <v>6</v>
      </c>
    </row>
    <row r="6" spans="1:22" ht="82.8" x14ac:dyDescent="0.3">
      <c r="A6" s="82">
        <v>4</v>
      </c>
      <c r="B6" s="82" t="s">
        <v>1088</v>
      </c>
      <c r="C6" s="82" t="s">
        <v>70</v>
      </c>
      <c r="D6" s="82" t="s">
        <v>238</v>
      </c>
      <c r="E6" s="82" t="s">
        <v>359</v>
      </c>
      <c r="F6" s="82" t="s">
        <v>1089</v>
      </c>
      <c r="G6" s="82" t="s">
        <v>1090</v>
      </c>
      <c r="H6" s="82" t="s">
        <v>74</v>
      </c>
      <c r="I6" s="57" t="s">
        <v>75</v>
      </c>
      <c r="J6" s="83">
        <v>46118.675694444442</v>
      </c>
      <c r="K6" s="83">
        <v>46191.697916666664</v>
      </c>
      <c r="L6" s="83">
        <v>46191.697916666664</v>
      </c>
      <c r="M6" s="82"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8" t="str">
        <f t="shared" ca="1" si="1"/>
        <v/>
      </c>
      <c r="Q6" s="64" t="str">
        <f t="shared" ca="1" si="0"/>
        <v/>
      </c>
      <c r="S6" s="65" t="s">
        <v>76</v>
      </c>
      <c r="T6" s="64">
        <f>COUNTIF(M3:M298, "Closed")</f>
        <v>11</v>
      </c>
    </row>
    <row r="7" spans="1:22" ht="41.4" x14ac:dyDescent="0.3">
      <c r="A7" s="82">
        <v>5</v>
      </c>
      <c r="B7" s="82" t="s">
        <v>1091</v>
      </c>
      <c r="C7" s="84"/>
      <c r="D7" s="82" t="s">
        <v>1082</v>
      </c>
      <c r="E7" s="82" t="s">
        <v>359</v>
      </c>
      <c r="F7" s="82" t="s">
        <v>1092</v>
      </c>
      <c r="G7" s="82" t="s">
        <v>1093</v>
      </c>
      <c r="H7" s="82" t="s">
        <v>74</v>
      </c>
      <c r="I7" s="57" t="s">
        <v>75</v>
      </c>
      <c r="J7" s="83">
        <v>46119.450694444444</v>
      </c>
      <c r="K7" s="84"/>
      <c r="L7" s="84"/>
      <c r="M7" s="82" t="s">
        <v>77</v>
      </c>
      <c r="N7" s="59">
        <f>IF(ISBLANK(J7),"",IF(OR(M7="Completed",M7="Closed"),"",IF(H7="Issue",IF(I7="High",WORKDAY(J7,2,DATA!A6:A34),IF(I7="Medium",WORKDAY(J7,14, DATA!A6:A34),IF(OR(I7="Low"),WORKDAY(J7,30,DATA!A6:A34),""))),
"")
))</f>
        <v>46139</v>
      </c>
      <c r="O7" s="60">
        <f ca="1">IF(OR(ISBLANK(#REF!), M7="Completed", M7="Closed", H7&lt;&gt;"Issue"), "",
   (NETWORKDAYS.INTL(TODAY(), N7, 1, DATA!A6:A34) - 1))</f>
        <v>-66</v>
      </c>
      <c r="P7" s="88">
        <f t="shared" ca="1" si="1"/>
        <v>66</v>
      </c>
      <c r="Q7" s="64" t="str">
        <f t="shared" ca="1" si="0"/>
        <v>&gt;60 Days</v>
      </c>
      <c r="S7" s="76" t="s">
        <v>49</v>
      </c>
      <c r="T7" s="64">
        <f>SUM(T3:T6)</f>
        <v>21</v>
      </c>
    </row>
    <row r="8" spans="1:22" ht="41.4" x14ac:dyDescent="0.3">
      <c r="A8" s="82">
        <v>6</v>
      </c>
      <c r="B8" s="82" t="s">
        <v>1094</v>
      </c>
      <c r="C8" s="84"/>
      <c r="D8" s="82" t="s">
        <v>1082</v>
      </c>
      <c r="E8" s="82" t="s">
        <v>359</v>
      </c>
      <c r="F8" s="82" t="s">
        <v>1095</v>
      </c>
      <c r="G8" s="82" t="s">
        <v>1096</v>
      </c>
      <c r="H8" s="82" t="s">
        <v>74</v>
      </c>
      <c r="I8" s="57" t="s">
        <v>75</v>
      </c>
      <c r="J8" s="83">
        <v>46126.396527777775</v>
      </c>
      <c r="K8" s="84"/>
      <c r="L8" s="84"/>
      <c r="M8" s="82" t="s">
        <v>77</v>
      </c>
      <c r="N8" s="59">
        <f>IF(ISBLANK(J8),"",IF(OR(M8="Completed",M8="Closed"),"",IF(H8="Issue",IF(I8="High",WORKDAY(J8,2,DATA!A7:A35),IF(I8="Medium",WORKDAY(J8,14, DATA!A7:A35),IF(OR(I8="Low"),WORKDAY(J8,30,DATA!A7:A35),""))),
"")
))</f>
        <v>46147</v>
      </c>
      <c r="O8" s="60">
        <f ca="1">IF(OR(ISBLANK(#REF!), M8="Completed", M8="Closed", H8&lt;&gt;"Issue"), "",
   (NETWORKDAYS.INTL(TODAY(), N8, 1, DATA!A7:A35) - 1))</f>
        <v>-61</v>
      </c>
      <c r="P8" s="88">
        <f t="shared" ca="1" si="1"/>
        <v>61</v>
      </c>
      <c r="Q8" s="64" t="str">
        <f t="shared" ca="1" si="0"/>
        <v>&gt;60 Days</v>
      </c>
      <c r="S8" s="238" t="s">
        <v>66</v>
      </c>
      <c r="T8" s="90" t="s">
        <v>94</v>
      </c>
      <c r="U8" s="90" t="s">
        <v>95</v>
      </c>
      <c r="V8" s="90" t="s">
        <v>96</v>
      </c>
    </row>
    <row r="9" spans="1:22" ht="69" x14ac:dyDescent="0.3">
      <c r="A9" s="82">
        <v>7</v>
      </c>
      <c r="B9" s="82" t="s">
        <v>1097</v>
      </c>
      <c r="C9" s="84"/>
      <c r="D9" s="82" t="s">
        <v>238</v>
      </c>
      <c r="E9" s="82" t="s">
        <v>359</v>
      </c>
      <c r="F9" s="82" t="s">
        <v>1098</v>
      </c>
      <c r="G9" s="82" t="s">
        <v>1099</v>
      </c>
      <c r="H9" s="82" t="s">
        <v>74</v>
      </c>
      <c r="I9" s="57" t="s">
        <v>75</v>
      </c>
      <c r="J9" s="83">
        <v>46126.461805555555</v>
      </c>
      <c r="K9" s="84"/>
      <c r="L9" s="84"/>
      <c r="M9" s="82" t="s">
        <v>77</v>
      </c>
      <c r="N9" s="59">
        <f>IF(ISBLANK(J9),"",IF(OR(M9="Completed",M9="Closed"),"",IF(H9="Issue",IF(I9="High",WORKDAY(J9,2,DATA!A8:A36),IF(I9="Medium",WORKDAY(J9,14, DATA!A8:A36),IF(OR(I9="Low"),WORKDAY(J9,30,DATA!A8:A36),""))),
"")
))</f>
        <v>46147</v>
      </c>
      <c r="O9" s="60">
        <f ca="1">IF(OR(ISBLANK(#REF!), M9="Completed", M9="Closed", H9&lt;&gt;"Issue"), "",
   (NETWORKDAYS.INTL(TODAY(), N9, 1, DATA!A8:A36) - 1))</f>
        <v>-61</v>
      </c>
      <c r="P9" s="88">
        <f t="shared" ca="1" si="1"/>
        <v>61</v>
      </c>
      <c r="Q9" s="64" t="str">
        <f t="shared" ca="1" si="0"/>
        <v>&gt;60 Days</v>
      </c>
      <c r="S9" s="238"/>
      <c r="T9" s="70">
        <f ca="1">COUNTIFS(P3:P276,"&gt;=1",P3:P276,"&lt;=30")</f>
        <v>1</v>
      </c>
      <c r="U9" s="70">
        <f ca="1">COUNTIFS(P3:P276,"&gt;=31",P3:P276,"&lt;=60")</f>
        <v>0</v>
      </c>
      <c r="V9" s="70">
        <f ca="1">COUNTIFS(P3:P276,"&gt;60")</f>
        <v>3</v>
      </c>
    </row>
    <row r="10" spans="1:22" ht="234.6" x14ac:dyDescent="0.3">
      <c r="A10" s="82">
        <v>8</v>
      </c>
      <c r="B10" s="82" t="s">
        <v>1100</v>
      </c>
      <c r="C10" s="82" t="s">
        <v>70</v>
      </c>
      <c r="D10" s="82" t="s">
        <v>379</v>
      </c>
      <c r="E10" s="82" t="s">
        <v>359</v>
      </c>
      <c r="F10" s="82" t="s">
        <v>1101</v>
      </c>
      <c r="G10" s="82" t="s">
        <v>1102</v>
      </c>
      <c r="H10" s="82" t="s">
        <v>74</v>
      </c>
      <c r="I10" s="57" t="s">
        <v>75</v>
      </c>
      <c r="J10" s="83">
        <v>46127.395833333336</v>
      </c>
      <c r="K10" s="83">
        <v>46141.513888888891</v>
      </c>
      <c r="L10" s="83">
        <v>46159.948611111111</v>
      </c>
      <c r="M10" s="82"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8" t="str">
        <f t="shared" ca="1" si="1"/>
        <v/>
      </c>
      <c r="Q10" s="64" t="str">
        <f t="shared" ca="1" si="0"/>
        <v/>
      </c>
    </row>
    <row r="11" spans="1:22" ht="41.4" x14ac:dyDescent="0.3">
      <c r="A11" s="82">
        <v>9</v>
      </c>
      <c r="B11" s="82" t="s">
        <v>1103</v>
      </c>
      <c r="C11" s="82" t="s">
        <v>70</v>
      </c>
      <c r="D11" s="82" t="s">
        <v>238</v>
      </c>
      <c r="E11" s="82" t="s">
        <v>359</v>
      </c>
      <c r="F11" s="82" t="s">
        <v>1104</v>
      </c>
      <c r="G11" s="82" t="s">
        <v>1105</v>
      </c>
      <c r="H11" s="82" t="s">
        <v>74</v>
      </c>
      <c r="I11" s="57" t="s">
        <v>75</v>
      </c>
      <c r="J11" s="83">
        <v>46127.526388888888</v>
      </c>
      <c r="K11" s="83">
        <v>46127.71597222222</v>
      </c>
      <c r="L11" s="83">
        <v>46159.951388888891</v>
      </c>
      <c r="M11" s="82"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8" t="str">
        <f t="shared" ca="1" si="1"/>
        <v/>
      </c>
      <c r="Q11" s="64" t="str">
        <f t="shared" ca="1" si="0"/>
        <v/>
      </c>
    </row>
    <row r="12" spans="1:22" ht="41.4" x14ac:dyDescent="0.3">
      <c r="A12" s="82">
        <v>10</v>
      </c>
      <c r="B12" s="82" t="s">
        <v>1106</v>
      </c>
      <c r="C12" s="82" t="s">
        <v>70</v>
      </c>
      <c r="D12" s="82" t="s">
        <v>238</v>
      </c>
      <c r="E12" s="82" t="s">
        <v>359</v>
      </c>
      <c r="F12" s="82" t="s">
        <v>1107</v>
      </c>
      <c r="G12" s="82" t="s">
        <v>1108</v>
      </c>
      <c r="H12" s="82" t="s">
        <v>74</v>
      </c>
      <c r="I12" s="57" t="s">
        <v>75</v>
      </c>
      <c r="J12" s="83">
        <v>46127.529861111114</v>
      </c>
      <c r="K12" s="83">
        <v>46129.375</v>
      </c>
      <c r="L12" s="83">
        <v>46129.375694444447</v>
      </c>
      <c r="M12" s="82"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8" t="str">
        <f t="shared" ca="1" si="1"/>
        <v/>
      </c>
      <c r="Q12" s="64" t="str">
        <f t="shared" ca="1" si="0"/>
        <v/>
      </c>
    </row>
    <row r="13" spans="1:22" ht="41.4" x14ac:dyDescent="0.3">
      <c r="A13" s="82">
        <v>11</v>
      </c>
      <c r="B13" s="82" t="s">
        <v>1109</v>
      </c>
      <c r="C13" s="82" t="s">
        <v>70</v>
      </c>
      <c r="D13" s="82" t="s">
        <v>238</v>
      </c>
      <c r="E13" s="82" t="s">
        <v>359</v>
      </c>
      <c r="F13" s="82" t="s">
        <v>1110</v>
      </c>
      <c r="G13" s="82" t="s">
        <v>1111</v>
      </c>
      <c r="H13" s="82" t="s">
        <v>74</v>
      </c>
      <c r="I13" s="57" t="s">
        <v>75</v>
      </c>
      <c r="J13" s="83">
        <v>46132.421527777777</v>
      </c>
      <c r="K13" s="83">
        <v>46139.427083333336</v>
      </c>
      <c r="L13" s="84"/>
      <c r="M13" s="82" t="s">
        <v>85</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8" t="str">
        <f t="shared" ca="1" si="1"/>
        <v/>
      </c>
      <c r="Q13" s="64" t="str">
        <f t="shared" ca="1" si="0"/>
        <v/>
      </c>
    </row>
    <row r="14" spans="1:22" ht="248.4" x14ac:dyDescent="0.3">
      <c r="A14" s="82">
        <v>12</v>
      </c>
      <c r="B14" s="82" t="s">
        <v>1112</v>
      </c>
      <c r="C14" s="82" t="s">
        <v>70</v>
      </c>
      <c r="D14" s="82" t="s">
        <v>238</v>
      </c>
      <c r="E14" s="82" t="s">
        <v>359</v>
      </c>
      <c r="F14" s="82" t="s">
        <v>1113</v>
      </c>
      <c r="G14" s="82" t="s">
        <v>1114</v>
      </c>
      <c r="H14" s="82" t="s">
        <v>74</v>
      </c>
      <c r="I14" s="57" t="s">
        <v>75</v>
      </c>
      <c r="J14" s="83">
        <v>46136.436805555553</v>
      </c>
      <c r="K14" s="83">
        <v>46197.660416666666</v>
      </c>
      <c r="L14" s="83">
        <v>46197.661111111112</v>
      </c>
      <c r="M14" s="82"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8" t="str">
        <f t="shared" ca="1" si="1"/>
        <v/>
      </c>
      <c r="Q14" s="64" t="str">
        <f t="shared" ca="1" si="0"/>
        <v/>
      </c>
    </row>
    <row r="15" spans="1:22" ht="165.6" x14ac:dyDescent="0.3">
      <c r="A15" s="82">
        <v>13</v>
      </c>
      <c r="B15" s="82" t="s">
        <v>1115</v>
      </c>
      <c r="C15" s="82" t="s">
        <v>70</v>
      </c>
      <c r="D15" s="82" t="s">
        <v>238</v>
      </c>
      <c r="E15" s="82" t="s">
        <v>359</v>
      </c>
      <c r="F15" s="82" t="s">
        <v>1116</v>
      </c>
      <c r="G15" s="82" t="s">
        <v>1117</v>
      </c>
      <c r="H15" s="82" t="s">
        <v>74</v>
      </c>
      <c r="I15" s="57" t="s">
        <v>75</v>
      </c>
      <c r="J15" s="83">
        <v>46140.727777777778</v>
      </c>
      <c r="K15" s="83">
        <v>46197.527777777781</v>
      </c>
      <c r="L15" s="83">
        <v>46197.527777777781</v>
      </c>
      <c r="M15" s="82"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8" t="str">
        <f t="shared" ca="1" si="1"/>
        <v/>
      </c>
      <c r="Q15" s="64" t="str">
        <f t="shared" ca="1" si="0"/>
        <v/>
      </c>
    </row>
    <row r="16" spans="1:22" ht="69" x14ac:dyDescent="0.3">
      <c r="A16" s="82">
        <v>14</v>
      </c>
      <c r="B16" s="82" t="s">
        <v>1118</v>
      </c>
      <c r="C16" s="82" t="s">
        <v>70</v>
      </c>
      <c r="D16" s="82" t="s">
        <v>238</v>
      </c>
      <c r="E16" s="82" t="s">
        <v>359</v>
      </c>
      <c r="F16" s="82" t="s">
        <v>1119</v>
      </c>
      <c r="G16" s="82" t="s">
        <v>1120</v>
      </c>
      <c r="H16" s="82" t="s">
        <v>74</v>
      </c>
      <c r="I16" s="57" t="s">
        <v>75</v>
      </c>
      <c r="J16" s="83">
        <v>46150.703472222223</v>
      </c>
      <c r="K16" s="83">
        <v>46153.38958333333</v>
      </c>
      <c r="L16" s="84"/>
      <c r="M16" s="82" t="s">
        <v>85</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8" t="str">
        <f t="shared" ca="1" si="1"/>
        <v/>
      </c>
      <c r="Q16" s="64" t="str">
        <f t="shared" ca="1" si="0"/>
        <v/>
      </c>
    </row>
    <row r="17" spans="1:17" ht="69" x14ac:dyDescent="0.3">
      <c r="A17" s="82">
        <v>15</v>
      </c>
      <c r="B17" s="82" t="s">
        <v>1121</v>
      </c>
      <c r="C17" s="82" t="s">
        <v>70</v>
      </c>
      <c r="D17" s="82" t="s">
        <v>452</v>
      </c>
      <c r="E17" s="82" t="s">
        <v>359</v>
      </c>
      <c r="F17" s="82" t="s">
        <v>1122</v>
      </c>
      <c r="G17" s="82" t="s">
        <v>1123</v>
      </c>
      <c r="H17" s="82" t="s">
        <v>74</v>
      </c>
      <c r="I17" s="57" t="s">
        <v>75</v>
      </c>
      <c r="J17" s="83">
        <v>46150.71875</v>
      </c>
      <c r="K17" s="83">
        <v>46197.51458333333</v>
      </c>
      <c r="L17" s="83">
        <v>46197.51458333333</v>
      </c>
      <c r="M17" s="82"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8" t="str">
        <f t="shared" ca="1" si="1"/>
        <v/>
      </c>
      <c r="Q17" s="64" t="str">
        <f t="shared" ca="1" si="0"/>
        <v/>
      </c>
    </row>
    <row r="18" spans="1:17" ht="55.2" x14ac:dyDescent="0.3">
      <c r="A18" s="82">
        <v>16</v>
      </c>
      <c r="B18" s="82" t="s">
        <v>1124</v>
      </c>
      <c r="C18" s="82" t="s">
        <v>70</v>
      </c>
      <c r="D18" s="82" t="s">
        <v>199</v>
      </c>
      <c r="E18" s="82" t="s">
        <v>359</v>
      </c>
      <c r="F18" s="82" t="s">
        <v>1125</v>
      </c>
      <c r="G18" s="82" t="s">
        <v>1126</v>
      </c>
      <c r="H18" s="82" t="s">
        <v>74</v>
      </c>
      <c r="I18" s="57" t="s">
        <v>75</v>
      </c>
      <c r="J18" s="83">
        <v>46154.42291666667</v>
      </c>
      <c r="K18" s="83">
        <v>46154.679861111108</v>
      </c>
      <c r="L18" s="84"/>
      <c r="M18" s="82" t="s">
        <v>85</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8" t="str">
        <f t="shared" ca="1" si="1"/>
        <v/>
      </c>
      <c r="Q18" s="64" t="str">
        <f t="shared" ca="1" si="0"/>
        <v/>
      </c>
    </row>
    <row r="19" spans="1:17" ht="55.2" x14ac:dyDescent="0.3">
      <c r="A19" s="82">
        <v>17</v>
      </c>
      <c r="B19" s="82" t="s">
        <v>1127</v>
      </c>
      <c r="C19" s="82" t="s">
        <v>70</v>
      </c>
      <c r="D19" s="82" t="s">
        <v>238</v>
      </c>
      <c r="E19" s="82" t="s">
        <v>359</v>
      </c>
      <c r="F19" s="82" t="s">
        <v>1128</v>
      </c>
      <c r="G19" s="82" t="s">
        <v>1129</v>
      </c>
      <c r="H19" s="82" t="s">
        <v>74</v>
      </c>
      <c r="I19" s="57" t="s">
        <v>75</v>
      </c>
      <c r="J19" s="83">
        <v>46170.51666666667</v>
      </c>
      <c r="K19" s="83">
        <v>46197.509722222225</v>
      </c>
      <c r="L19" s="83">
        <v>46197.509722222225</v>
      </c>
      <c r="M19" s="82"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8" t="str">
        <f t="shared" ca="1" si="1"/>
        <v/>
      </c>
      <c r="Q19" s="64" t="str">
        <f t="shared" ca="1" si="0"/>
        <v/>
      </c>
    </row>
    <row r="20" spans="1:17" ht="82.8" x14ac:dyDescent="0.3">
      <c r="A20" s="82">
        <v>18</v>
      </c>
      <c r="B20" s="82" t="s">
        <v>1130</v>
      </c>
      <c r="C20" s="82" t="s">
        <v>70</v>
      </c>
      <c r="D20" s="82" t="s">
        <v>379</v>
      </c>
      <c r="E20" s="82" t="s">
        <v>359</v>
      </c>
      <c r="F20" s="82" t="s">
        <v>1131</v>
      </c>
      <c r="G20" s="82" t="s">
        <v>1132</v>
      </c>
      <c r="H20" s="82" t="s">
        <v>74</v>
      </c>
      <c r="I20" s="57" t="s">
        <v>75</v>
      </c>
      <c r="J20" s="83">
        <v>46182.462500000001</v>
      </c>
      <c r="K20" s="83">
        <v>46191.355555555558</v>
      </c>
      <c r="L20" s="84"/>
      <c r="M20" s="82"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8" t="str">
        <f t="shared" ca="1" si="1"/>
        <v/>
      </c>
      <c r="Q20" s="64" t="str">
        <f t="shared" ca="1" si="0"/>
        <v/>
      </c>
    </row>
    <row r="21" spans="1:17" ht="27.6" x14ac:dyDescent="0.3">
      <c r="A21" s="82">
        <v>19</v>
      </c>
      <c r="B21" s="82" t="s">
        <v>1133</v>
      </c>
      <c r="C21" s="82" t="s">
        <v>70</v>
      </c>
      <c r="D21" s="82" t="s">
        <v>199</v>
      </c>
      <c r="E21" s="82" t="s">
        <v>359</v>
      </c>
      <c r="F21" s="82" t="s">
        <v>1134</v>
      </c>
      <c r="G21" s="82" t="s">
        <v>1135</v>
      </c>
      <c r="H21" s="82" t="s">
        <v>74</v>
      </c>
      <c r="I21" s="57" t="s">
        <v>75</v>
      </c>
      <c r="J21" s="83">
        <v>46184.488194444442</v>
      </c>
      <c r="K21" s="83">
        <v>46197.36041666667</v>
      </c>
      <c r="L21" s="84"/>
      <c r="M21" s="82"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55.2" x14ac:dyDescent="0.3">
      <c r="A22" s="82">
        <v>20</v>
      </c>
      <c r="B22" s="82" t="s">
        <v>1441</v>
      </c>
      <c r="C22" s="84"/>
      <c r="D22" s="82" t="s">
        <v>238</v>
      </c>
      <c r="E22" s="82" t="s">
        <v>359</v>
      </c>
      <c r="F22" s="82" t="s">
        <v>1442</v>
      </c>
      <c r="G22" s="82" t="s">
        <v>1443</v>
      </c>
      <c r="H22" s="82" t="s">
        <v>74</v>
      </c>
      <c r="I22" s="57" t="s">
        <v>75</v>
      </c>
      <c r="J22" s="83">
        <v>46198.431944444441</v>
      </c>
      <c r="K22" s="84"/>
      <c r="L22" s="84"/>
      <c r="M22" s="82"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-12</v>
      </c>
      <c r="P22" s="88">
        <f t="shared" ca="1" si="1"/>
        <v>12</v>
      </c>
      <c r="Q22" s="64" t="str">
        <f t="shared" ref="Q22:Q84" ca="1" si="2">IF(P22="","",
IF(P22&lt;=0,"Not Due",
IF(P22&lt;=30,"1-30 Days",
IF(P22&lt;=60,"31-60 Days",
"&gt;60 Days"))))</f>
        <v>1-30 Days</v>
      </c>
    </row>
    <row r="23" spans="1:17" ht="138" x14ac:dyDescent="0.3">
      <c r="A23" s="82">
        <v>21</v>
      </c>
      <c r="B23" s="82" t="s">
        <v>1444</v>
      </c>
      <c r="C23" s="82" t="s">
        <v>70</v>
      </c>
      <c r="D23" s="82" t="s">
        <v>238</v>
      </c>
      <c r="E23" s="82" t="s">
        <v>359</v>
      </c>
      <c r="F23" s="82" t="s">
        <v>1445</v>
      </c>
      <c r="G23" s="82" t="s">
        <v>1446</v>
      </c>
      <c r="H23" s="82" t="s">
        <v>74</v>
      </c>
      <c r="I23" s="57" t="s">
        <v>75</v>
      </c>
      <c r="J23" s="83">
        <v>46200.569444444445</v>
      </c>
      <c r="K23" s="83">
        <v>46202.59652777778</v>
      </c>
      <c r="L23" s="84"/>
      <c r="M23" s="82"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8" t="str">
        <f t="shared" ca="1" si="1"/>
        <v/>
      </c>
      <c r="Q23" s="64" t="str">
        <f t="shared" ca="1" si="2"/>
        <v/>
      </c>
    </row>
    <row r="24" spans="1:17" x14ac:dyDescent="0.3">
      <c r="A24" s="82">
        <v>22</v>
      </c>
      <c r="B24" s="57"/>
      <c r="C24" s="57"/>
      <c r="D24" s="57"/>
      <c r="E24" s="57"/>
      <c r="F24" s="57"/>
      <c r="G24" s="57"/>
      <c r="H24" s="57"/>
      <c r="I24" s="57" t="s">
        <v>75</v>
      </c>
      <c r="J24" s="100"/>
      <c r="K24" s="100"/>
      <c r="L24" s="100"/>
      <c r="M24" s="57"/>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8" t="str">
        <f t="shared" ca="1" si="1"/>
        <v/>
      </c>
      <c r="Q24" s="64" t="str">
        <f t="shared" ca="1" si="2"/>
        <v/>
      </c>
    </row>
    <row r="25" spans="1:17" x14ac:dyDescent="0.3">
      <c r="A25" s="82">
        <v>23</v>
      </c>
      <c r="B25" s="57"/>
      <c r="C25" s="57"/>
      <c r="D25" s="57"/>
      <c r="E25" s="57"/>
      <c r="F25" s="57"/>
      <c r="G25" s="57"/>
      <c r="H25" s="57"/>
      <c r="I25" s="57" t="s">
        <v>75</v>
      </c>
      <c r="J25" s="100"/>
      <c r="K25" s="101"/>
      <c r="L25" s="101"/>
      <c r="M25" s="57"/>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8" t="str">
        <f t="shared" ca="1" si="1"/>
        <v/>
      </c>
      <c r="Q25" s="64" t="str">
        <f t="shared" ca="1" si="2"/>
        <v/>
      </c>
    </row>
    <row r="26" spans="1:17" x14ac:dyDescent="0.3">
      <c r="A26" s="82">
        <v>24</v>
      </c>
      <c r="B26" s="57"/>
      <c r="C26" s="57"/>
      <c r="D26" s="57"/>
      <c r="E26" s="57"/>
      <c r="F26" s="57"/>
      <c r="G26" s="57"/>
      <c r="H26" s="57"/>
      <c r="I26" s="57" t="s">
        <v>75</v>
      </c>
      <c r="J26" s="100"/>
      <c r="K26" s="100"/>
      <c r="L26" s="100"/>
      <c r="M26" s="57"/>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8" t="str">
        <f t="shared" ca="1" si="1"/>
        <v/>
      </c>
      <c r="Q26" s="64" t="str">
        <f t="shared" ca="1" si="2"/>
        <v/>
      </c>
    </row>
    <row r="27" spans="1:17" x14ac:dyDescent="0.3">
      <c r="A27" s="82">
        <v>25</v>
      </c>
      <c r="B27" s="57"/>
      <c r="C27" s="57"/>
      <c r="D27" s="57"/>
      <c r="E27" s="57"/>
      <c r="F27" s="57"/>
      <c r="G27" s="57"/>
      <c r="H27" s="57"/>
      <c r="I27" s="57" t="s">
        <v>75</v>
      </c>
      <c r="J27" s="100"/>
      <c r="K27" s="100"/>
      <c r="L27" s="100"/>
      <c r="M27" s="57"/>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8" t="str">
        <f t="shared" ca="1" si="1"/>
        <v/>
      </c>
      <c r="Q27" s="64" t="str">
        <f t="shared" ca="1" si="2"/>
        <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8" t="str">
        <f t="shared" ca="1" si="1"/>
        <v/>
      </c>
      <c r="Q29" s="64" t="str">
        <f t="shared" ca="1" si="2"/>
        <v/>
      </c>
    </row>
    <row r="30" spans="1:17" x14ac:dyDescent="0.3">
      <c r="A30" s="82">
        <v>28</v>
      </c>
      <c r="B30" s="57"/>
      <c r="C30" s="57"/>
      <c r="D30" s="57"/>
      <c r="E30" s="57"/>
      <c r="F30" s="57"/>
      <c r="G30" s="57"/>
      <c r="H30" s="57"/>
      <c r="I30" s="57" t="s">
        <v>75</v>
      </c>
      <c r="J30" s="100"/>
      <c r="K30" s="101"/>
      <c r="L30" s="101"/>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8" t="str">
        <f t="shared" ca="1" si="1"/>
        <v/>
      </c>
      <c r="Q30" s="64" t="str">
        <f t="shared" ca="1" si="2"/>
        <v/>
      </c>
    </row>
    <row r="31" spans="1:17" x14ac:dyDescent="0.3">
      <c r="A31" s="82">
        <v>29</v>
      </c>
      <c r="B31" s="57"/>
      <c r="C31" s="57"/>
      <c r="D31" s="57"/>
      <c r="E31" s="57"/>
      <c r="F31" s="57"/>
      <c r="G31" s="57"/>
      <c r="H31" s="57"/>
      <c r="I31" s="57" t="s">
        <v>75</v>
      </c>
      <c r="J31" s="100"/>
      <c r="K31" s="100"/>
      <c r="L31" s="100"/>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8" t="str">
        <f t="shared" ca="1" si="1"/>
        <v/>
      </c>
      <c r="Q31" s="64" t="str">
        <f t="shared" ca="1" si="2"/>
        <v/>
      </c>
    </row>
    <row r="32" spans="1:17" x14ac:dyDescent="0.3">
      <c r="A32" s="82">
        <v>30</v>
      </c>
      <c r="B32" s="57"/>
      <c r="C32" s="57"/>
      <c r="D32" s="57"/>
      <c r="E32" s="57"/>
      <c r="F32" s="57"/>
      <c r="G32" s="57"/>
      <c r="H32" s="57"/>
      <c r="I32" s="57" t="s">
        <v>75</v>
      </c>
      <c r="J32" s="100"/>
      <c r="K32" s="101"/>
      <c r="L32" s="101"/>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8" t="str">
        <f t="shared" ca="1" si="1"/>
        <v/>
      </c>
      <c r="Q32" s="64" t="str">
        <f t="shared" ca="1" si="2"/>
        <v/>
      </c>
    </row>
    <row r="33" spans="1:17" x14ac:dyDescent="0.3">
      <c r="A33" s="82">
        <v>31</v>
      </c>
      <c r="B33" s="57"/>
      <c r="C33" s="57"/>
      <c r="D33" s="57"/>
      <c r="E33" s="57"/>
      <c r="F33" s="57"/>
      <c r="G33" s="57"/>
      <c r="H33" s="57"/>
      <c r="I33" s="57" t="s">
        <v>75</v>
      </c>
      <c r="J33" s="100"/>
      <c r="K33" s="100"/>
      <c r="L33" s="100"/>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8" t="str">
        <f t="shared" ca="1" si="1"/>
        <v/>
      </c>
      <c r="Q33" s="64" t="str">
        <f t="shared" ca="1" si="2"/>
        <v/>
      </c>
    </row>
    <row r="34" spans="1:17" x14ac:dyDescent="0.3">
      <c r="A34" s="82">
        <v>32</v>
      </c>
      <c r="B34" s="57"/>
      <c r="C34" s="57"/>
      <c r="D34" s="57"/>
      <c r="E34" s="57"/>
      <c r="F34" s="57"/>
      <c r="G34" s="57"/>
      <c r="H34" s="57"/>
      <c r="I34" s="57" t="s">
        <v>75</v>
      </c>
      <c r="J34" s="100"/>
      <c r="K34" s="101"/>
      <c r="L34" s="101"/>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8" t="str">
        <f t="shared" ca="1" si="1"/>
        <v/>
      </c>
      <c r="Q35" s="64" t="str">
        <f t="shared" ca="1" si="2"/>
        <v/>
      </c>
    </row>
    <row r="36" spans="1:17" x14ac:dyDescent="0.3">
      <c r="A36" s="82">
        <v>34</v>
      </c>
      <c r="B36" s="57"/>
      <c r="C36" s="57"/>
      <c r="D36" s="57"/>
      <c r="E36" s="57"/>
      <c r="F36" s="57"/>
      <c r="G36" s="57"/>
      <c r="H36" s="57"/>
      <c r="I36" s="57" t="s">
        <v>75</v>
      </c>
      <c r="J36" s="100"/>
      <c r="K36" s="100"/>
      <c r="L36" s="100"/>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8" t="str">
        <f t="shared" ca="1" si="1"/>
        <v/>
      </c>
      <c r="Q36" s="64" t="str">
        <f t="shared" ca="1" si="2"/>
        <v/>
      </c>
    </row>
    <row r="37" spans="1:17" x14ac:dyDescent="0.3">
      <c r="A37" s="82">
        <v>35</v>
      </c>
      <c r="B37" s="57"/>
      <c r="C37" s="57"/>
      <c r="D37" s="57"/>
      <c r="E37" s="57"/>
      <c r="F37" s="57"/>
      <c r="G37" s="57"/>
      <c r="H37" s="57"/>
      <c r="I37" s="57" t="s">
        <v>75</v>
      </c>
      <c r="J37" s="100"/>
      <c r="K37" s="100"/>
      <c r="L37" s="101"/>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8" t="str">
        <f t="shared" ca="1" si="1"/>
        <v/>
      </c>
      <c r="Q37" s="64" t="str">
        <f t="shared" ca="1" si="2"/>
        <v/>
      </c>
    </row>
    <row r="38" spans="1:17" x14ac:dyDescent="0.3">
      <c r="A38" s="82">
        <v>36</v>
      </c>
      <c r="B38" s="57"/>
      <c r="C38" s="57"/>
      <c r="D38" s="57"/>
      <c r="E38" s="57"/>
      <c r="F38" s="57"/>
      <c r="G38" s="57"/>
      <c r="H38" s="57"/>
      <c r="I38" s="57" t="s">
        <v>75</v>
      </c>
      <c r="J38" s="100"/>
      <c r="K38" s="101"/>
      <c r="L38" s="101"/>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8" t="str">
        <f t="shared" ca="1" si="1"/>
        <v/>
      </c>
      <c r="Q41" s="64" t="str">
        <f t="shared" ca="1" si="2"/>
        <v/>
      </c>
    </row>
    <row r="42" spans="1:17" x14ac:dyDescent="0.3">
      <c r="A42" s="82">
        <v>40</v>
      </c>
      <c r="B42" s="57"/>
      <c r="C42" s="57"/>
      <c r="D42" s="57"/>
      <c r="E42" s="57"/>
      <c r="F42" s="57"/>
      <c r="G42" s="57"/>
      <c r="H42" s="57"/>
      <c r="I42" s="57" t="s">
        <v>75</v>
      </c>
      <c r="J42" s="100"/>
      <c r="K42" s="100"/>
      <c r="L42" s="100"/>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8" t="str">
        <f t="shared" ca="1" si="1"/>
        <v/>
      </c>
      <c r="Q42" s="64" t="str">
        <f t="shared" ca="1" si="2"/>
        <v/>
      </c>
    </row>
    <row r="43" spans="1:17" x14ac:dyDescent="0.3">
      <c r="A43" s="82">
        <v>41</v>
      </c>
      <c r="B43" s="57"/>
      <c r="C43" s="57"/>
      <c r="D43" s="57"/>
      <c r="E43" s="57"/>
      <c r="F43" s="57"/>
      <c r="G43" s="57"/>
      <c r="H43" s="57"/>
      <c r="I43" s="57" t="s">
        <v>75</v>
      </c>
      <c r="J43" s="100"/>
      <c r="K43" s="101"/>
      <c r="L43" s="101"/>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8" t="str">
        <f t="shared" ca="1" si="1"/>
        <v/>
      </c>
      <c r="Q43" s="64" t="str">
        <f t="shared" ca="1" si="2"/>
        <v/>
      </c>
    </row>
    <row r="44" spans="1:17" x14ac:dyDescent="0.3">
      <c r="A44" s="82">
        <v>42</v>
      </c>
      <c r="B44" s="57"/>
      <c r="C44" s="57"/>
      <c r="D44" s="57"/>
      <c r="E44" s="57"/>
      <c r="F44" s="57"/>
      <c r="G44" s="57"/>
      <c r="H44" s="57"/>
      <c r="I44" s="57" t="s">
        <v>75</v>
      </c>
      <c r="J44" s="100"/>
      <c r="K44" s="100"/>
      <c r="L44" s="100"/>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8" t="str">
        <f t="shared" ca="1" si="1"/>
        <v/>
      </c>
      <c r="Q45" s="64" t="str">
        <f t="shared" ca="1" si="2"/>
        <v/>
      </c>
    </row>
    <row r="46" spans="1:17" x14ac:dyDescent="0.3">
      <c r="A46" s="82">
        <v>44</v>
      </c>
      <c r="B46" s="57"/>
      <c r="C46" s="57"/>
      <c r="D46" s="57"/>
      <c r="E46" s="57"/>
      <c r="F46" s="57"/>
      <c r="G46" s="57"/>
      <c r="H46" s="57"/>
      <c r="I46" s="57" t="s">
        <v>75</v>
      </c>
      <c r="J46" s="100"/>
      <c r="K46" s="101"/>
      <c r="L46" s="101"/>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8" t="str">
        <f t="shared" ca="1" si="1"/>
        <v/>
      </c>
      <c r="Q47" s="64" t="str">
        <f t="shared" ca="1" si="2"/>
        <v/>
      </c>
    </row>
    <row r="48" spans="1:17" x14ac:dyDescent="0.3">
      <c r="A48" s="82">
        <v>46</v>
      </c>
      <c r="B48" s="57"/>
      <c r="C48" s="57"/>
      <c r="D48" s="57"/>
      <c r="E48" s="57"/>
      <c r="F48" s="57"/>
      <c r="G48" s="57"/>
      <c r="H48" s="57"/>
      <c r="I48" s="57" t="s">
        <v>75</v>
      </c>
      <c r="J48" s="100"/>
      <c r="K48" s="100"/>
      <c r="L48" s="100"/>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8" t="str">
        <f t="shared" ca="1" si="1"/>
        <v/>
      </c>
      <c r="Q51" s="64" t="str">
        <f t="shared" ca="1" si="2"/>
        <v/>
      </c>
    </row>
    <row r="52" spans="1:17" x14ac:dyDescent="0.3">
      <c r="A52" s="82">
        <v>50</v>
      </c>
      <c r="B52" s="57"/>
      <c r="C52" s="57"/>
      <c r="D52" s="57"/>
      <c r="E52" s="57"/>
      <c r="F52" s="57"/>
      <c r="G52" s="57"/>
      <c r="H52" s="57"/>
      <c r="I52" s="57" t="s">
        <v>75</v>
      </c>
      <c r="J52" s="100"/>
      <c r="K52" s="101"/>
      <c r="L52" s="101"/>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8" t="str">
        <f t="shared" ca="1" si="1"/>
        <v/>
      </c>
      <c r="Q52" s="64" t="str">
        <f t="shared" ca="1" si="2"/>
        <v/>
      </c>
    </row>
    <row r="53" spans="1:17" x14ac:dyDescent="0.3">
      <c r="A53" s="82">
        <v>51</v>
      </c>
      <c r="B53" s="57"/>
      <c r="C53" s="57"/>
      <c r="D53" s="57"/>
      <c r="E53" s="57"/>
      <c r="F53" s="57"/>
      <c r="G53" s="57"/>
      <c r="H53" s="57"/>
      <c r="I53" s="57" t="s">
        <v>75</v>
      </c>
      <c r="J53" s="100"/>
      <c r="K53" s="100"/>
      <c r="L53" s="100"/>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8" t="str">
        <f t="shared" ca="1" si="1"/>
        <v/>
      </c>
      <c r="Q53" s="64" t="str">
        <f t="shared" ca="1" si="2"/>
        <v/>
      </c>
    </row>
    <row r="54" spans="1:17" x14ac:dyDescent="0.3">
      <c r="A54" s="82">
        <v>52</v>
      </c>
      <c r="B54" s="57"/>
      <c r="C54" s="57"/>
      <c r="D54" s="57"/>
      <c r="E54" s="57"/>
      <c r="F54" s="57"/>
      <c r="G54" s="57"/>
      <c r="H54" s="57"/>
      <c r="I54" s="57" t="s">
        <v>75</v>
      </c>
      <c r="J54" s="100"/>
      <c r="K54" s="101"/>
      <c r="L54" s="101"/>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8" t="str">
        <f t="shared" ca="1" si="1"/>
        <v/>
      </c>
      <c r="Q56" s="64" t="str">
        <f t="shared" ca="1" si="2"/>
        <v/>
      </c>
    </row>
    <row r="57" spans="1:17" x14ac:dyDescent="0.3">
      <c r="A57" s="82">
        <v>55</v>
      </c>
      <c r="B57" s="57"/>
      <c r="C57" s="57"/>
      <c r="D57" s="57"/>
      <c r="E57" s="57"/>
      <c r="F57" s="57"/>
      <c r="G57" s="57"/>
      <c r="H57" s="57"/>
      <c r="I57" s="57" t="s">
        <v>75</v>
      </c>
      <c r="J57" s="100"/>
      <c r="K57" s="100"/>
      <c r="L57" s="100"/>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8" t="str">
        <f t="shared" ca="1" si="1"/>
        <v/>
      </c>
      <c r="Q57" s="64" t="str">
        <f t="shared" ca="1" si="2"/>
        <v/>
      </c>
    </row>
    <row r="58" spans="1:17" x14ac:dyDescent="0.3">
      <c r="A58" s="82">
        <v>56</v>
      </c>
      <c r="B58" s="57"/>
      <c r="C58" s="57"/>
      <c r="D58" s="57"/>
      <c r="E58" s="57"/>
      <c r="F58" s="57"/>
      <c r="G58" s="57"/>
      <c r="H58" s="57"/>
      <c r="I58" s="57" t="s">
        <v>75</v>
      </c>
      <c r="J58" s="100"/>
      <c r="K58" s="100"/>
      <c r="L58" s="101"/>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8" t="str">
        <f t="shared" ca="1" si="1"/>
        <v/>
      </c>
      <c r="Q58" s="64" t="str">
        <f t="shared" ca="1" si="2"/>
        <v/>
      </c>
    </row>
    <row r="59" spans="1:17" x14ac:dyDescent="0.3">
      <c r="A59" s="82">
        <v>57</v>
      </c>
      <c r="B59" s="57"/>
      <c r="C59" s="57"/>
      <c r="D59" s="57"/>
      <c r="E59" s="57"/>
      <c r="F59" s="57"/>
      <c r="G59" s="57"/>
      <c r="H59" s="57"/>
      <c r="I59" s="57" t="s">
        <v>75</v>
      </c>
      <c r="J59" s="100"/>
      <c r="K59" s="101"/>
      <c r="L59" s="101"/>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8" t="str">
        <f t="shared" ca="1" si="1"/>
        <v/>
      </c>
      <c r="Q60" s="64" t="str">
        <f t="shared" ca="1" si="2"/>
        <v/>
      </c>
    </row>
    <row r="61" spans="1:17" x14ac:dyDescent="0.3">
      <c r="A61" s="82">
        <v>59</v>
      </c>
      <c r="B61" s="57"/>
      <c r="C61" s="57"/>
      <c r="D61" s="57"/>
      <c r="E61" s="57"/>
      <c r="F61" s="57"/>
      <c r="G61" s="57"/>
      <c r="H61" s="57"/>
      <c r="I61" s="57" t="s">
        <v>75</v>
      </c>
      <c r="J61" s="100"/>
      <c r="K61" s="100"/>
      <c r="L61" s="100"/>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8" t="str">
        <f t="shared" ca="1" si="1"/>
        <v/>
      </c>
      <c r="Q61" s="64" t="str">
        <f t="shared" ca="1" si="2"/>
        <v/>
      </c>
    </row>
    <row r="62" spans="1:17" x14ac:dyDescent="0.3">
      <c r="A62" s="82">
        <v>60</v>
      </c>
      <c r="B62" s="57"/>
      <c r="C62" s="57"/>
      <c r="D62" s="57"/>
      <c r="E62" s="57"/>
      <c r="F62" s="57"/>
      <c r="G62" s="57"/>
      <c r="H62" s="57"/>
      <c r="I62" s="57" t="s">
        <v>75</v>
      </c>
      <c r="J62" s="100"/>
      <c r="K62" s="101"/>
      <c r="L62" s="101"/>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8" t="str">
        <f t="shared" ca="1" si="1"/>
        <v/>
      </c>
      <c r="Q63" s="64" t="str">
        <f t="shared" ca="1" si="2"/>
        <v/>
      </c>
    </row>
    <row r="64" spans="1:17" x14ac:dyDescent="0.3">
      <c r="A64" s="82">
        <v>62</v>
      </c>
      <c r="B64" s="57"/>
      <c r="C64" s="57"/>
      <c r="D64" s="57"/>
      <c r="E64" s="57"/>
      <c r="F64" s="57"/>
      <c r="G64" s="57"/>
      <c r="H64" s="57"/>
      <c r="I64" s="57" t="s">
        <v>75</v>
      </c>
      <c r="J64" s="100"/>
      <c r="K64" s="100"/>
      <c r="L64" s="100"/>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8" t="str">
        <f t="shared" ca="1" si="1"/>
        <v/>
      </c>
      <c r="Q64" s="64" t="str">
        <f t="shared" ca="1" si="2"/>
        <v/>
      </c>
    </row>
    <row r="65" spans="1:17" x14ac:dyDescent="0.3">
      <c r="A65" s="82">
        <v>63</v>
      </c>
      <c r="B65" s="57"/>
      <c r="C65" s="57"/>
      <c r="D65" s="57"/>
      <c r="E65" s="57"/>
      <c r="F65" s="57"/>
      <c r="G65" s="57"/>
      <c r="H65" s="57"/>
      <c r="I65" s="57" t="s">
        <v>75</v>
      </c>
      <c r="J65" s="100"/>
      <c r="K65" s="101"/>
      <c r="L65" s="101"/>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8" t="str">
        <f t="shared" ca="1" si="1"/>
        <v/>
      </c>
      <c r="Q65" s="64" t="str">
        <f t="shared" ca="1" si="2"/>
        <v/>
      </c>
    </row>
    <row r="66" spans="1:17" x14ac:dyDescent="0.3">
      <c r="A66" s="82">
        <v>64</v>
      </c>
      <c r="B66" s="57"/>
      <c r="C66" s="57"/>
      <c r="D66" s="57"/>
      <c r="E66" s="57"/>
      <c r="F66" s="57"/>
      <c r="G66" s="57"/>
      <c r="H66" s="57"/>
      <c r="I66" s="57" t="s">
        <v>75</v>
      </c>
      <c r="J66" s="100"/>
      <c r="K66" s="100"/>
      <c r="L66" s="100"/>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8" t="str">
        <f t="shared" ca="1" si="1"/>
        <v/>
      </c>
      <c r="Q66" s="64" t="str">
        <f t="shared" ca="1" si="2"/>
        <v/>
      </c>
    </row>
    <row r="67" spans="1:17" x14ac:dyDescent="0.3">
      <c r="A67" s="82">
        <v>65</v>
      </c>
      <c r="B67" s="57"/>
      <c r="C67" s="57"/>
      <c r="D67" s="57"/>
      <c r="E67" s="57"/>
      <c r="F67" s="57"/>
      <c r="G67" s="57"/>
      <c r="H67" s="57"/>
      <c r="I67" s="57" t="s">
        <v>75</v>
      </c>
      <c r="J67" s="100"/>
      <c r="K67" s="101"/>
      <c r="L67" s="101"/>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8" t="str">
        <f t="shared" ref="P67:P130" ca="1" si="3">IF(O67="","",LEFT(O67,10)*(-1))</f>
        <v/>
      </c>
      <c r="Q67" s="64" t="str">
        <f t="shared" ca="1" si="2"/>
        <v/>
      </c>
    </row>
    <row r="68" spans="1:17" x14ac:dyDescent="0.3">
      <c r="A68" s="82">
        <v>66</v>
      </c>
      <c r="B68" s="57"/>
      <c r="C68" s="57"/>
      <c r="D68" s="57"/>
      <c r="E68" s="57"/>
      <c r="F68" s="57"/>
      <c r="G68" s="57"/>
      <c r="H68" s="57"/>
      <c r="I68" s="57" t="s">
        <v>75</v>
      </c>
      <c r="J68" s="100"/>
      <c r="K68" s="100"/>
      <c r="L68" s="100"/>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8" t="str">
        <f t="shared" ca="1" si="3"/>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8" t="str">
        <f t="shared" ca="1" si="3"/>
        <v/>
      </c>
      <c r="Q70" s="64" t="str">
        <f t="shared" ca="1" si="2"/>
        <v/>
      </c>
    </row>
    <row r="71" spans="1:17" x14ac:dyDescent="0.3">
      <c r="A71" s="82">
        <v>69</v>
      </c>
      <c r="B71" s="57"/>
      <c r="C71" s="57"/>
      <c r="D71" s="57"/>
      <c r="E71" s="57"/>
      <c r="F71" s="57"/>
      <c r="G71" s="57"/>
      <c r="H71" s="57"/>
      <c r="I71" s="57" t="s">
        <v>75</v>
      </c>
      <c r="J71" s="100"/>
      <c r="K71" s="101"/>
      <c r="L71" s="101"/>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8" t="str">
        <f t="shared" ca="1" si="3"/>
        <v/>
      </c>
      <c r="Q72" s="64" t="str">
        <f t="shared" ca="1" si="2"/>
        <v/>
      </c>
    </row>
    <row r="73" spans="1:17" x14ac:dyDescent="0.3">
      <c r="A73" s="82">
        <v>71</v>
      </c>
      <c r="B73" s="57"/>
      <c r="C73" s="57"/>
      <c r="D73" s="57"/>
      <c r="E73" s="57"/>
      <c r="F73" s="57"/>
      <c r="G73" s="57"/>
      <c r="H73" s="57"/>
      <c r="I73" s="57" t="s">
        <v>75</v>
      </c>
      <c r="J73" s="100"/>
      <c r="K73" s="100"/>
      <c r="L73" s="100"/>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8" t="str">
        <f t="shared" ca="1" si="3"/>
        <v/>
      </c>
      <c r="Q73" s="64" t="str">
        <f t="shared" ca="1" si="2"/>
        <v/>
      </c>
    </row>
    <row r="74" spans="1:17" x14ac:dyDescent="0.3">
      <c r="A74" s="82">
        <v>72</v>
      </c>
      <c r="B74" s="57"/>
      <c r="C74" s="57"/>
      <c r="D74" s="57"/>
      <c r="E74" s="57"/>
      <c r="F74" s="57"/>
      <c r="G74" s="57"/>
      <c r="H74" s="57"/>
      <c r="I74" s="57" t="s">
        <v>75</v>
      </c>
      <c r="J74" s="100"/>
      <c r="K74" s="101"/>
      <c r="L74" s="101"/>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8" t="str">
        <f t="shared" ca="1" si="3"/>
        <v/>
      </c>
      <c r="Q75" s="64" t="str">
        <f t="shared" ca="1" si="2"/>
        <v/>
      </c>
    </row>
    <row r="76" spans="1:17" x14ac:dyDescent="0.3">
      <c r="A76" s="82">
        <v>74</v>
      </c>
      <c r="B76" s="57"/>
      <c r="C76" s="57"/>
      <c r="D76" s="57"/>
      <c r="E76" s="57"/>
      <c r="F76" s="57"/>
      <c r="G76" s="57"/>
      <c r="H76" s="57"/>
      <c r="I76" s="57" t="s">
        <v>75</v>
      </c>
      <c r="J76" s="100"/>
      <c r="K76" s="100"/>
      <c r="L76" s="101"/>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8" t="str">
        <f t="shared" ca="1" si="3"/>
        <v/>
      </c>
      <c r="Q76" s="64" t="str">
        <f t="shared" ca="1" si="2"/>
        <v/>
      </c>
    </row>
    <row r="77" spans="1:17" x14ac:dyDescent="0.3">
      <c r="A77" s="82">
        <v>75</v>
      </c>
      <c r="B77" s="57"/>
      <c r="C77" s="57"/>
      <c r="D77" s="57"/>
      <c r="E77" s="57"/>
      <c r="F77" s="57"/>
      <c r="G77" s="57"/>
      <c r="H77" s="57"/>
      <c r="I77" s="57" t="s">
        <v>75</v>
      </c>
      <c r="J77" s="100"/>
      <c r="K77" s="100"/>
      <c r="L77" s="100"/>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8" t="str">
        <f t="shared" ca="1" si="3"/>
        <v/>
      </c>
      <c r="Q79" s="64" t="str">
        <f t="shared" ca="1" si="2"/>
        <v/>
      </c>
    </row>
    <row r="80" spans="1:17" x14ac:dyDescent="0.3">
      <c r="A80" s="82">
        <v>78</v>
      </c>
      <c r="B80" s="57"/>
      <c r="C80" s="57"/>
      <c r="D80" s="57"/>
      <c r="E80" s="57"/>
      <c r="F80" s="57"/>
      <c r="G80" s="57"/>
      <c r="H80" s="57"/>
      <c r="I80" s="57" t="s">
        <v>75</v>
      </c>
      <c r="J80" s="100"/>
      <c r="K80" s="100"/>
      <c r="L80" s="101"/>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8" t="str">
        <f t="shared" ca="1" si="3"/>
        <v/>
      </c>
      <c r="Q80" s="64" t="str">
        <f t="shared" ca="1" si="2"/>
        <v/>
      </c>
    </row>
    <row r="81" spans="1:17" x14ac:dyDescent="0.3">
      <c r="A81" s="82">
        <v>79</v>
      </c>
      <c r="B81" s="57"/>
      <c r="C81" s="57"/>
      <c r="D81" s="57"/>
      <c r="E81" s="57"/>
      <c r="F81" s="57"/>
      <c r="G81" s="57"/>
      <c r="H81" s="57"/>
      <c r="I81" s="57" t="s">
        <v>75</v>
      </c>
      <c r="J81" s="100"/>
      <c r="K81" s="100"/>
      <c r="L81" s="100"/>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8" t="str">
        <f t="shared" ca="1" si="3"/>
        <v/>
      </c>
      <c r="Q81" s="64" t="str">
        <f t="shared" ca="1" si="2"/>
        <v/>
      </c>
    </row>
    <row r="82" spans="1:17" x14ac:dyDescent="0.3">
      <c r="A82" s="82">
        <v>80</v>
      </c>
      <c r="B82" s="57"/>
      <c r="C82" s="57"/>
      <c r="D82" s="57"/>
      <c r="E82" s="57"/>
      <c r="F82" s="57"/>
      <c r="G82" s="57"/>
      <c r="H82" s="57"/>
      <c r="I82" s="57" t="s">
        <v>75</v>
      </c>
      <c r="J82" s="100"/>
      <c r="K82" s="101"/>
      <c r="L82" s="101"/>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8"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8" t="str">
        <f t="shared" ca="1" si="3"/>
        <v/>
      </c>
      <c r="Q86" s="64" t="str">
        <f t="shared" ca="1" si="4"/>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8" t="str">
        <f t="shared" ca="1" si="3"/>
        <v/>
      </c>
      <c r="Q94" s="64" t="str">
        <f t="shared" ca="1" si="4"/>
        <v/>
      </c>
    </row>
    <row r="95" spans="1:17" x14ac:dyDescent="0.3">
      <c r="A95" s="82">
        <v>93</v>
      </c>
      <c r="I95" s="57" t="s">
        <v>75</v>
      </c>
      <c r="J95" s="113"/>
      <c r="K95" s="113"/>
      <c r="L95" s="113"/>
      <c r="P95" s="88" t="str">
        <f t="shared" si="3"/>
        <v/>
      </c>
      <c r="Q95" s="64" t="str">
        <f t="shared"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ref="P131:P189" si="5">IF(O131="","",LEFT(O131,10)*(-1))</f>
        <v/>
      </c>
      <c r="Q131" s="64" t="str">
        <f t="shared" si="4"/>
        <v/>
      </c>
    </row>
    <row r="132" spans="1:17" x14ac:dyDescent="0.3">
      <c r="A132" s="82">
        <v>130</v>
      </c>
      <c r="I132" s="57" t="s">
        <v>75</v>
      </c>
      <c r="J132" s="113"/>
      <c r="K132" s="113"/>
      <c r="L132" s="113"/>
      <c r="P132" s="88" t="str">
        <f t="shared" si="5"/>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ref="Q149:Q189" si="6">IF(P149="","",
IF(P149&lt;=0,"Not Due",
IF(P149&lt;=30,"1-30 Days",
IF(P149&lt;=60,"31-60 Days",
"&gt;60 Days"))))</f>
        <v/>
      </c>
    </row>
    <row r="150" spans="1:17" x14ac:dyDescent="0.3">
      <c r="A150" s="82">
        <v>148</v>
      </c>
      <c r="I150" s="57" t="s">
        <v>75</v>
      </c>
      <c r="J150" s="113"/>
      <c r="K150" s="113"/>
      <c r="L150" s="113"/>
      <c r="P150" s="88" t="str">
        <f t="shared" si="5"/>
        <v/>
      </c>
      <c r="Q150" s="64" t="str">
        <f t="shared" si="6"/>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H12" zoomScale="80" zoomScaleNormal="80" workbookViewId="0">
      <selection activeCell="V4" sqref="V4"/>
    </sheetView>
  </sheetViews>
  <sheetFormatPr defaultColWidth="15.5" defaultRowHeight="15.6" x14ac:dyDescent="0.3"/>
  <cols>
    <col min="1" max="2" width="15.5" style="87"/>
    <col min="3" max="3" width="11.59765625" style="87" customWidth="1"/>
    <col min="4" max="4" width="15.5" style="87"/>
    <col min="5" max="5" width="9.09765625" style="87" customWidth="1"/>
    <col min="6" max="6" width="15.5" style="87"/>
    <col min="7" max="7" width="30.796875" style="87" customWidth="1"/>
    <col min="8" max="15" width="15.5" style="87"/>
    <col min="16" max="17" width="15.5" style="64"/>
    <col min="19" max="22" width="15.3984375" customWidth="1"/>
  </cols>
  <sheetData>
    <row r="1" spans="1:22" x14ac:dyDescent="0.3">
      <c r="A1" s="45" t="s">
        <v>48</v>
      </c>
      <c r="B1" s="46" t="s">
        <v>49</v>
      </c>
      <c r="C1" s="46">
        <f>T7</f>
        <v>25</v>
      </c>
      <c r="D1" s="47" t="s">
        <v>50</v>
      </c>
      <c r="E1" s="48">
        <f>SUM(T3:T4)</f>
        <v>9</v>
      </c>
      <c r="F1" s="49" t="s">
        <v>51</v>
      </c>
      <c r="G1" s="99">
        <f>SUM(T5:T6)</f>
        <v>16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82">
        <v>1</v>
      </c>
      <c r="B3" s="82" t="s">
        <v>1136</v>
      </c>
      <c r="C3" s="82" t="s">
        <v>70</v>
      </c>
      <c r="D3" s="82" t="s">
        <v>104</v>
      </c>
      <c r="E3" s="82" t="s">
        <v>360</v>
      </c>
      <c r="F3" s="82" t="s">
        <v>1137</v>
      </c>
      <c r="G3" s="82" t="s">
        <v>1138</v>
      </c>
      <c r="H3" s="82" t="s">
        <v>74</v>
      </c>
      <c r="I3" s="57" t="s">
        <v>75</v>
      </c>
      <c r="J3" s="110">
        <v>46043.669444444444</v>
      </c>
      <c r="K3" s="110">
        <v>46077.659722222219</v>
      </c>
      <c r="L3" s="110">
        <v>46077.660416666666</v>
      </c>
      <c r="M3" s="82"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COUNTIF(M3:M299, "Pending")</f>
        <v>7</v>
      </c>
    </row>
    <row r="4" spans="1:22" ht="55.2" x14ac:dyDescent="0.3">
      <c r="A4" s="82">
        <v>2</v>
      </c>
      <c r="B4" s="82" t="s">
        <v>1139</v>
      </c>
      <c r="C4" s="82" t="s">
        <v>70</v>
      </c>
      <c r="D4" s="82" t="s">
        <v>104</v>
      </c>
      <c r="E4" s="82" t="s">
        <v>360</v>
      </c>
      <c r="F4" s="82" t="s">
        <v>1140</v>
      </c>
      <c r="G4" s="82" t="s">
        <v>1141</v>
      </c>
      <c r="H4" s="82" t="s">
        <v>74</v>
      </c>
      <c r="I4" s="57" t="s">
        <v>75</v>
      </c>
      <c r="J4" s="110">
        <v>46044.459027777775</v>
      </c>
      <c r="K4" s="110">
        <v>46076.642361111109</v>
      </c>
      <c r="L4" s="110">
        <v>46076.642361111109</v>
      </c>
      <c r="M4" s="82"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1">IF(O4="","",LEFT(O4,10)*(-1))</f>
        <v/>
      </c>
      <c r="Q4" s="64" t="str">
        <f t="shared" ca="1" si="0"/>
        <v/>
      </c>
      <c r="S4" s="63" t="s">
        <v>80</v>
      </c>
      <c r="T4" s="64">
        <f>COUNTIF(M3:M299, "InProgress")</f>
        <v>2</v>
      </c>
    </row>
    <row r="5" spans="1:22" ht="27.6" x14ac:dyDescent="0.3">
      <c r="A5" s="82">
        <v>3</v>
      </c>
      <c r="B5" s="82" t="s">
        <v>1142</v>
      </c>
      <c r="C5" s="82" t="s">
        <v>70</v>
      </c>
      <c r="D5" s="82" t="s">
        <v>104</v>
      </c>
      <c r="E5" s="82" t="s">
        <v>360</v>
      </c>
      <c r="F5" s="82" t="s">
        <v>1143</v>
      </c>
      <c r="G5" s="82" t="s">
        <v>1144</v>
      </c>
      <c r="H5" s="82" t="s">
        <v>74</v>
      </c>
      <c r="I5" s="57" t="s">
        <v>75</v>
      </c>
      <c r="J5" s="110">
        <v>46051.418055555558</v>
      </c>
      <c r="K5" s="110">
        <v>46077.669444444444</v>
      </c>
      <c r="L5" s="110">
        <v>46085.416666666664</v>
      </c>
      <c r="M5" s="82"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1"/>
        <v/>
      </c>
      <c r="Q5" s="64" t="str">
        <f t="shared" ca="1" si="0"/>
        <v/>
      </c>
      <c r="S5" s="65" t="s">
        <v>85</v>
      </c>
      <c r="T5" s="64">
        <f>COUNTIF(M3:M299, "Completed")</f>
        <v>6</v>
      </c>
    </row>
    <row r="6" spans="1:22" ht="96.6" x14ac:dyDescent="0.3">
      <c r="A6" s="82">
        <v>4</v>
      </c>
      <c r="B6" s="82" t="s">
        <v>1145</v>
      </c>
      <c r="C6" s="82" t="s">
        <v>70</v>
      </c>
      <c r="D6" s="82" t="s">
        <v>104</v>
      </c>
      <c r="E6" s="82" t="s">
        <v>360</v>
      </c>
      <c r="F6" s="82" t="s">
        <v>1146</v>
      </c>
      <c r="G6" s="82" t="s">
        <v>1147</v>
      </c>
      <c r="H6" s="82" t="s">
        <v>74</v>
      </c>
      <c r="I6" s="57" t="s">
        <v>75</v>
      </c>
      <c r="J6" s="110">
        <v>46052.451388888891</v>
      </c>
      <c r="K6" s="110">
        <v>46077.586111111108</v>
      </c>
      <c r="L6" s="110">
        <v>46085.415972222225</v>
      </c>
      <c r="M6" s="82"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1"/>
        <v/>
      </c>
      <c r="Q6" s="64" t="str">
        <f t="shared" ca="1" si="0"/>
        <v/>
      </c>
      <c r="S6" s="65" t="s">
        <v>76</v>
      </c>
      <c r="T6" s="64">
        <f>COUNTIF(M3:M299, "Closed")</f>
        <v>10</v>
      </c>
    </row>
    <row r="7" spans="1:22" ht="82.8" x14ac:dyDescent="0.3">
      <c r="A7" s="82">
        <v>5</v>
      </c>
      <c r="B7" s="82" t="s">
        <v>1148</v>
      </c>
      <c r="C7" s="82" t="s">
        <v>70</v>
      </c>
      <c r="D7" s="82" t="s">
        <v>104</v>
      </c>
      <c r="E7" s="82" t="s">
        <v>360</v>
      </c>
      <c r="F7" s="82" t="s">
        <v>1149</v>
      </c>
      <c r="G7" s="82" t="s">
        <v>1150</v>
      </c>
      <c r="H7" s="82" t="s">
        <v>74</v>
      </c>
      <c r="I7" s="57" t="s">
        <v>75</v>
      </c>
      <c r="J7" s="110">
        <v>46058.652777777781</v>
      </c>
      <c r="K7" s="110">
        <v>46077.527777777781</v>
      </c>
      <c r="L7" s="110">
        <v>46085.443055555559</v>
      </c>
      <c r="M7" s="82"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1"/>
        <v/>
      </c>
      <c r="Q7" s="64" t="str">
        <f t="shared" ca="1" si="0"/>
        <v/>
      </c>
      <c r="S7" s="76" t="s">
        <v>49</v>
      </c>
      <c r="T7" s="64">
        <f>SUM(T3:T6)</f>
        <v>25</v>
      </c>
    </row>
    <row r="8" spans="1:22" ht="55.2" x14ac:dyDescent="0.3">
      <c r="A8" s="82">
        <v>6</v>
      </c>
      <c r="B8" s="82" t="s">
        <v>1151</v>
      </c>
      <c r="C8" s="82" t="s">
        <v>70</v>
      </c>
      <c r="D8" s="82" t="s">
        <v>1010</v>
      </c>
      <c r="E8" s="82" t="s">
        <v>360</v>
      </c>
      <c r="F8" s="82" t="s">
        <v>1152</v>
      </c>
      <c r="G8" s="82" t="s">
        <v>1153</v>
      </c>
      <c r="H8" s="82" t="s">
        <v>74</v>
      </c>
      <c r="I8" s="57" t="s">
        <v>75</v>
      </c>
      <c r="J8" s="110">
        <v>46073.710416666669</v>
      </c>
      <c r="K8" s="110">
        <v>46076.415277777778</v>
      </c>
      <c r="L8" s="110">
        <v>46076.436111111114</v>
      </c>
      <c r="M8" s="82"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1"/>
        <v/>
      </c>
      <c r="Q8" s="64" t="str">
        <f t="shared" ca="1" si="0"/>
        <v/>
      </c>
      <c r="S8" s="238" t="s">
        <v>66</v>
      </c>
      <c r="T8" s="90" t="s">
        <v>94</v>
      </c>
      <c r="U8" s="90" t="s">
        <v>95</v>
      </c>
      <c r="V8" s="90" t="s">
        <v>96</v>
      </c>
    </row>
    <row r="9" spans="1:22" ht="55.2" x14ac:dyDescent="0.3">
      <c r="A9" s="82">
        <v>7</v>
      </c>
      <c r="B9" s="82" t="s">
        <v>1154</v>
      </c>
      <c r="C9" s="82" t="s">
        <v>70</v>
      </c>
      <c r="D9" s="82" t="s">
        <v>199</v>
      </c>
      <c r="E9" s="82" t="s">
        <v>360</v>
      </c>
      <c r="F9" s="82" t="s">
        <v>1155</v>
      </c>
      <c r="G9" s="82" t="s">
        <v>1156</v>
      </c>
      <c r="H9" s="82" t="s">
        <v>74</v>
      </c>
      <c r="I9" s="57" t="s">
        <v>75</v>
      </c>
      <c r="J9" s="110">
        <v>46076.501388888886</v>
      </c>
      <c r="K9" s="110">
        <v>46076.538888888892</v>
      </c>
      <c r="L9" s="110">
        <v>46086.410416666666</v>
      </c>
      <c r="M9" s="82"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1"/>
        <v/>
      </c>
      <c r="Q9" s="64" t="str">
        <f t="shared" ca="1" si="0"/>
        <v/>
      </c>
      <c r="S9" s="238"/>
      <c r="T9" s="70">
        <f ca="1">COUNTIFS(P3:P277,"&gt;=1",P3:P277,"&lt;=30")</f>
        <v>5</v>
      </c>
      <c r="U9" s="70">
        <f ca="1">COUNTIFS(P3:P277,"&gt;=31",P3:P277,"&lt;=60")</f>
        <v>2</v>
      </c>
      <c r="V9" s="70">
        <f ca="1">COUNTIFS(P3:P277,"&gt;60")</f>
        <v>2</v>
      </c>
    </row>
    <row r="10" spans="1:22" ht="55.2" x14ac:dyDescent="0.3">
      <c r="A10" s="82">
        <v>8</v>
      </c>
      <c r="B10" s="82" t="s">
        <v>1157</v>
      </c>
      <c r="C10" s="82" t="s">
        <v>70</v>
      </c>
      <c r="D10" s="82" t="s">
        <v>199</v>
      </c>
      <c r="E10" s="82" t="s">
        <v>360</v>
      </c>
      <c r="F10" s="82" t="s">
        <v>1158</v>
      </c>
      <c r="G10" s="82" t="s">
        <v>1159</v>
      </c>
      <c r="H10" s="82" t="s">
        <v>74</v>
      </c>
      <c r="I10" s="57" t="s">
        <v>75</v>
      </c>
      <c r="J10" s="110">
        <v>46077.714583333334</v>
      </c>
      <c r="K10" s="110">
        <v>46096.481249999997</v>
      </c>
      <c r="L10" s="110">
        <v>46159.84652777778</v>
      </c>
      <c r="M10" s="82"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1"/>
        <v/>
      </c>
      <c r="Q10" s="64" t="str">
        <f t="shared" ca="1" si="0"/>
        <v/>
      </c>
    </row>
    <row r="11" spans="1:22" ht="55.2" x14ac:dyDescent="0.3">
      <c r="A11" s="82">
        <v>9</v>
      </c>
      <c r="B11" s="82" t="s">
        <v>1160</v>
      </c>
      <c r="C11" s="82" t="s">
        <v>70</v>
      </c>
      <c r="D11" s="82" t="s">
        <v>104</v>
      </c>
      <c r="E11" s="82" t="s">
        <v>360</v>
      </c>
      <c r="F11" s="82" t="s">
        <v>1161</v>
      </c>
      <c r="G11" s="82" t="s">
        <v>1161</v>
      </c>
      <c r="H11" s="82" t="s">
        <v>74</v>
      </c>
      <c r="I11" s="57" t="s">
        <v>75</v>
      </c>
      <c r="J11" s="110">
        <v>46078.435416666667</v>
      </c>
      <c r="K11" s="111"/>
      <c r="L11" s="111"/>
      <c r="M11" s="82"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-96</v>
      </c>
      <c r="P11" s="88">
        <f t="shared" ca="1" si="1"/>
        <v>96</v>
      </c>
      <c r="Q11" s="64" t="str">
        <f t="shared" ca="1" si="0"/>
        <v>&gt;60 Days</v>
      </c>
    </row>
    <row r="12" spans="1:22" ht="41.4" x14ac:dyDescent="0.3">
      <c r="A12" s="82">
        <v>10</v>
      </c>
      <c r="B12" s="82" t="s">
        <v>1162</v>
      </c>
      <c r="C12" s="82" t="s">
        <v>70</v>
      </c>
      <c r="D12" s="82" t="s">
        <v>104</v>
      </c>
      <c r="E12" s="82" t="s">
        <v>360</v>
      </c>
      <c r="F12" s="82" t="s">
        <v>1163</v>
      </c>
      <c r="G12" s="82" t="s">
        <v>1164</v>
      </c>
      <c r="H12" s="82" t="s">
        <v>74</v>
      </c>
      <c r="I12" s="57" t="s">
        <v>75</v>
      </c>
      <c r="J12" s="110">
        <v>46080.619444444441</v>
      </c>
      <c r="K12" s="110">
        <v>46090.48333333333</v>
      </c>
      <c r="L12" s="110">
        <v>46090.48333333333</v>
      </c>
      <c r="M12" s="82"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1"/>
        <v/>
      </c>
      <c r="Q12" s="64" t="str">
        <f t="shared" ca="1" si="0"/>
        <v/>
      </c>
    </row>
    <row r="13" spans="1:22" ht="82.8" x14ac:dyDescent="0.3">
      <c r="A13" s="82">
        <v>11</v>
      </c>
      <c r="B13" s="82" t="s">
        <v>1165</v>
      </c>
      <c r="C13" s="82" t="s">
        <v>70</v>
      </c>
      <c r="D13" s="82" t="s">
        <v>104</v>
      </c>
      <c r="E13" s="82" t="s">
        <v>360</v>
      </c>
      <c r="F13" s="82" t="s">
        <v>1166</v>
      </c>
      <c r="G13" s="82" t="s">
        <v>1167</v>
      </c>
      <c r="H13" s="82" t="s">
        <v>74</v>
      </c>
      <c r="I13" s="57" t="s">
        <v>75</v>
      </c>
      <c r="J13" s="110">
        <v>46098.636805555558</v>
      </c>
      <c r="K13" s="110">
        <v>46147.493750000001</v>
      </c>
      <c r="L13" s="110">
        <v>46159.878472222219</v>
      </c>
      <c r="M13" s="82"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1"/>
        <v/>
      </c>
      <c r="Q13" s="64" t="str">
        <f t="shared" ca="1" si="0"/>
        <v/>
      </c>
    </row>
    <row r="14" spans="1:22" ht="82.8" x14ac:dyDescent="0.3">
      <c r="A14" s="82">
        <v>12</v>
      </c>
      <c r="B14" s="82" t="s">
        <v>1168</v>
      </c>
      <c r="C14" s="84"/>
      <c r="D14" s="82" t="s">
        <v>1010</v>
      </c>
      <c r="E14" s="82" t="s">
        <v>360</v>
      </c>
      <c r="F14" s="82" t="s">
        <v>1169</v>
      </c>
      <c r="G14" s="82" t="s">
        <v>1170</v>
      </c>
      <c r="H14" s="82" t="s">
        <v>74</v>
      </c>
      <c r="I14" s="57" t="s">
        <v>75</v>
      </c>
      <c r="J14" s="110">
        <v>46121.619444444441</v>
      </c>
      <c r="K14" s="111"/>
      <c r="L14" s="111"/>
      <c r="M14" s="82"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-67</v>
      </c>
      <c r="P14" s="88">
        <f t="shared" ca="1" si="1"/>
        <v>67</v>
      </c>
      <c r="Q14" s="64" t="str">
        <f t="shared" ca="1" si="0"/>
        <v>&gt;60 Days</v>
      </c>
    </row>
    <row r="15" spans="1:22" ht="41.4" x14ac:dyDescent="0.3">
      <c r="A15" s="82">
        <v>13</v>
      </c>
      <c r="B15" s="82" t="s">
        <v>1171</v>
      </c>
      <c r="C15" s="82" t="s">
        <v>70</v>
      </c>
      <c r="D15" s="82" t="s">
        <v>104</v>
      </c>
      <c r="E15" s="82" t="s">
        <v>360</v>
      </c>
      <c r="F15" s="82" t="s">
        <v>1172</v>
      </c>
      <c r="G15" s="82" t="s">
        <v>1173</v>
      </c>
      <c r="H15" s="82" t="s">
        <v>74</v>
      </c>
      <c r="I15" s="57" t="s">
        <v>75</v>
      </c>
      <c r="J15" s="110">
        <v>46146.601388888892</v>
      </c>
      <c r="K15" s="111"/>
      <c r="L15" s="111"/>
      <c r="M15" s="82"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-50</v>
      </c>
      <c r="P15" s="88">
        <f t="shared" ca="1" si="1"/>
        <v>50</v>
      </c>
      <c r="Q15" s="64" t="str">
        <f t="shared" ca="1" si="0"/>
        <v>31-60 Days</v>
      </c>
    </row>
    <row r="16" spans="1:22" ht="69" x14ac:dyDescent="0.3">
      <c r="A16" s="82">
        <v>14</v>
      </c>
      <c r="B16" s="82" t="s">
        <v>1174</v>
      </c>
      <c r="C16" s="82" t="s">
        <v>70</v>
      </c>
      <c r="D16" s="82" t="s">
        <v>1010</v>
      </c>
      <c r="E16" s="82" t="s">
        <v>360</v>
      </c>
      <c r="F16" s="82" t="s">
        <v>1175</v>
      </c>
      <c r="G16" s="82" t="s">
        <v>1176</v>
      </c>
      <c r="H16" s="82" t="s">
        <v>74</v>
      </c>
      <c r="I16" s="57" t="s">
        <v>75</v>
      </c>
      <c r="J16" s="110">
        <v>46156.413194444445</v>
      </c>
      <c r="K16" s="110">
        <v>46156.506249999999</v>
      </c>
      <c r="L16" s="111"/>
      <c r="M16" s="82"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1"/>
        <v/>
      </c>
      <c r="Q16" s="64" t="str">
        <f t="shared" ca="1" si="0"/>
        <v/>
      </c>
    </row>
    <row r="17" spans="1:17" ht="55.2" x14ac:dyDescent="0.3">
      <c r="A17" s="82">
        <v>15</v>
      </c>
      <c r="B17" s="82" t="s">
        <v>1177</v>
      </c>
      <c r="C17" s="82" t="s">
        <v>70</v>
      </c>
      <c r="D17" s="82" t="s">
        <v>1010</v>
      </c>
      <c r="E17" s="82" t="s">
        <v>360</v>
      </c>
      <c r="F17" s="82" t="s">
        <v>1178</v>
      </c>
      <c r="G17" s="82" t="s">
        <v>1179</v>
      </c>
      <c r="H17" s="82" t="s">
        <v>74</v>
      </c>
      <c r="I17" s="57" t="s">
        <v>75</v>
      </c>
      <c r="J17" s="110">
        <v>46157.510416666664</v>
      </c>
      <c r="K17" s="110">
        <v>46184.537499999999</v>
      </c>
      <c r="L17" s="111"/>
      <c r="M17" s="82" t="s">
        <v>85</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1"/>
        <v/>
      </c>
      <c r="Q17" s="64" t="str">
        <f t="shared" ca="1" si="0"/>
        <v/>
      </c>
    </row>
    <row r="18" spans="1:17" ht="69" x14ac:dyDescent="0.3">
      <c r="A18" s="82">
        <v>16</v>
      </c>
      <c r="B18" s="82" t="s">
        <v>1180</v>
      </c>
      <c r="C18" s="84"/>
      <c r="D18" s="82" t="s">
        <v>1010</v>
      </c>
      <c r="E18" s="82" t="s">
        <v>360</v>
      </c>
      <c r="F18" s="82" t="s">
        <v>1181</v>
      </c>
      <c r="G18" s="82" t="s">
        <v>1182</v>
      </c>
      <c r="H18" s="82" t="s">
        <v>74</v>
      </c>
      <c r="I18" s="57" t="s">
        <v>75</v>
      </c>
      <c r="J18" s="110">
        <v>46167.382638888892</v>
      </c>
      <c r="K18" s="111"/>
      <c r="L18" s="111"/>
      <c r="M18" s="82"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-35</v>
      </c>
      <c r="P18" s="88">
        <f t="shared" ca="1" si="1"/>
        <v>35</v>
      </c>
      <c r="Q18" s="64" t="str">
        <f t="shared" ca="1" si="0"/>
        <v>31-60 Days</v>
      </c>
    </row>
    <row r="19" spans="1:17" ht="41.4" x14ac:dyDescent="0.3">
      <c r="A19" s="82">
        <v>17</v>
      </c>
      <c r="B19" s="82" t="s">
        <v>1183</v>
      </c>
      <c r="C19" s="82" t="s">
        <v>70</v>
      </c>
      <c r="D19" s="82" t="s">
        <v>1010</v>
      </c>
      <c r="E19" s="82" t="s">
        <v>360</v>
      </c>
      <c r="F19" s="82" t="s">
        <v>1184</v>
      </c>
      <c r="G19" s="82" t="s">
        <v>1185</v>
      </c>
      <c r="H19" s="82" t="s">
        <v>74</v>
      </c>
      <c r="I19" s="57" t="s">
        <v>75</v>
      </c>
      <c r="J19" s="110">
        <v>46168.426388888889</v>
      </c>
      <c r="K19" s="110">
        <v>46177.44027777778</v>
      </c>
      <c r="L19" s="111"/>
      <c r="M19" s="82" t="s">
        <v>85</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1"/>
        <v/>
      </c>
      <c r="Q19" s="64" t="str">
        <f t="shared" ca="1" si="0"/>
        <v/>
      </c>
    </row>
    <row r="20" spans="1:17" ht="207" x14ac:dyDescent="0.3">
      <c r="A20" s="82">
        <v>18</v>
      </c>
      <c r="B20" s="82" t="s">
        <v>1186</v>
      </c>
      <c r="C20" s="82" t="s">
        <v>70</v>
      </c>
      <c r="D20" s="82" t="s">
        <v>1010</v>
      </c>
      <c r="E20" s="82" t="s">
        <v>360</v>
      </c>
      <c r="F20" s="82" t="s">
        <v>1187</v>
      </c>
      <c r="G20" s="82" t="s">
        <v>1188</v>
      </c>
      <c r="H20" s="82" t="s">
        <v>74</v>
      </c>
      <c r="I20" s="57" t="s">
        <v>75</v>
      </c>
      <c r="J20" s="110">
        <v>46178.544444444444</v>
      </c>
      <c r="K20" s="110">
        <v>46178.635416666664</v>
      </c>
      <c r="L20" s="111"/>
      <c r="M20" s="82" t="s">
        <v>85</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1"/>
        <v/>
      </c>
      <c r="Q20" s="64" t="str">
        <f t="shared" ca="1" si="0"/>
        <v/>
      </c>
    </row>
    <row r="21" spans="1:17" ht="193.2" x14ac:dyDescent="0.3">
      <c r="A21" s="82">
        <v>19</v>
      </c>
      <c r="B21" s="82" t="s">
        <v>1189</v>
      </c>
      <c r="C21" s="82" t="s">
        <v>70</v>
      </c>
      <c r="D21" s="82" t="s">
        <v>1010</v>
      </c>
      <c r="E21" s="82" t="s">
        <v>360</v>
      </c>
      <c r="F21" s="82" t="s">
        <v>1190</v>
      </c>
      <c r="G21" s="82" t="s">
        <v>1191</v>
      </c>
      <c r="H21" s="82" t="s">
        <v>74</v>
      </c>
      <c r="I21" s="57" t="s">
        <v>75</v>
      </c>
      <c r="J21" s="110">
        <v>46183.645138888889</v>
      </c>
      <c r="K21" s="110">
        <v>46197.755555555559</v>
      </c>
      <c r="L21" s="111"/>
      <c r="M21" s="82"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82.8" x14ac:dyDescent="0.3">
      <c r="A22" s="82">
        <v>20</v>
      </c>
      <c r="B22" s="82" t="s">
        <v>1192</v>
      </c>
      <c r="C22" s="84"/>
      <c r="D22" s="82" t="s">
        <v>199</v>
      </c>
      <c r="E22" s="82" t="s">
        <v>360</v>
      </c>
      <c r="F22" s="82" t="s">
        <v>1193</v>
      </c>
      <c r="G22" s="82" t="s">
        <v>1194</v>
      </c>
      <c r="H22" s="82" t="s">
        <v>74</v>
      </c>
      <c r="I22" s="57" t="s">
        <v>75</v>
      </c>
      <c r="J22" s="110">
        <v>46184.410416666666</v>
      </c>
      <c r="K22" s="111"/>
      <c r="L22" s="111"/>
      <c r="M22" s="82"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-22</v>
      </c>
      <c r="P22" s="88">
        <f t="shared" ca="1" si="1"/>
        <v>22</v>
      </c>
      <c r="Q22" s="64" t="str">
        <f t="shared" ref="Q22:Q85" ca="1" si="2">IF(P22="","",
IF(P22&lt;=0,"Not Due",
IF(P22&lt;=30,"1-30 Days",
IF(P22&lt;=60,"31-60 Days",
"&gt;60 Days"))))</f>
        <v>1-30 Days</v>
      </c>
    </row>
    <row r="23" spans="1:17" ht="69" x14ac:dyDescent="0.3">
      <c r="A23" s="82">
        <v>21</v>
      </c>
      <c r="B23" s="82" t="s">
        <v>1195</v>
      </c>
      <c r="C23" s="84"/>
      <c r="D23" s="82" t="s">
        <v>1010</v>
      </c>
      <c r="E23" s="82" t="s">
        <v>360</v>
      </c>
      <c r="F23" s="82" t="s">
        <v>1196</v>
      </c>
      <c r="G23" s="82" t="s">
        <v>1197</v>
      </c>
      <c r="H23" s="82" t="s">
        <v>74</v>
      </c>
      <c r="I23" s="57" t="s">
        <v>75</v>
      </c>
      <c r="J23" s="110">
        <v>46184.625694444447</v>
      </c>
      <c r="K23" s="111"/>
      <c r="L23" s="111"/>
      <c r="M23" s="82" t="s">
        <v>77</v>
      </c>
      <c r="N23" s="59">
        <f>IF(ISBLANK(J23),"",IF(OR(M23="Completed",M23="Closed"),"",IF(H23="Issue",IF(I23="High",WORKDAY(J23,2,DATA!A22:A50),IF(I23="Medium",WORKDAY(J23,14,DATA!A22:A50),IF(OR(I23="Low"),WORKDAY(J23,30,DATA!A22:A50),""))),
"")
))</f>
        <v>46204</v>
      </c>
      <c r="O23" s="60">
        <f ca="1">IF(OR(ISBLANK(#REF!), M23="Completed", M23="Closed", H23&lt;&gt;"Issue"), "",
   (NETWORKDAYS.INTL(TODAY(), N23, 1, DATA!A22:A50) - 1))</f>
        <v>-22</v>
      </c>
      <c r="P23" s="88">
        <f t="shared" ca="1" si="1"/>
        <v>22</v>
      </c>
      <c r="Q23" s="64" t="str">
        <f t="shared" ca="1" si="2"/>
        <v>1-30 Days</v>
      </c>
    </row>
    <row r="24" spans="1:17" ht="69" x14ac:dyDescent="0.3">
      <c r="A24" s="82">
        <v>22</v>
      </c>
      <c r="B24" s="82" t="s">
        <v>1447</v>
      </c>
      <c r="C24" s="82" t="s">
        <v>70</v>
      </c>
      <c r="D24" s="82" t="s">
        <v>1010</v>
      </c>
      <c r="E24" s="82" t="s">
        <v>360</v>
      </c>
      <c r="F24" s="82" t="s">
        <v>1448</v>
      </c>
      <c r="G24" s="82" t="s">
        <v>1449</v>
      </c>
      <c r="H24" s="82" t="s">
        <v>74</v>
      </c>
      <c r="I24" s="57" t="s">
        <v>75</v>
      </c>
      <c r="J24" s="110">
        <v>46197.402777777781</v>
      </c>
      <c r="K24" s="110">
        <v>46197.497916666667</v>
      </c>
      <c r="L24" s="111"/>
      <c r="M24" s="82"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1"/>
        <v/>
      </c>
      <c r="Q24" s="64" t="str">
        <f t="shared" ca="1" si="2"/>
        <v/>
      </c>
    </row>
    <row r="25" spans="1:17" ht="124.2" x14ac:dyDescent="0.3">
      <c r="A25" s="82">
        <v>23</v>
      </c>
      <c r="B25" s="82" t="s">
        <v>1450</v>
      </c>
      <c r="C25" s="84"/>
      <c r="D25" s="82" t="s">
        <v>199</v>
      </c>
      <c r="E25" s="82" t="s">
        <v>360</v>
      </c>
      <c r="F25" s="82" t="s">
        <v>1451</v>
      </c>
      <c r="G25" s="82" t="s">
        <v>1452</v>
      </c>
      <c r="H25" s="82" t="s">
        <v>74</v>
      </c>
      <c r="I25" s="57" t="s">
        <v>75</v>
      </c>
      <c r="J25" s="110">
        <v>46198.486805555556</v>
      </c>
      <c r="K25" s="111"/>
      <c r="L25" s="111"/>
      <c r="M25" s="82"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-12</v>
      </c>
      <c r="P25" s="88">
        <f t="shared" ca="1" si="1"/>
        <v>12</v>
      </c>
      <c r="Q25" s="64" t="str">
        <f t="shared" ca="1" si="2"/>
        <v>1-30 Days</v>
      </c>
    </row>
    <row r="26" spans="1:17" ht="82.8" x14ac:dyDescent="0.3">
      <c r="A26" s="82">
        <v>24</v>
      </c>
      <c r="B26" s="82" t="s">
        <v>1453</v>
      </c>
      <c r="C26" s="84"/>
      <c r="D26" s="82" t="s">
        <v>199</v>
      </c>
      <c r="E26" s="82" t="s">
        <v>360</v>
      </c>
      <c r="F26" s="82" t="s">
        <v>1454</v>
      </c>
      <c r="G26" s="82" t="s">
        <v>1455</v>
      </c>
      <c r="H26" s="82" t="s">
        <v>74</v>
      </c>
      <c r="I26" s="57" t="s">
        <v>75</v>
      </c>
      <c r="J26" s="110">
        <v>46198.49722222222</v>
      </c>
      <c r="K26" s="111"/>
      <c r="L26" s="111"/>
      <c r="M26" s="82"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-12</v>
      </c>
      <c r="P26" s="88">
        <f t="shared" ca="1" si="1"/>
        <v>12</v>
      </c>
      <c r="Q26" s="64" t="str">
        <f t="shared" ca="1" si="2"/>
        <v>1-30 Days</v>
      </c>
    </row>
    <row r="27" spans="1:17" ht="110.4" x14ac:dyDescent="0.3">
      <c r="A27" s="82">
        <v>25</v>
      </c>
      <c r="B27" s="82" t="s">
        <v>1456</v>
      </c>
      <c r="C27" s="84"/>
      <c r="D27" s="82" t="s">
        <v>1010</v>
      </c>
      <c r="E27" s="82" t="s">
        <v>360</v>
      </c>
      <c r="F27" s="82" t="s">
        <v>1457</v>
      </c>
      <c r="G27" s="82" t="s">
        <v>1458</v>
      </c>
      <c r="H27" s="82" t="s">
        <v>74</v>
      </c>
      <c r="I27" s="57" t="s">
        <v>75</v>
      </c>
      <c r="J27" s="110">
        <v>46203.382638888892</v>
      </c>
      <c r="K27" s="111"/>
      <c r="L27" s="111"/>
      <c r="M27" s="82" t="s">
        <v>77</v>
      </c>
      <c r="N27" s="59">
        <f>IF(ISBLANK(J27),"",IF(OR(M27="Completed",M27="Closed"),"",IF(H27="Issue",IF(I27="High",WORKDAY(J27,2,DATA!A26:A54),IF(I27="Medium",WORKDAY(J27,14,DATA!A26:A54),IF(OR(I27="Low"),WORKDAY(J27,30,DATA!A26:A54),""))),
"")
))</f>
        <v>46223</v>
      </c>
      <c r="O27" s="60">
        <f ca="1">IF(OR(ISBLANK(#REF!), M27="Completed", M27="Closed", H27&lt;&gt;"Issue"), "",
   (NETWORKDAYS.INTL(TODAY(), N27, 1, DATA!A26:A54) - 1))</f>
        <v>-9</v>
      </c>
      <c r="P27" s="88">
        <f t="shared" ca="1" si="1"/>
        <v>9</v>
      </c>
      <c r="Q27" s="64" t="str">
        <f t="shared" ca="1" si="2"/>
        <v>1-30 Days</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1"/>
        <v/>
      </c>
      <c r="Q29" s="64" t="str">
        <f t="shared" ca="1" si="2"/>
        <v/>
      </c>
    </row>
    <row r="30" spans="1:17" x14ac:dyDescent="0.3">
      <c r="A30" s="82">
        <v>28</v>
      </c>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1"/>
        <v/>
      </c>
      <c r="Q30" s="64" t="str">
        <f t="shared" ca="1" si="2"/>
        <v/>
      </c>
    </row>
    <row r="31" spans="1:17" x14ac:dyDescent="0.3">
      <c r="A31" s="82">
        <v>29</v>
      </c>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1"/>
        <v/>
      </c>
      <c r="Q31" s="64" t="str">
        <f t="shared" ca="1" si="2"/>
        <v/>
      </c>
    </row>
    <row r="32" spans="1:17" x14ac:dyDescent="0.3">
      <c r="A32" s="82">
        <v>30</v>
      </c>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1"/>
        <v/>
      </c>
      <c r="Q32" s="64" t="str">
        <f t="shared" ca="1" si="2"/>
        <v/>
      </c>
    </row>
    <row r="33" spans="1:17" x14ac:dyDescent="0.3">
      <c r="A33" s="82">
        <v>31</v>
      </c>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1"/>
        <v/>
      </c>
      <c r="Q33" s="64" t="str">
        <f t="shared" ca="1" si="2"/>
        <v/>
      </c>
    </row>
    <row r="34" spans="1:17" x14ac:dyDescent="0.3">
      <c r="A34" s="82">
        <v>32</v>
      </c>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1"/>
        <v/>
      </c>
      <c r="Q35" s="64" t="str">
        <f t="shared" ca="1" si="2"/>
        <v/>
      </c>
    </row>
    <row r="36" spans="1:17" x14ac:dyDescent="0.3">
      <c r="A36" s="82">
        <v>34</v>
      </c>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8" t="str">
        <f t="shared" ca="1" si="1"/>
        <v/>
      </c>
      <c r="Q36" s="64" t="str">
        <f t="shared" ca="1" si="2"/>
        <v/>
      </c>
    </row>
    <row r="37" spans="1:17" x14ac:dyDescent="0.3">
      <c r="A37" s="82">
        <v>35</v>
      </c>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1"/>
        <v/>
      </c>
      <c r="Q37" s="64" t="str">
        <f t="shared" ca="1" si="2"/>
        <v/>
      </c>
    </row>
    <row r="38" spans="1:17" x14ac:dyDescent="0.3">
      <c r="A38" s="82">
        <v>36</v>
      </c>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8" t="str">
        <f t="shared" ca="1" si="1"/>
        <v/>
      </c>
      <c r="Q41" s="64" t="str">
        <f t="shared" ca="1" si="2"/>
        <v/>
      </c>
    </row>
    <row r="42" spans="1:17" x14ac:dyDescent="0.3">
      <c r="A42" s="82">
        <v>40</v>
      </c>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8" t="str">
        <f t="shared" ca="1" si="1"/>
        <v/>
      </c>
      <c r="Q42" s="64" t="str">
        <f t="shared" ca="1" si="2"/>
        <v/>
      </c>
    </row>
    <row r="43" spans="1:17" x14ac:dyDescent="0.3">
      <c r="A43" s="82">
        <v>41</v>
      </c>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1"/>
        <v/>
      </c>
      <c r="Q43" s="64" t="str">
        <f t="shared" ca="1" si="2"/>
        <v/>
      </c>
    </row>
    <row r="44" spans="1:17" x14ac:dyDescent="0.3">
      <c r="A44" s="82">
        <v>42</v>
      </c>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8" t="str">
        <f t="shared" ca="1" si="1"/>
        <v/>
      </c>
      <c r="Q45" s="64" t="str">
        <f t="shared" ca="1" si="2"/>
        <v/>
      </c>
    </row>
    <row r="46" spans="1:17" x14ac:dyDescent="0.3">
      <c r="A46" s="82">
        <v>44</v>
      </c>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1"/>
        <v/>
      </c>
      <c r="Q47" s="64" t="str">
        <f t="shared" ca="1" si="2"/>
        <v/>
      </c>
    </row>
    <row r="48" spans="1:17" x14ac:dyDescent="0.3">
      <c r="A48" s="82">
        <v>46</v>
      </c>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1"/>
        <v/>
      </c>
      <c r="Q51" s="64" t="str">
        <f t="shared" ca="1" si="2"/>
        <v/>
      </c>
    </row>
    <row r="52" spans="1:17" x14ac:dyDescent="0.3">
      <c r="A52" s="82">
        <v>50</v>
      </c>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1"/>
        <v/>
      </c>
      <c r="Q52" s="64" t="str">
        <f t="shared" ca="1" si="2"/>
        <v/>
      </c>
    </row>
    <row r="53" spans="1:17" x14ac:dyDescent="0.3">
      <c r="A53" s="82">
        <v>51</v>
      </c>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1"/>
        <v/>
      </c>
      <c r="Q53" s="64" t="str">
        <f t="shared" ca="1" si="2"/>
        <v/>
      </c>
    </row>
    <row r="54" spans="1:17" x14ac:dyDescent="0.3">
      <c r="A54" s="82">
        <v>52</v>
      </c>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8" t="str">
        <f t="shared" ca="1" si="1"/>
        <v/>
      </c>
      <c r="Q56" s="64" t="str">
        <f t="shared" ca="1" si="2"/>
        <v/>
      </c>
    </row>
    <row r="57" spans="1:17" x14ac:dyDescent="0.3">
      <c r="A57" s="82">
        <v>55</v>
      </c>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1"/>
        <v/>
      </c>
      <c r="Q57" s="64" t="str">
        <f t="shared" ca="1" si="2"/>
        <v/>
      </c>
    </row>
    <row r="58" spans="1:17" x14ac:dyDescent="0.3">
      <c r="A58" s="82">
        <v>56</v>
      </c>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1"/>
        <v/>
      </c>
      <c r="Q58" s="64" t="str">
        <f t="shared" ca="1" si="2"/>
        <v/>
      </c>
    </row>
    <row r="59" spans="1:17" x14ac:dyDescent="0.3">
      <c r="A59" s="82">
        <v>57</v>
      </c>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1"/>
        <v/>
      </c>
      <c r="Q60" s="64" t="str">
        <f t="shared" ca="1" si="2"/>
        <v/>
      </c>
    </row>
    <row r="61" spans="1:17" x14ac:dyDescent="0.3">
      <c r="A61" s="82">
        <v>59</v>
      </c>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8" t="str">
        <f t="shared" ca="1" si="1"/>
        <v/>
      </c>
      <c r="Q61" s="64" t="str">
        <f t="shared" ca="1" si="2"/>
        <v/>
      </c>
    </row>
    <row r="62" spans="1:17" x14ac:dyDescent="0.3">
      <c r="A62" s="82">
        <v>60</v>
      </c>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1"/>
        <v/>
      </c>
      <c r="Q63" s="64" t="str">
        <f t="shared" ca="1" si="2"/>
        <v/>
      </c>
    </row>
    <row r="64" spans="1:17" x14ac:dyDescent="0.3">
      <c r="A64" s="82">
        <v>62</v>
      </c>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1"/>
        <v/>
      </c>
      <c r="Q64" s="64" t="str">
        <f t="shared" ca="1" si="2"/>
        <v/>
      </c>
    </row>
    <row r="65" spans="1:17" x14ac:dyDescent="0.3">
      <c r="A65" s="82">
        <v>63</v>
      </c>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1"/>
        <v/>
      </c>
      <c r="Q65" s="64" t="str">
        <f t="shared" ca="1" si="2"/>
        <v/>
      </c>
    </row>
    <row r="66" spans="1:17" x14ac:dyDescent="0.3">
      <c r="A66" s="82">
        <v>64</v>
      </c>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1"/>
        <v/>
      </c>
      <c r="Q66" s="64" t="str">
        <f t="shared" ca="1" si="2"/>
        <v/>
      </c>
    </row>
    <row r="67" spans="1:17" x14ac:dyDescent="0.3">
      <c r="A67" s="82">
        <v>65</v>
      </c>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1"/>
        <v/>
      </c>
      <c r="Q67" s="64" t="str">
        <f t="shared" ca="1" si="2"/>
        <v/>
      </c>
    </row>
    <row r="68" spans="1:17" x14ac:dyDescent="0.3">
      <c r="A68" s="82">
        <v>66</v>
      </c>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3">IF(O68="","",LEFT(O68,10)*(-1))</f>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3"/>
        <v/>
      </c>
      <c r="Q70" s="64" t="str">
        <f t="shared" ca="1" si="2"/>
        <v/>
      </c>
    </row>
    <row r="71" spans="1:17" x14ac:dyDescent="0.3">
      <c r="A71" s="82">
        <v>69</v>
      </c>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8" t="str">
        <f t="shared" ca="1" si="3"/>
        <v/>
      </c>
      <c r="Q72" s="64" t="str">
        <f t="shared" ca="1" si="2"/>
        <v/>
      </c>
    </row>
    <row r="73" spans="1:17" x14ac:dyDescent="0.3">
      <c r="A73" s="82">
        <v>71</v>
      </c>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3"/>
        <v/>
      </c>
      <c r="Q73" s="64" t="str">
        <f t="shared" ca="1" si="2"/>
        <v/>
      </c>
    </row>
    <row r="74" spans="1:17" x14ac:dyDescent="0.3">
      <c r="A74" s="82">
        <v>72</v>
      </c>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3"/>
        <v/>
      </c>
      <c r="Q75" s="64" t="str">
        <f t="shared" ca="1" si="2"/>
        <v/>
      </c>
    </row>
    <row r="76" spans="1:17" x14ac:dyDescent="0.3">
      <c r="A76" s="82">
        <v>74</v>
      </c>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3"/>
        <v/>
      </c>
      <c r="Q76" s="64" t="str">
        <f t="shared" ca="1" si="2"/>
        <v/>
      </c>
    </row>
    <row r="77" spans="1:17" x14ac:dyDescent="0.3">
      <c r="A77" s="82">
        <v>75</v>
      </c>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3"/>
        <v/>
      </c>
      <c r="Q79" s="64" t="str">
        <f t="shared" ca="1" si="2"/>
        <v/>
      </c>
    </row>
    <row r="80" spans="1:17" x14ac:dyDescent="0.3">
      <c r="A80" s="82">
        <v>78</v>
      </c>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8" t="str">
        <f t="shared" ca="1" si="3"/>
        <v/>
      </c>
      <c r="Q80" s="64" t="str">
        <f t="shared" ca="1" si="2"/>
        <v/>
      </c>
    </row>
    <row r="81" spans="1:17" x14ac:dyDescent="0.3">
      <c r="A81" s="82">
        <v>79</v>
      </c>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8" t="str">
        <f t="shared" ca="1" si="3"/>
        <v/>
      </c>
      <c r="Q81" s="64" t="str">
        <f t="shared" ca="1" si="2"/>
        <v/>
      </c>
    </row>
    <row r="82" spans="1:17" x14ac:dyDescent="0.3">
      <c r="A82" s="82">
        <v>80</v>
      </c>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3"/>
        <v/>
      </c>
      <c r="Q85" s="64" t="str">
        <f t="shared" ca="1" si="2"/>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3"/>
        <v/>
      </c>
      <c r="Q94" s="64" t="str">
        <f t="shared" ca="1" si="4"/>
        <v/>
      </c>
    </row>
    <row r="95" spans="1:17" x14ac:dyDescent="0.3">
      <c r="A95" s="82">
        <v>93</v>
      </c>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3"/>
        <v/>
      </c>
      <c r="Q95" s="64" t="str">
        <f t="shared" ca="1"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si="3"/>
        <v/>
      </c>
      <c r="Q131" s="64" t="str">
        <f t="shared" si="4"/>
        <v/>
      </c>
    </row>
    <row r="132" spans="1:17" x14ac:dyDescent="0.3">
      <c r="A132" s="82">
        <v>130</v>
      </c>
      <c r="I132" s="57" t="s">
        <v>75</v>
      </c>
      <c r="J132" s="113"/>
      <c r="K132" s="113"/>
      <c r="L132" s="113"/>
      <c r="P132" s="88" t="str">
        <f t="shared" ref="P132:P190" si="5">IF(O132="","",LEFT(O132,10)*(-1))</f>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si="4"/>
        <v/>
      </c>
    </row>
    <row r="150" spans="1:17" x14ac:dyDescent="0.3">
      <c r="A150" s="82">
        <v>148</v>
      </c>
      <c r="I150" s="57" t="s">
        <v>75</v>
      </c>
      <c r="J150" s="113"/>
      <c r="K150" s="113"/>
      <c r="L150" s="113"/>
      <c r="P150" s="88" t="str">
        <f t="shared" si="5"/>
        <v/>
      </c>
      <c r="Q150" s="64" t="str">
        <f t="shared" ref="Q150:Q190" si="6">IF(P150="","",
IF(P150&lt;=0,"Not Due",
IF(P150&lt;=30,"1-30 Days",
IF(P150&lt;=60,"31-60 Days",
"&gt;60 Days"))))</f>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J184" s="113"/>
      <c r="K184" s="113"/>
      <c r="L184" s="113"/>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row r="190" spans="1:17" x14ac:dyDescent="0.3">
      <c r="A190" s="82">
        <v>188</v>
      </c>
      <c r="I190" s="57" t="s">
        <v>75</v>
      </c>
      <c r="P190" s="88"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G5"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3" t="s">
        <v>1198</v>
      </c>
      <c r="C3" s="93" t="s">
        <v>70</v>
      </c>
      <c r="D3" s="93" t="s">
        <v>1010</v>
      </c>
      <c r="E3" s="93" t="s">
        <v>361</v>
      </c>
      <c r="F3" s="93" t="s">
        <v>1199</v>
      </c>
      <c r="G3" s="93" t="s">
        <v>1200</v>
      </c>
      <c r="H3" s="93" t="s">
        <v>74</v>
      </c>
      <c r="I3" s="57" t="s">
        <v>75</v>
      </c>
      <c r="J3" s="108">
        <v>45840.42083333333</v>
      </c>
      <c r="K3" s="108">
        <v>45929.661805555559</v>
      </c>
      <c r="L3" s="108">
        <v>46086.381944444445</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2">
        <v>2</v>
      </c>
      <c r="B4" s="93" t="s">
        <v>1201</v>
      </c>
      <c r="C4" s="93" t="s">
        <v>70</v>
      </c>
      <c r="D4" s="93" t="s">
        <v>1010</v>
      </c>
      <c r="E4" s="93" t="s">
        <v>361</v>
      </c>
      <c r="F4" s="93" t="s">
        <v>1202</v>
      </c>
      <c r="G4" s="93" t="s">
        <v>1203</v>
      </c>
      <c r="H4" s="93" t="s">
        <v>74</v>
      </c>
      <c r="I4" s="57" t="s">
        <v>75</v>
      </c>
      <c r="J4" s="108">
        <v>45842.796527777777</v>
      </c>
      <c r="K4" s="108">
        <v>45929.661111111112</v>
      </c>
      <c r="L4" s="108">
        <v>46086.384027777778</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3">
        <v>3</v>
      </c>
      <c r="B5" s="93" t="s">
        <v>1204</v>
      </c>
      <c r="C5" s="93" t="s">
        <v>70</v>
      </c>
      <c r="D5" s="93" t="s">
        <v>199</v>
      </c>
      <c r="E5" s="93" t="s">
        <v>361</v>
      </c>
      <c r="F5" s="93" t="s">
        <v>1205</v>
      </c>
      <c r="G5" s="93" t="s">
        <v>1206</v>
      </c>
      <c r="H5" s="93" t="s">
        <v>74</v>
      </c>
      <c r="I5" s="57" t="s">
        <v>75</v>
      </c>
      <c r="J5" s="108">
        <v>45853.681944444441</v>
      </c>
      <c r="K5" s="108">
        <v>46071.632638888892</v>
      </c>
      <c r="L5" s="108">
        <v>46086.385416666664</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3">
        <v>4</v>
      </c>
      <c r="B6" s="93" t="s">
        <v>1207</v>
      </c>
      <c r="C6" s="93" t="s">
        <v>70</v>
      </c>
      <c r="D6" s="93" t="s">
        <v>1010</v>
      </c>
      <c r="E6" s="93" t="s">
        <v>361</v>
      </c>
      <c r="F6" s="93" t="s">
        <v>1208</v>
      </c>
      <c r="G6" s="93" t="s">
        <v>1209</v>
      </c>
      <c r="H6" s="93" t="s">
        <v>74</v>
      </c>
      <c r="I6" s="57" t="s">
        <v>75</v>
      </c>
      <c r="J6" s="108">
        <v>45873.72152777778</v>
      </c>
      <c r="K6" s="108">
        <v>45929.660416666666</v>
      </c>
      <c r="L6" s="108">
        <v>46086.400000000001</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3">
        <v>5</v>
      </c>
      <c r="B7" s="93" t="s">
        <v>1210</v>
      </c>
      <c r="C7" s="93" t="s">
        <v>70</v>
      </c>
      <c r="D7" s="93" t="s">
        <v>1010</v>
      </c>
      <c r="E7" s="93" t="s">
        <v>361</v>
      </c>
      <c r="F7" s="93" t="s">
        <v>1211</v>
      </c>
      <c r="G7" s="93" t="s">
        <v>1212</v>
      </c>
      <c r="H7" s="93" t="s">
        <v>74</v>
      </c>
      <c r="I7" s="57" t="s">
        <v>75</v>
      </c>
      <c r="J7" s="108">
        <v>45961.681250000001</v>
      </c>
      <c r="K7" s="109"/>
      <c r="L7" s="109"/>
      <c r="M7" s="93" t="s">
        <v>566</v>
      </c>
      <c r="N7" s="59">
        <f>IF(ISBLANK(J7),"",IF(OR(M7="Completed",M7="Closed"),"",IF(H7="Issue",IF(I7="High",WORKDAY(J7,2,DATA!A6:A34),IF(I7="Medium",WORKDAY(J7,14,DATA!A6:A34),IF(OR(I7="Low"),WORKDAY(J7,30,DATA!A6:A34),""))),
"")
))</f>
        <v>45981</v>
      </c>
      <c r="O7" s="60">
        <f ca="1">IF(OR(ISBLANK(#REF!), M7="Completed", M7="Closed", H7&lt;&gt;"Issue"), "",
   (NETWORKDAYS.INTL(TODAY(), N7, 1, DATA!A6:A34) - 1))</f>
        <v>-174</v>
      </c>
      <c r="P7" s="78">
        <f t="shared" ca="1" si="0"/>
        <v>174</v>
      </c>
      <c r="Q7" s="62" t="str">
        <f t="shared" ca="1" si="1"/>
        <v>&gt;60 Days</v>
      </c>
      <c r="S7" s="76" t="s">
        <v>49</v>
      </c>
      <c r="T7" s="64">
        <f>SUM(T3:T6)</f>
        <v>9</v>
      </c>
    </row>
    <row r="8" spans="1:22" ht="27.6" x14ac:dyDescent="0.3">
      <c r="A8" s="93">
        <v>6</v>
      </c>
      <c r="B8" s="93" t="s">
        <v>1213</v>
      </c>
      <c r="C8" s="93" t="s">
        <v>70</v>
      </c>
      <c r="D8" s="93" t="s">
        <v>1010</v>
      </c>
      <c r="E8" s="93" t="s">
        <v>361</v>
      </c>
      <c r="F8" s="93" t="s">
        <v>1214</v>
      </c>
      <c r="G8" s="93" t="s">
        <v>1215</v>
      </c>
      <c r="H8" s="93" t="s">
        <v>74</v>
      </c>
      <c r="I8" s="57" t="s">
        <v>75</v>
      </c>
      <c r="J8" s="108">
        <v>45994.845138888886</v>
      </c>
      <c r="K8" s="108">
        <v>46022.479861111111</v>
      </c>
      <c r="L8" s="108">
        <v>46086.402777777781</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238" t="s">
        <v>66</v>
      </c>
      <c r="T8" s="90" t="s">
        <v>94</v>
      </c>
      <c r="U8" s="90" t="s">
        <v>95</v>
      </c>
      <c r="V8" s="90" t="s">
        <v>96</v>
      </c>
    </row>
    <row r="9" spans="1:22" ht="151.80000000000001" x14ac:dyDescent="0.3">
      <c r="A9" s="93">
        <v>7</v>
      </c>
      <c r="B9" s="93" t="s">
        <v>1216</v>
      </c>
      <c r="C9" s="79"/>
      <c r="D9" s="93" t="s">
        <v>1010</v>
      </c>
      <c r="E9" s="93" t="s">
        <v>361</v>
      </c>
      <c r="F9" s="93" t="s">
        <v>1217</v>
      </c>
      <c r="G9" s="93" t="s">
        <v>1218</v>
      </c>
      <c r="H9" s="93" t="s">
        <v>74</v>
      </c>
      <c r="I9" s="57" t="s">
        <v>75</v>
      </c>
      <c r="J9" s="108">
        <v>46002.522222222222</v>
      </c>
      <c r="K9" s="109"/>
      <c r="L9" s="109"/>
      <c r="M9" s="93" t="s">
        <v>77</v>
      </c>
      <c r="N9" s="59">
        <f>IF(ISBLANK(J9),"",IF(OR(M9="Completed",M9="Closed"),"",IF(H9="Issue",IF(I9="High",WORKDAY(J9,2,DATA!A8:A36),IF(I9="Medium",WORKDAY(J9,14,DATA!A8:A36),IF(OR(I9="Low"),WORKDAY(J9,30,DATA!A8:A36),""))),
"")
))</f>
        <v>46022</v>
      </c>
      <c r="O9" s="60">
        <f ca="1">IF(OR(ISBLANK(#REF!), M9="Completed", M9="Closed", H9&lt;&gt;"Issue"), "",
   (NETWORKDAYS.INTL(TODAY(), N9, 1, DATA!A8:A36) - 1))</f>
        <v>-147</v>
      </c>
      <c r="P9" s="78">
        <f t="shared" ca="1" si="0"/>
        <v>147</v>
      </c>
      <c r="Q9" s="62" t="str">
        <f t="shared" ca="1" si="1"/>
        <v>&gt;60 Days</v>
      </c>
      <c r="S9" s="238"/>
      <c r="T9" s="70">
        <f ca="1">COUNTIFS(P3:P277,"&gt;=1",P3:P277,"&lt;=30")</f>
        <v>0</v>
      </c>
      <c r="U9" s="70">
        <f ca="1">COUNTIFS(P3:P277,"&gt;=31",P3:P277,"&lt;=60")</f>
        <v>0</v>
      </c>
      <c r="V9" s="70">
        <f ca="1">COUNTIFS(P3:P277,"&gt;60")</f>
        <v>3</v>
      </c>
    </row>
    <row r="10" spans="1:22" ht="55.2" x14ac:dyDescent="0.3">
      <c r="A10" s="93">
        <v>8</v>
      </c>
      <c r="B10" s="93" t="s">
        <v>1219</v>
      </c>
      <c r="C10" s="93" t="s">
        <v>70</v>
      </c>
      <c r="D10" s="93" t="s">
        <v>1010</v>
      </c>
      <c r="E10" s="93" t="s">
        <v>361</v>
      </c>
      <c r="F10" s="93" t="s">
        <v>1220</v>
      </c>
      <c r="G10" s="93" t="s">
        <v>1221</v>
      </c>
      <c r="H10" s="93" t="s">
        <v>74</v>
      </c>
      <c r="I10" s="57" t="s">
        <v>75</v>
      </c>
      <c r="J10" s="108">
        <v>46043.742361111108</v>
      </c>
      <c r="K10" s="108">
        <v>46078.683333333334</v>
      </c>
      <c r="L10" s="108">
        <v>46078.683333333334</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3">
        <v>9</v>
      </c>
      <c r="B11" s="93" t="s">
        <v>1222</v>
      </c>
      <c r="C11" s="79"/>
      <c r="D11" s="93" t="s">
        <v>1223</v>
      </c>
      <c r="E11" s="93" t="s">
        <v>361</v>
      </c>
      <c r="F11" s="93" t="s">
        <v>1224</v>
      </c>
      <c r="G11" s="93" t="s">
        <v>1225</v>
      </c>
      <c r="H11" s="93" t="s">
        <v>74</v>
      </c>
      <c r="I11" s="57" t="s">
        <v>75</v>
      </c>
      <c r="J11" s="108">
        <v>46118.624305555553</v>
      </c>
      <c r="K11" s="109"/>
      <c r="L11" s="109"/>
      <c r="M11" s="93"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-68</v>
      </c>
      <c r="P11" s="78">
        <f t="shared" ca="1" si="0"/>
        <v>68</v>
      </c>
      <c r="Q11" s="62" t="str">
        <f t="shared" ca="1" si="1"/>
        <v>&gt;60 Days</v>
      </c>
    </row>
    <row r="12" spans="1:22" x14ac:dyDescent="0.3">
      <c r="A12" s="57"/>
      <c r="B12" s="57"/>
      <c r="C12" s="57"/>
      <c r="D12" s="57"/>
      <c r="E12" s="57"/>
      <c r="F12" s="57"/>
      <c r="G12" s="57"/>
      <c r="H12" s="57"/>
      <c r="I12" s="57" t="s">
        <v>75</v>
      </c>
      <c r="J12" s="100"/>
      <c r="K12" s="100"/>
      <c r="L12" s="100"/>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100"/>
      <c r="K13" s="100"/>
      <c r="L13" s="100"/>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100"/>
      <c r="K14" s="100"/>
      <c r="L14" s="100"/>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100"/>
      <c r="K15" s="101"/>
      <c r="L15" s="101"/>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100"/>
      <c r="K16" s="100"/>
      <c r="L16" s="100"/>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100"/>
      <c r="K17" s="100"/>
      <c r="L17" s="100"/>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12"/>
      <c r="K96" s="112"/>
      <c r="L96" s="112"/>
      <c r="P96" s="78" t="str">
        <f t="shared" si="2"/>
        <v/>
      </c>
      <c r="Q96" s="62" t="str">
        <f t="shared" si="3"/>
        <v/>
      </c>
    </row>
    <row r="97" spans="9:17" x14ac:dyDescent="0.3">
      <c r="I97" s="57" t="s">
        <v>75</v>
      </c>
      <c r="J97" s="112"/>
      <c r="K97" s="112"/>
      <c r="L97" s="112"/>
      <c r="P97" s="78" t="str">
        <f t="shared" si="2"/>
        <v/>
      </c>
      <c r="Q97" s="62" t="str">
        <f t="shared" si="3"/>
        <v/>
      </c>
    </row>
    <row r="98" spans="9:17" x14ac:dyDescent="0.3">
      <c r="I98" s="57" t="s">
        <v>75</v>
      </c>
      <c r="J98" s="112"/>
      <c r="K98" s="112"/>
      <c r="L98" s="112"/>
      <c r="P98" s="78" t="str">
        <f t="shared" si="2"/>
        <v/>
      </c>
      <c r="Q98" s="62" t="str">
        <f t="shared" si="3"/>
        <v/>
      </c>
    </row>
    <row r="99" spans="9:17" x14ac:dyDescent="0.3">
      <c r="I99" s="57" t="s">
        <v>75</v>
      </c>
      <c r="J99" s="112"/>
      <c r="K99" s="112"/>
      <c r="L99" s="112"/>
      <c r="P99" s="78" t="str">
        <f t="shared" si="2"/>
        <v/>
      </c>
      <c r="Q99" s="62" t="str">
        <f t="shared" si="3"/>
        <v/>
      </c>
    </row>
    <row r="100" spans="9:17" x14ac:dyDescent="0.3">
      <c r="I100" s="57" t="s">
        <v>75</v>
      </c>
      <c r="J100" s="112"/>
      <c r="K100" s="112"/>
      <c r="L100" s="112"/>
      <c r="P100" s="78" t="str">
        <f t="shared" si="2"/>
        <v/>
      </c>
      <c r="Q100" s="62" t="str">
        <f t="shared" si="3"/>
        <v/>
      </c>
    </row>
    <row r="101" spans="9:17" x14ac:dyDescent="0.3">
      <c r="I101" s="57" t="s">
        <v>75</v>
      </c>
      <c r="J101" s="112"/>
      <c r="K101" s="112"/>
      <c r="L101" s="112"/>
      <c r="P101" s="78" t="str">
        <f t="shared" si="2"/>
        <v/>
      </c>
      <c r="Q101" s="62" t="str">
        <f t="shared" si="3"/>
        <v/>
      </c>
    </row>
    <row r="102" spans="9:17" x14ac:dyDescent="0.3">
      <c r="I102" s="57" t="s">
        <v>75</v>
      </c>
      <c r="J102" s="112"/>
      <c r="K102" s="112"/>
      <c r="L102" s="112"/>
      <c r="P102" s="78" t="str">
        <f t="shared" si="2"/>
        <v/>
      </c>
      <c r="Q102" s="62" t="str">
        <f t="shared" si="3"/>
        <v/>
      </c>
    </row>
    <row r="103" spans="9:17" x14ac:dyDescent="0.3">
      <c r="I103" s="57" t="s">
        <v>75</v>
      </c>
      <c r="J103" s="112"/>
      <c r="K103" s="112"/>
      <c r="L103" s="112"/>
      <c r="P103" s="78" t="str">
        <f t="shared" si="2"/>
        <v/>
      </c>
      <c r="Q103" s="62" t="str">
        <f t="shared" si="3"/>
        <v/>
      </c>
    </row>
    <row r="104" spans="9:17" x14ac:dyDescent="0.3">
      <c r="I104" s="57" t="s">
        <v>75</v>
      </c>
      <c r="J104" s="112"/>
      <c r="K104" s="112"/>
      <c r="L104" s="112"/>
      <c r="P104" s="78" t="str">
        <f t="shared" si="2"/>
        <v/>
      </c>
      <c r="Q104" s="62" t="str">
        <f t="shared" si="3"/>
        <v/>
      </c>
    </row>
    <row r="105" spans="9:17" x14ac:dyDescent="0.3">
      <c r="I105" s="57" t="s">
        <v>75</v>
      </c>
      <c r="J105" s="112"/>
      <c r="K105" s="112"/>
      <c r="L105" s="112"/>
      <c r="P105" s="78" t="str">
        <f t="shared" si="2"/>
        <v/>
      </c>
      <c r="Q105" s="62" t="str">
        <f t="shared" si="3"/>
        <v/>
      </c>
    </row>
    <row r="106" spans="9:17" x14ac:dyDescent="0.3">
      <c r="I106" s="57" t="s">
        <v>75</v>
      </c>
      <c r="J106" s="112"/>
      <c r="K106" s="112"/>
      <c r="L106" s="112"/>
      <c r="P106" s="78" t="str">
        <f t="shared" si="2"/>
        <v/>
      </c>
      <c r="Q106" s="62" t="str">
        <f t="shared" si="3"/>
        <v/>
      </c>
    </row>
    <row r="107" spans="9:17" x14ac:dyDescent="0.3">
      <c r="I107" s="57" t="s">
        <v>75</v>
      </c>
      <c r="J107" s="112"/>
      <c r="K107" s="112"/>
      <c r="L107" s="112"/>
      <c r="P107" s="78" t="str">
        <f t="shared" si="2"/>
        <v/>
      </c>
      <c r="Q107" s="62" t="str">
        <f t="shared" si="3"/>
        <v/>
      </c>
    </row>
    <row r="108" spans="9:17" x14ac:dyDescent="0.3">
      <c r="I108" s="57" t="s">
        <v>75</v>
      </c>
      <c r="J108" s="112"/>
      <c r="K108" s="112"/>
      <c r="L108" s="112"/>
      <c r="P108" s="78" t="str">
        <f t="shared" si="2"/>
        <v/>
      </c>
      <c r="Q108" s="62" t="str">
        <f t="shared" si="3"/>
        <v/>
      </c>
    </row>
    <row r="109" spans="9:17" x14ac:dyDescent="0.3">
      <c r="I109" s="57" t="s">
        <v>75</v>
      </c>
      <c r="J109" s="112"/>
      <c r="K109" s="112"/>
      <c r="L109" s="112"/>
      <c r="P109" s="78" t="str">
        <f t="shared" si="2"/>
        <v/>
      </c>
      <c r="Q109" s="62" t="str">
        <f t="shared" si="3"/>
        <v/>
      </c>
    </row>
    <row r="110" spans="9:17" x14ac:dyDescent="0.3">
      <c r="I110" s="57" t="s">
        <v>75</v>
      </c>
      <c r="J110" s="112"/>
      <c r="K110" s="112"/>
      <c r="L110" s="112"/>
      <c r="P110" s="78" t="str">
        <f t="shared" si="2"/>
        <v/>
      </c>
      <c r="Q110" s="62" t="str">
        <f t="shared" si="3"/>
        <v/>
      </c>
    </row>
    <row r="111" spans="9:17" x14ac:dyDescent="0.3">
      <c r="I111" s="57" t="s">
        <v>75</v>
      </c>
      <c r="J111" s="112"/>
      <c r="K111" s="112"/>
      <c r="L111" s="112"/>
      <c r="P111" s="78" t="str">
        <f t="shared" si="2"/>
        <v/>
      </c>
      <c r="Q111" s="62" t="str">
        <f t="shared" si="3"/>
        <v/>
      </c>
    </row>
    <row r="112" spans="9:17" x14ac:dyDescent="0.3">
      <c r="I112" s="57" t="s">
        <v>75</v>
      </c>
      <c r="J112" s="112"/>
      <c r="K112" s="112"/>
      <c r="L112" s="112"/>
      <c r="P112" s="78" t="str">
        <f t="shared" si="2"/>
        <v/>
      </c>
      <c r="Q112" s="62" t="str">
        <f t="shared" si="3"/>
        <v/>
      </c>
    </row>
    <row r="113" spans="9:17" x14ac:dyDescent="0.3">
      <c r="I113" s="57" t="s">
        <v>75</v>
      </c>
      <c r="J113" s="112"/>
      <c r="K113" s="112"/>
      <c r="L113" s="112"/>
      <c r="P113" s="78" t="str">
        <f t="shared" si="2"/>
        <v/>
      </c>
      <c r="Q113" s="62" t="str">
        <f t="shared" si="3"/>
        <v/>
      </c>
    </row>
    <row r="114" spans="9:17" x14ac:dyDescent="0.3">
      <c r="I114" s="57" t="s">
        <v>75</v>
      </c>
      <c r="J114" s="112"/>
      <c r="K114" s="112"/>
      <c r="L114" s="112"/>
      <c r="P114" s="78" t="str">
        <f t="shared" si="2"/>
        <v/>
      </c>
      <c r="Q114" s="62" t="str">
        <f t="shared" si="3"/>
        <v/>
      </c>
    </row>
    <row r="115" spans="9:17" x14ac:dyDescent="0.3">
      <c r="I115" s="57" t="s">
        <v>75</v>
      </c>
      <c r="J115" s="112"/>
      <c r="K115" s="112"/>
      <c r="L115" s="112"/>
      <c r="P115" s="78" t="str">
        <f t="shared" si="2"/>
        <v/>
      </c>
      <c r="Q115" s="62" t="str">
        <f t="shared" si="3"/>
        <v/>
      </c>
    </row>
    <row r="116" spans="9:17" x14ac:dyDescent="0.3">
      <c r="I116" s="57" t="s">
        <v>75</v>
      </c>
      <c r="J116" s="112"/>
      <c r="K116" s="112"/>
      <c r="L116" s="112"/>
      <c r="P116" s="78" t="str">
        <f t="shared" si="2"/>
        <v/>
      </c>
      <c r="Q116" s="62" t="str">
        <f t="shared" si="3"/>
        <v/>
      </c>
    </row>
    <row r="117" spans="9:17" x14ac:dyDescent="0.3">
      <c r="I117" s="57" t="s">
        <v>75</v>
      </c>
      <c r="J117" s="112"/>
      <c r="K117" s="112"/>
      <c r="L117" s="112"/>
      <c r="P117" s="78" t="str">
        <f t="shared" si="2"/>
        <v/>
      </c>
      <c r="Q117" s="62" t="str">
        <f t="shared" si="3"/>
        <v/>
      </c>
    </row>
    <row r="118" spans="9:17" x14ac:dyDescent="0.3">
      <c r="I118" s="57" t="s">
        <v>75</v>
      </c>
      <c r="J118" s="112"/>
      <c r="K118" s="112"/>
      <c r="L118" s="112"/>
      <c r="P118" s="78" t="str">
        <f t="shared" si="2"/>
        <v/>
      </c>
      <c r="Q118" s="62" t="str">
        <f t="shared" si="3"/>
        <v/>
      </c>
    </row>
    <row r="119" spans="9:17" x14ac:dyDescent="0.3">
      <c r="I119" s="57" t="s">
        <v>75</v>
      </c>
      <c r="J119" s="112"/>
      <c r="K119" s="112"/>
      <c r="L119" s="112"/>
      <c r="P119" s="78" t="str">
        <f t="shared" si="2"/>
        <v/>
      </c>
      <c r="Q119" s="62" t="str">
        <f t="shared" si="3"/>
        <v/>
      </c>
    </row>
    <row r="120" spans="9:17" x14ac:dyDescent="0.3">
      <c r="I120" s="57" t="s">
        <v>75</v>
      </c>
      <c r="J120" s="112"/>
      <c r="K120" s="112"/>
      <c r="L120" s="112"/>
      <c r="P120" s="78" t="str">
        <f t="shared" si="2"/>
        <v/>
      </c>
      <c r="Q120" s="62" t="str">
        <f t="shared" si="3"/>
        <v/>
      </c>
    </row>
    <row r="121" spans="9:17" x14ac:dyDescent="0.3">
      <c r="I121" s="57" t="s">
        <v>75</v>
      </c>
      <c r="J121" s="112"/>
      <c r="K121" s="112"/>
      <c r="L121" s="112"/>
      <c r="P121" s="78" t="str">
        <f t="shared" si="2"/>
        <v/>
      </c>
      <c r="Q121" s="62" t="str">
        <f t="shared" si="3"/>
        <v/>
      </c>
    </row>
    <row r="122" spans="9:17" x14ac:dyDescent="0.3">
      <c r="I122" s="57" t="s">
        <v>75</v>
      </c>
      <c r="J122" s="112"/>
      <c r="K122" s="112"/>
      <c r="L122" s="112"/>
      <c r="P122" s="78" t="str">
        <f t="shared" si="2"/>
        <v/>
      </c>
      <c r="Q122" s="62" t="str">
        <f t="shared" si="3"/>
        <v/>
      </c>
    </row>
    <row r="123" spans="9:17" x14ac:dyDescent="0.3">
      <c r="I123" s="57" t="s">
        <v>75</v>
      </c>
      <c r="J123" s="112"/>
      <c r="K123" s="112"/>
      <c r="L123" s="112"/>
      <c r="P123" s="78" t="str">
        <f t="shared" si="2"/>
        <v/>
      </c>
      <c r="Q123" s="62" t="str">
        <f t="shared" si="3"/>
        <v/>
      </c>
    </row>
    <row r="124" spans="9:17" x14ac:dyDescent="0.3">
      <c r="I124" s="57" t="s">
        <v>75</v>
      </c>
      <c r="J124" s="112"/>
      <c r="K124" s="112"/>
      <c r="L124" s="112"/>
      <c r="P124" s="78" t="str">
        <f t="shared" si="2"/>
        <v/>
      </c>
      <c r="Q124" s="62" t="str">
        <f t="shared" si="3"/>
        <v/>
      </c>
    </row>
    <row r="125" spans="9:17" x14ac:dyDescent="0.3">
      <c r="I125" s="57" t="s">
        <v>75</v>
      </c>
      <c r="J125" s="112"/>
      <c r="K125" s="112"/>
      <c r="L125" s="112"/>
      <c r="P125" s="78" t="str">
        <f t="shared" si="2"/>
        <v/>
      </c>
      <c r="Q125" s="62" t="str">
        <f t="shared" si="3"/>
        <v/>
      </c>
    </row>
    <row r="126" spans="9:17" x14ac:dyDescent="0.3">
      <c r="I126" s="57" t="s">
        <v>75</v>
      </c>
      <c r="J126" s="112"/>
      <c r="K126" s="112"/>
      <c r="L126" s="112"/>
      <c r="P126" s="78" t="str">
        <f t="shared" si="2"/>
        <v/>
      </c>
      <c r="Q126" s="62" t="str">
        <f t="shared" si="3"/>
        <v/>
      </c>
    </row>
    <row r="127" spans="9:17" x14ac:dyDescent="0.3">
      <c r="I127" s="57" t="s">
        <v>75</v>
      </c>
      <c r="J127" s="112"/>
      <c r="K127" s="112"/>
      <c r="L127" s="112"/>
      <c r="P127" s="78" t="str">
        <f t="shared" si="2"/>
        <v/>
      </c>
      <c r="Q127" s="62" t="str">
        <f t="shared" si="3"/>
        <v/>
      </c>
    </row>
    <row r="128" spans="9:17" x14ac:dyDescent="0.3">
      <c r="I128" s="57" t="s">
        <v>75</v>
      </c>
      <c r="J128" s="112"/>
      <c r="K128" s="112"/>
      <c r="L128" s="112"/>
      <c r="P128" s="78" t="str">
        <f t="shared" si="2"/>
        <v/>
      </c>
      <c r="Q128" s="62" t="str">
        <f t="shared" si="3"/>
        <v/>
      </c>
    </row>
    <row r="129" spans="9:17" x14ac:dyDescent="0.3">
      <c r="I129" s="57" t="s">
        <v>75</v>
      </c>
      <c r="J129" s="112"/>
      <c r="K129" s="112"/>
      <c r="L129" s="112"/>
      <c r="P129" s="78" t="str">
        <f t="shared" si="2"/>
        <v/>
      </c>
      <c r="Q129" s="62" t="str">
        <f t="shared" si="3"/>
        <v/>
      </c>
    </row>
    <row r="130" spans="9:17" x14ac:dyDescent="0.3">
      <c r="I130" s="57" t="s">
        <v>75</v>
      </c>
      <c r="J130" s="112"/>
      <c r="K130" s="112"/>
      <c r="L130" s="112"/>
      <c r="P130" s="78" t="str">
        <f t="shared" si="2"/>
        <v/>
      </c>
      <c r="Q130" s="62" t="str">
        <f t="shared" si="3"/>
        <v/>
      </c>
    </row>
    <row r="131" spans="9:17" x14ac:dyDescent="0.3">
      <c r="I131" s="57" t="s">
        <v>75</v>
      </c>
      <c r="J131" s="112"/>
      <c r="K131" s="112"/>
      <c r="L131" s="112"/>
      <c r="P131" s="78" t="str">
        <f t="shared" si="2"/>
        <v/>
      </c>
      <c r="Q131" s="62" t="str">
        <f t="shared" si="3"/>
        <v/>
      </c>
    </row>
    <row r="132" spans="9:17" x14ac:dyDescent="0.3">
      <c r="I132" s="57" t="s">
        <v>75</v>
      </c>
      <c r="J132" s="112"/>
      <c r="K132" s="112"/>
      <c r="L132" s="112"/>
      <c r="P132" s="78" t="str">
        <f t="shared" ref="P132:P190" si="4">IF(O132="","",LEFT(O132,10)*(-1))</f>
        <v/>
      </c>
      <c r="Q132" s="62" t="str">
        <f t="shared" ref="Q132:Q190" si="5">IF(P132="","",
IF(P132&lt;=0,"Not Due",
IF(P132&lt;=30,"1-30 Days",
IF(P132&lt;=60,"31-60 Days",
"&gt;60 Days"))))</f>
        <v/>
      </c>
    </row>
    <row r="133" spans="9:17" x14ac:dyDescent="0.3">
      <c r="I133" s="57" t="s">
        <v>75</v>
      </c>
      <c r="J133" s="112"/>
      <c r="K133" s="112"/>
      <c r="L133" s="112"/>
      <c r="P133" s="78" t="str">
        <f t="shared" si="4"/>
        <v/>
      </c>
      <c r="Q133" s="62" t="str">
        <f t="shared" si="5"/>
        <v/>
      </c>
    </row>
    <row r="134" spans="9:17" x14ac:dyDescent="0.3">
      <c r="I134" s="57" t="s">
        <v>75</v>
      </c>
      <c r="J134" s="112"/>
      <c r="K134" s="112"/>
      <c r="L134" s="112"/>
      <c r="P134" s="78" t="str">
        <f t="shared" si="4"/>
        <v/>
      </c>
      <c r="Q134" s="62" t="str">
        <f t="shared" si="5"/>
        <v/>
      </c>
    </row>
    <row r="135" spans="9:17" x14ac:dyDescent="0.3">
      <c r="I135" s="57" t="s">
        <v>75</v>
      </c>
      <c r="J135" s="112"/>
      <c r="K135" s="112"/>
      <c r="L135" s="112"/>
      <c r="P135" s="78" t="str">
        <f t="shared" si="4"/>
        <v/>
      </c>
      <c r="Q135" s="62" t="str">
        <f t="shared" si="5"/>
        <v/>
      </c>
    </row>
    <row r="136" spans="9:17" x14ac:dyDescent="0.3">
      <c r="I136" s="57" t="s">
        <v>75</v>
      </c>
      <c r="J136" s="112"/>
      <c r="K136" s="112"/>
      <c r="L136" s="112"/>
      <c r="P136" s="78" t="str">
        <f t="shared" si="4"/>
        <v/>
      </c>
      <c r="Q136" s="62" t="str">
        <f t="shared" si="5"/>
        <v/>
      </c>
    </row>
    <row r="137" spans="9:17" x14ac:dyDescent="0.3">
      <c r="I137" s="57" t="s">
        <v>75</v>
      </c>
      <c r="J137" s="112"/>
      <c r="K137" s="112"/>
      <c r="L137" s="112"/>
      <c r="P137" s="78" t="str">
        <f t="shared" si="4"/>
        <v/>
      </c>
      <c r="Q137" s="62" t="str">
        <f t="shared" si="5"/>
        <v/>
      </c>
    </row>
    <row r="138" spans="9:17" x14ac:dyDescent="0.3">
      <c r="I138" s="57" t="s">
        <v>75</v>
      </c>
      <c r="J138" s="112"/>
      <c r="K138" s="112"/>
      <c r="L138" s="112"/>
      <c r="P138" s="78" t="str">
        <f t="shared" si="4"/>
        <v/>
      </c>
      <c r="Q138" s="62" t="str">
        <f t="shared" si="5"/>
        <v/>
      </c>
    </row>
    <row r="139" spans="9:17" x14ac:dyDescent="0.3">
      <c r="I139" s="57" t="s">
        <v>75</v>
      </c>
      <c r="J139" s="112"/>
      <c r="K139" s="112"/>
      <c r="L139" s="112"/>
      <c r="P139" s="78" t="str">
        <f t="shared" si="4"/>
        <v/>
      </c>
      <c r="Q139" s="62" t="str">
        <f t="shared" si="5"/>
        <v/>
      </c>
    </row>
    <row r="140" spans="9:17" x14ac:dyDescent="0.3">
      <c r="I140" s="57" t="s">
        <v>75</v>
      </c>
      <c r="J140" s="112"/>
      <c r="K140" s="112"/>
      <c r="L140" s="112"/>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F7"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2" t="s">
        <v>1226</v>
      </c>
      <c r="C3" s="92" t="s">
        <v>70</v>
      </c>
      <c r="D3" s="92" t="s">
        <v>1227</v>
      </c>
      <c r="E3" s="92" t="s">
        <v>1228</v>
      </c>
      <c r="F3" s="92" t="s">
        <v>1229</v>
      </c>
      <c r="G3" s="92" t="s">
        <v>1230</v>
      </c>
      <c r="H3" s="92" t="s">
        <v>74</v>
      </c>
      <c r="I3" s="57" t="s">
        <v>75</v>
      </c>
      <c r="J3" s="91">
        <v>46084.361805555556</v>
      </c>
      <c r="K3" s="91">
        <v>46092.388194444444</v>
      </c>
      <c r="L3" s="91">
        <v>46092.388888888891</v>
      </c>
      <c r="M3" s="92" t="s">
        <v>76</v>
      </c>
      <c r="N3" s="59" t="str">
        <f>IF(ISBLANK(J3),"",IF(OR(M3="Completed",M3="Closed"),"",IF(H3="Issue",IF(I3="High",WORKDAY(J3,2,[3]DATA!A2:A30),IF(I3="Medium",WORKDAY(J3,14,[3]DATA!A2:A30),IF(OR(I3="Low"),WORKDAY(J3,30,[3]DATA!A2:A30),""))),
"")
))</f>
        <v/>
      </c>
      <c r="O3" s="60" t="str">
        <f ca="1">IF(OR(ISBLANK(#REF!), M3="Completed", M3="Closed", H3&lt;&gt;"Issue"), "",
   (NETWORKDAYS.INTL(TODAY(), N3, 1, [3]DATA!A2:A30) - 1))</f>
        <v/>
      </c>
      <c r="P3" s="78" t="str">
        <f ca="1">IF(O3="","",LEFT(O3,10)*(-1))</f>
        <v/>
      </c>
      <c r="Q3" s="62" t="str">
        <f ca="1">IF(P3="","",
IF(P3&lt;=0,"Not Due",
IF(P3&lt;=30,"1-30 Days",
IF(P3&lt;=60,"31-60 Days",
"&gt;60 Days"))))</f>
        <v/>
      </c>
      <c r="S3" s="63" t="s">
        <v>77</v>
      </c>
      <c r="T3" s="64">
        <f>COUNTIF(M3:M299, "Pending")</f>
        <v>0</v>
      </c>
    </row>
    <row r="4" spans="1:22" ht="69" x14ac:dyDescent="0.3">
      <c r="A4" s="92">
        <v>2</v>
      </c>
      <c r="B4" s="92" t="s">
        <v>1231</v>
      </c>
      <c r="C4" s="92" t="s">
        <v>70</v>
      </c>
      <c r="D4" s="92" t="s">
        <v>1227</v>
      </c>
      <c r="E4" s="92" t="s">
        <v>1228</v>
      </c>
      <c r="F4" s="92" t="s">
        <v>1232</v>
      </c>
      <c r="G4" s="92" t="s">
        <v>1233</v>
      </c>
      <c r="H4" s="92" t="s">
        <v>74</v>
      </c>
      <c r="I4" s="57" t="s">
        <v>75</v>
      </c>
      <c r="J4" s="91">
        <v>46084.37222222222</v>
      </c>
      <c r="K4" s="91">
        <v>46092.38958333333</v>
      </c>
      <c r="L4" s="91">
        <v>46092.38958333333</v>
      </c>
      <c r="M4" s="92" t="s">
        <v>76</v>
      </c>
      <c r="N4" s="59" t="str">
        <f>IF(ISBLANK(J4),"",IF(OR(M4="Completed",M4="Closed"),"",IF(H4="Issue",IF(I4="High",WORKDAY(J4,2,[3]DATA!A3:A31),IF(I4="Medium",WORKDAY(J4,14,[3]DATA!A3:A31),IF(OR(I4="Low"),WORKDAY(J4,30,[3]DATA!A3:A31),""))),
"")
))</f>
        <v/>
      </c>
      <c r="O4" s="60" t="str">
        <f ca="1">IF(OR(ISBLANK(#REF!), M4="Completed", M4="Closed", H4&lt;&gt;"Issue"), "",
   (NETWORKDAYS.INTL(TODAY(), N4, 1, [3]DATA!A3:A31)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2">
        <v>3</v>
      </c>
      <c r="B5" s="92" t="s">
        <v>1234</v>
      </c>
      <c r="C5" s="92" t="s">
        <v>70</v>
      </c>
      <c r="D5" s="92" t="s">
        <v>1227</v>
      </c>
      <c r="E5" s="92" t="s">
        <v>1228</v>
      </c>
      <c r="F5" s="92" t="s">
        <v>1235</v>
      </c>
      <c r="G5" s="92" t="s">
        <v>1236</v>
      </c>
      <c r="H5" s="92" t="s">
        <v>74</v>
      </c>
      <c r="I5" s="57" t="s">
        <v>75</v>
      </c>
      <c r="J5" s="91">
        <v>46092.397222222222</v>
      </c>
      <c r="K5" s="91">
        <v>46188.666666666664</v>
      </c>
      <c r="L5" s="80"/>
      <c r="M5" s="92" t="s">
        <v>85</v>
      </c>
      <c r="N5" s="59" t="str">
        <f>IF(ISBLANK(J5),"",IF(OR(M5="Completed",M5="Closed"),"",IF(H5="Issue",IF(I5="High",WORKDAY(J5,2,[3]DATA!A4:A32),IF(I5="Medium",WORKDAY(J5,14,[3]DATA!A4:A32),IF(OR(I5="Low"),WORKDAY(J5,30,[3]DATA!A4:A32),""))),
"")
))</f>
        <v/>
      </c>
      <c r="O5" s="60" t="str">
        <f ca="1">IF(OR(ISBLANK(#REF!), M5="Completed", M5="Closed", H5&lt;&gt;"Issue"), "",
   (NETWORKDAYS.INTL(TODAY(), N5, 1, [3]DATA!A4:A32) - 1))</f>
        <v/>
      </c>
      <c r="P5" s="78" t="str">
        <f t="shared" ca="1" si="0"/>
        <v/>
      </c>
      <c r="Q5" s="62" t="str">
        <f t="shared" ca="1" si="1"/>
        <v/>
      </c>
      <c r="S5" s="65" t="s">
        <v>85</v>
      </c>
      <c r="T5" s="64">
        <f>COUNTIF(M3:M299, "Completed")</f>
        <v>4</v>
      </c>
    </row>
    <row r="6" spans="1:22" ht="55.2" x14ac:dyDescent="0.3">
      <c r="A6" s="92">
        <v>4</v>
      </c>
      <c r="B6" s="92" t="s">
        <v>1237</v>
      </c>
      <c r="C6" s="92" t="s">
        <v>70</v>
      </c>
      <c r="D6" s="92" t="s">
        <v>1227</v>
      </c>
      <c r="E6" s="92" t="s">
        <v>1228</v>
      </c>
      <c r="F6" s="92" t="s">
        <v>1238</v>
      </c>
      <c r="G6" s="92" t="s">
        <v>1239</v>
      </c>
      <c r="H6" s="92" t="s">
        <v>74</v>
      </c>
      <c r="I6" s="57" t="s">
        <v>75</v>
      </c>
      <c r="J6" s="91">
        <v>46092.642361111109</v>
      </c>
      <c r="K6" s="91">
        <v>46093.385416666664</v>
      </c>
      <c r="L6" s="91">
        <v>46093.393750000003</v>
      </c>
      <c r="M6" s="92" t="s">
        <v>76</v>
      </c>
      <c r="N6" s="59" t="str">
        <f>IF(ISBLANK(J6),"",IF(OR(M6="Completed",M6="Closed"),"",IF(H6="Issue",IF(I6="High",WORKDAY(J6,2,[3]DATA!A5:A33),IF(I6="Medium",WORKDAY(J6,14,[3]DATA!A5:A33),IF(OR(I6="Low"),WORKDAY(J6,30,[3]DATA!A5:A33),""))),
"")
))</f>
        <v/>
      </c>
      <c r="O6" s="60" t="str">
        <f ca="1">IF(OR(ISBLANK(#REF!), M6="Completed", M6="Closed", H6&lt;&gt;"Issue"), "",
   (NETWORKDAYS.INTL(TODAY(), N6, 1, [3]DATA!A5:A33) - 1))</f>
        <v/>
      </c>
      <c r="P6" s="78" t="str">
        <f t="shared" ca="1" si="0"/>
        <v/>
      </c>
      <c r="Q6" s="62" t="str">
        <f t="shared" ca="1" si="1"/>
        <v/>
      </c>
      <c r="S6" s="65" t="s">
        <v>76</v>
      </c>
      <c r="T6" s="64">
        <f>COUNTIF(M3:M299, "Closed")</f>
        <v>5</v>
      </c>
    </row>
    <row r="7" spans="1:22" ht="41.4" x14ac:dyDescent="0.3">
      <c r="A7" s="92">
        <v>5</v>
      </c>
      <c r="B7" s="92" t="s">
        <v>1240</v>
      </c>
      <c r="C7" s="92" t="s">
        <v>70</v>
      </c>
      <c r="D7" s="92" t="s">
        <v>1227</v>
      </c>
      <c r="E7" s="92" t="s">
        <v>1228</v>
      </c>
      <c r="F7" s="92" t="s">
        <v>1241</v>
      </c>
      <c r="G7" s="92" t="s">
        <v>1242</v>
      </c>
      <c r="H7" s="92" t="s">
        <v>74</v>
      </c>
      <c r="I7" s="57" t="s">
        <v>75</v>
      </c>
      <c r="J7" s="91">
        <v>46094.072916666664</v>
      </c>
      <c r="K7" s="91">
        <v>46097.4</v>
      </c>
      <c r="L7" s="91">
        <v>46097.40347222222</v>
      </c>
      <c r="M7" s="92" t="s">
        <v>76</v>
      </c>
      <c r="N7" s="59" t="str">
        <f>IF(ISBLANK(J7),"",IF(OR(M7="Completed",M7="Closed"),"",IF(H7="Issue",IF(I7="High",WORKDAY(J7,2,[3]DATA!A6:A34),IF(I7="Medium",WORKDAY(J7,14,[3]DATA!A6:A34),IF(OR(I7="Low"),WORKDAY(J7,30,[3]DATA!A6:A34),""))),
"")
))</f>
        <v/>
      </c>
      <c r="O7" s="60" t="str">
        <f ca="1">IF(OR(ISBLANK(#REF!), M7="Completed", M7="Closed", H7&lt;&gt;"Issue"), "",
   (NETWORKDAYS.INTL(TODAY(), N7, 1, [3]DATA!A6:A34) - 1))</f>
        <v/>
      </c>
      <c r="P7" s="78" t="str">
        <f t="shared" ca="1" si="0"/>
        <v/>
      </c>
      <c r="Q7" s="62" t="str">
        <f t="shared" ca="1" si="1"/>
        <v/>
      </c>
      <c r="S7" s="76" t="s">
        <v>49</v>
      </c>
      <c r="T7" s="64">
        <f>SUM(T3:T6)</f>
        <v>9</v>
      </c>
    </row>
    <row r="8" spans="1:22" ht="27.6" x14ac:dyDescent="0.3">
      <c r="A8" s="92">
        <v>6</v>
      </c>
      <c r="B8" s="92" t="s">
        <v>1243</v>
      </c>
      <c r="C8" s="92" t="s">
        <v>70</v>
      </c>
      <c r="D8" s="92" t="s">
        <v>1227</v>
      </c>
      <c r="E8" s="92" t="s">
        <v>1228</v>
      </c>
      <c r="F8" s="92" t="s">
        <v>1244</v>
      </c>
      <c r="G8" s="92" t="s">
        <v>1245</v>
      </c>
      <c r="H8" s="92" t="s">
        <v>74</v>
      </c>
      <c r="I8" s="57" t="s">
        <v>75</v>
      </c>
      <c r="J8" s="91">
        <v>46094.079861111109</v>
      </c>
      <c r="K8" s="91">
        <v>46188.668055555558</v>
      </c>
      <c r="L8" s="80"/>
      <c r="M8" s="92" t="s">
        <v>85</v>
      </c>
      <c r="N8" s="59" t="str">
        <f>IF(ISBLANK(J8),"",IF(OR(M8="Completed",M8="Closed"),"",IF(H8="Issue",IF(I8="High",WORKDAY(J8,2,[3]DATA!A7:A35),IF(I8="Medium",WORKDAY(J8,14,[3]DATA!A7:A35),IF(OR(I8="Low"),WORKDAY(J8,30,[3]DATA!A7:A35),""))),
"")
))</f>
        <v/>
      </c>
      <c r="O8" s="60" t="str">
        <f ca="1">IF(OR(ISBLANK(#REF!), M8="Completed", M8="Closed", H8&lt;&gt;"Issue"), "",
   (NETWORKDAYS.INTL(TODAY(), N8, 1, [3]DATA!A7:A35) - 1))</f>
        <v/>
      </c>
      <c r="P8" s="78" t="str">
        <f t="shared" ca="1" si="0"/>
        <v/>
      </c>
      <c r="Q8" s="62" t="str">
        <f t="shared" ca="1" si="1"/>
        <v/>
      </c>
      <c r="S8" s="238" t="s">
        <v>66</v>
      </c>
      <c r="T8" s="90" t="s">
        <v>94</v>
      </c>
      <c r="U8" s="90" t="s">
        <v>95</v>
      </c>
      <c r="V8" s="90" t="s">
        <v>96</v>
      </c>
    </row>
    <row r="9" spans="1:22" ht="41.4" x14ac:dyDescent="0.3">
      <c r="A9" s="92">
        <v>7</v>
      </c>
      <c r="B9" s="92" t="s">
        <v>1246</v>
      </c>
      <c r="C9" s="92" t="s">
        <v>70</v>
      </c>
      <c r="D9" s="92" t="s">
        <v>1227</v>
      </c>
      <c r="E9" s="92" t="s">
        <v>1228</v>
      </c>
      <c r="F9" s="92" t="s">
        <v>1247</v>
      </c>
      <c r="G9" s="92" t="s">
        <v>1248</v>
      </c>
      <c r="H9" s="92" t="s">
        <v>74</v>
      </c>
      <c r="I9" s="57" t="s">
        <v>75</v>
      </c>
      <c r="J9" s="91">
        <v>46096.503472222219</v>
      </c>
      <c r="K9" s="91">
        <v>46097.399305555555</v>
      </c>
      <c r="L9" s="91">
        <v>46097.404166666667</v>
      </c>
      <c r="M9" s="92" t="s">
        <v>76</v>
      </c>
      <c r="N9" s="59" t="str">
        <f>IF(ISBLANK(J9),"",IF(OR(M9="Completed",M9="Closed"),"",IF(H9="Issue",IF(I9="High",WORKDAY(J9,2,[3]DATA!A8:A36),IF(I9="Medium",WORKDAY(J9,14,[3]DATA!A8:A36),IF(OR(I9="Low"),WORKDAY(J9,30,[3]DATA!A8:A36),""))),
"")
))</f>
        <v/>
      </c>
      <c r="O9" s="60" t="str">
        <f ca="1">IF(OR(ISBLANK(#REF!), M9="Completed", M9="Closed", H9&lt;&gt;"Issue"), "",
   (NETWORKDAYS.INTL(TODAY(), N9, 1, [3]DATA!A8:A36) - 1))</f>
        <v/>
      </c>
      <c r="P9" s="78" t="str">
        <f t="shared" ca="1" si="0"/>
        <v/>
      </c>
      <c r="Q9" s="62" t="str">
        <f t="shared" ca="1" si="1"/>
        <v/>
      </c>
      <c r="S9" s="238"/>
      <c r="T9" s="70">
        <f ca="1">COUNTIFS(P3:P277,"&gt;=1",P3:P277,"&lt;=30")</f>
        <v>0</v>
      </c>
      <c r="U9" s="70">
        <f ca="1">COUNTIFS(P3:P277,"&gt;=31",P3:P277,"&lt;=60")</f>
        <v>0</v>
      </c>
      <c r="V9" s="70">
        <f ca="1">COUNTIFS(P3:P277,"&gt;60")</f>
        <v>0</v>
      </c>
    </row>
    <row r="10" spans="1:22" ht="27.6" x14ac:dyDescent="0.3">
      <c r="A10" s="92">
        <v>8</v>
      </c>
      <c r="B10" s="92" t="s">
        <v>1249</v>
      </c>
      <c r="C10" s="92" t="s">
        <v>70</v>
      </c>
      <c r="D10" s="92" t="s">
        <v>1227</v>
      </c>
      <c r="E10" s="92" t="s">
        <v>1228</v>
      </c>
      <c r="F10" s="92" t="s">
        <v>1250</v>
      </c>
      <c r="G10" s="92" t="s">
        <v>1251</v>
      </c>
      <c r="H10" s="92" t="s">
        <v>74</v>
      </c>
      <c r="I10" s="57" t="s">
        <v>75</v>
      </c>
      <c r="J10" s="91">
        <v>46146.419444444444</v>
      </c>
      <c r="K10" s="91">
        <v>46188.665972222225</v>
      </c>
      <c r="L10" s="80"/>
      <c r="M10" s="92" t="s">
        <v>85</v>
      </c>
      <c r="N10" s="59" t="str">
        <f>IF(ISBLANK(J10),"",IF(OR(M10="Completed",M10="Closed"),"",IF(H10="Issue",IF(I10="High",WORKDAY(J10,2,[3]DATA!A9:A37),IF(I10="Medium",WORKDAY(J10,14,[3]DATA!A9:A37),IF(OR(I10="Low"),WORKDAY(J10,30,[3]DATA!A9:A37),""))),
"")
))</f>
        <v/>
      </c>
      <c r="O10" s="60" t="str">
        <f ca="1">IF(OR(ISBLANK(#REF!), M10="Completed", M10="Closed", H10&lt;&gt;"Issue"), "",
   (NETWORKDAYS.INTL(TODAY(), N10, 1, [3]DATA!A9:A37) - 1))</f>
        <v/>
      </c>
      <c r="P10" s="78" t="str">
        <f t="shared" ca="1" si="0"/>
        <v/>
      </c>
      <c r="Q10" s="62" t="str">
        <f t="shared" ca="1" si="1"/>
        <v/>
      </c>
    </row>
    <row r="11" spans="1:22" ht="69" x14ac:dyDescent="0.3">
      <c r="A11" s="92">
        <v>9</v>
      </c>
      <c r="B11" s="92" t="s">
        <v>1252</v>
      </c>
      <c r="C11" s="79"/>
      <c r="D11" s="92" t="s">
        <v>1227</v>
      </c>
      <c r="E11" s="92" t="s">
        <v>1228</v>
      </c>
      <c r="F11" s="92" t="s">
        <v>1253</v>
      </c>
      <c r="G11" s="92" t="s">
        <v>1254</v>
      </c>
      <c r="H11" s="92" t="s">
        <v>74</v>
      </c>
      <c r="I11" s="57" t="s">
        <v>75</v>
      </c>
      <c r="J11" s="91">
        <v>46146.436111111114</v>
      </c>
      <c r="K11" s="91">
        <v>46192.665972222225</v>
      </c>
      <c r="L11" s="80"/>
      <c r="M11" s="92" t="s">
        <v>85</v>
      </c>
      <c r="N11" s="59" t="str">
        <f>IF(ISBLANK(J11),"",IF(OR(M11="Completed",M11="Closed"),"",IF(H11="Issue",IF(I11="High",WORKDAY(J11,2,[3]DATA!A10:A38),IF(I11="Medium",WORKDAY(J11,14,[3]DATA!A10:A38),IF(OR(I11="Low"),WORKDAY(J11,30,[3]DATA!A10:A38),""))),
"")
))</f>
        <v/>
      </c>
      <c r="O11" s="60" t="str">
        <f ca="1">IF(OR(ISBLANK(#REF!), M11="Completed", M11="Closed", H11&lt;&gt;"Issue"), "",
   (NETWORKDAYS.INTL(TODAY(), N11, 1, [3]DATA!A10:A38)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IF(ISBLANK(J12),"",IF(OR(M12="Completed",M12="Closed"),"",IF(H12="Issue",IF(I12="High",WORKDAY(J12,2,[3]DATA!A11:A39),IF(I12="Medium",WORKDAY(J12,14,[3]DATA!A11:A39),IF(OR(I12="Low"),WORKDAY(J12,30,[3]DATA!A11:A39),""))),
"")
))</f>
        <v/>
      </c>
      <c r="O12" s="60" t="str">
        <f ca="1">IF(OR(ISBLANK(#REF!), M12="Completed", M12="Closed", H12&lt;&gt;"Issue"), "",
   (NETWORKDAYS.INTL(TODAY(), N12, 1, [3]DATA!A11:A39)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IF(ISBLANK(J13),"",IF(OR(M13="Completed",M13="Closed"),"",IF(H13="Issue",IF(I13="High",WORKDAY(J13,2,[3]DATA!A12:A40),IF(I13="Medium",WORKDAY(J13,14,[3]DATA!A12:A40),IF(OR(I13="Low"),WORKDAY(J13,30,[3]DATA!A12:A40),""))),
"")
))</f>
        <v/>
      </c>
      <c r="O13" s="60" t="str">
        <f ca="1">IF(OR(ISBLANK(#REF!), M13="Completed", M13="Closed", H13&lt;&gt;"Issue"), "",
   (NETWORKDAYS.INTL(TODAY(), N13, 1, [3]DATA!A12:A40)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IF(ISBLANK(J14),"",IF(OR(M14="Completed",M14="Closed"),"",IF(H14="Issue",IF(I14="High",WORKDAY(J14,2,[3]DATA!A13:A41),IF(I14="Medium",WORKDAY(J14,14,[3]DATA!A13:A41),IF(OR(I14="Low"),WORKDAY(J14,30,[3]DATA!A13:A41),""))),
"")
))</f>
        <v/>
      </c>
      <c r="O14" s="60" t="str">
        <f ca="1">IF(OR(ISBLANK(#REF!), M14="Completed", M14="Closed", H14&lt;&gt;"Issue"), "",
   (NETWORKDAYS.INTL(TODAY(), N14, 1, [3]DATA!A13:A41)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IF(ISBLANK(J15),"",IF(OR(M15="Completed",M15="Closed"),"",IF(H15="Issue",IF(I15="High",WORKDAY(J15,2,[3]DATA!A14:A42),IF(I15="Medium",WORKDAY(J15,14,[3]DATA!A14:A42),IF(OR(I15="Low"),WORKDAY(J15,30,[3]DATA!A14:A42),""))),
"")
))</f>
        <v/>
      </c>
      <c r="O15" s="60" t="str">
        <f ca="1">IF(OR(ISBLANK(#REF!), M15="Completed", M15="Closed", H15&lt;&gt;"Issue"), "",
   (NETWORKDAYS.INTL(TODAY(), N15, 1, [3]DATA!A14:A42)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IF(ISBLANK(J16),"",IF(OR(M16="Completed",M16="Closed"),"",IF(H16="Issue",IF(I16="High",WORKDAY(J16,2,[3]DATA!A15:A43),IF(I16="Medium",WORKDAY(J16,14,[3]DATA!A15:A43),IF(OR(I16="Low"),WORKDAY(J16,30,[3]DATA!A15:A43),""))),
"")
))</f>
        <v/>
      </c>
      <c r="O16" s="60" t="str">
        <f ca="1">IF(OR(ISBLANK(#REF!), M16="Completed", M16="Closed", H16&lt;&gt;"Issue"), "",
   (NETWORKDAYS.INTL(TODAY(), N16, 1, [3]DATA!A15:A43)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IF(ISBLANK(J17),"",IF(OR(M17="Completed",M17="Closed"),"",IF(H17="Issue",IF(I17="High",WORKDAY(J17,2,[3]DATA!A16:A44),IF(I17="Medium",WORKDAY(J17,14,[3]DATA!A16:A44),IF(OR(I17="Low"),WORKDAY(J17,30,[3]DATA!A16:A44),""))),
"")
))</f>
        <v/>
      </c>
      <c r="O17" s="60" t="str">
        <f ca="1">IF(OR(ISBLANK(#REF!), M17="Completed", M17="Closed", H17&lt;&gt;"Issue"), "",
   (NETWORKDAYS.INTL(TODAY(), N17, 1, [3]DATA!A16:A44)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IF(ISBLANK(J18),"",IF(OR(M18="Completed",M18="Closed"),"",IF(H18="Issue",IF(I18="High",WORKDAY(J18,2,[3]DATA!A17:A45),IF(I18="Medium",WORKDAY(J18,14,[3]DATA!A17:A45),IF(OR(I18="Low"),WORKDAY(J18,30,[3]DATA!A17:A45),""))),
"")
))</f>
        <v/>
      </c>
      <c r="O18" s="60" t="str">
        <f ca="1">IF(OR(ISBLANK(#REF!), M18="Completed", M18="Closed", H18&lt;&gt;"Issue"), "",
   (NETWORKDAYS.INTL(TODAY(), N18, 1, [3]DATA!A17:A45)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IF(ISBLANK(J19),"",IF(OR(M19="Completed",M19="Closed"),"",IF(H19="Issue",IF(I19="High",WORKDAY(J19,2,[3]DATA!A18:A46),IF(I19="Medium",WORKDAY(J19,14,[3]DATA!A18:A46),IF(OR(I19="Low"),WORKDAY(J19,30,[3]DATA!A18:A46),""))),
"")
))</f>
        <v/>
      </c>
      <c r="O19" s="60" t="str">
        <f ca="1">IF(OR(ISBLANK(#REF!), M19="Completed", M19="Closed", H19&lt;&gt;"Issue"), "",
   (NETWORKDAYS.INTL(TODAY(), N19, 1, [3]DATA!A18:A46)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IF(ISBLANK(J20),"",IF(OR(M20="Completed",M20="Closed"),"",IF(H20="Issue",IF(I20="High",WORKDAY(J20,2,[3]DATA!A19:A47),IF(I20="Medium",WORKDAY(J20,14,[3]DATA!A19:A47),IF(OR(I20="Low"),WORKDAY(J20,30,[3]DATA!A19:A47),""))),
"")
))</f>
        <v/>
      </c>
      <c r="O20" s="60" t="str">
        <f ca="1">IF(OR(ISBLANK(#REF!), M20="Completed", M20="Closed", H20&lt;&gt;"Issue"), "",
   (NETWORKDAYS.INTL(TODAY(), N20, 1, [3]DATA!A19:A47)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IF(ISBLANK(J21),"",IF(OR(M21="Completed",M21="Closed"),"",IF(H21="Issue",IF(I21="High",WORKDAY(J21,2,[3]DATA!A20:A48),IF(I21="Medium",WORKDAY(J21,14,[3]DATA!A20:A48),IF(OR(I21="Low"),WORKDAY(J21,30,[3]DATA!A20:A48),""))),
"")
))</f>
        <v/>
      </c>
      <c r="O21" s="60" t="str">
        <f ca="1">IF(OR(ISBLANK(#REF!), M21="Completed", M21="Closed", H21&lt;&gt;"Issue"), "",
   (NETWORKDAYS.INTL(TODAY(), N21, 1, [3]DATA!A20:A48)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IF(ISBLANK(J22),"",IF(OR(M22="Completed",M22="Closed"),"",IF(H22="Issue",IF(I22="High",WORKDAY(J22,2,[3]DATA!A21:A49),IF(I22="Medium",WORKDAY(J22,14,[3]DATA!A21:A49),IF(OR(I22="Low"),WORKDAY(J22,30,[3]DATA!A21:A49),""))),
"")
))</f>
        <v/>
      </c>
      <c r="O22" s="60" t="str">
        <f ca="1">IF(OR(ISBLANK(#REF!), M22="Completed", M22="Closed", H22&lt;&gt;"Issue"), "",
   (NETWORKDAYS.INTL(TODAY(), N22, 1, [3]DATA!A21:A49)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IF(ISBLANK(J23),"",IF(OR(M23="Completed",M23="Closed"),"",IF(H23="Issue",IF(I23="High",WORKDAY(J23,2,[3]DATA!A22:A50),IF(I23="Medium",WORKDAY(J23,14,[3]DATA!A22:A50),IF(OR(I23="Low"),WORKDAY(J23,30,[3]DATA!A22:A50),""))),
"")
))</f>
        <v/>
      </c>
      <c r="O23" s="60" t="str">
        <f ca="1">IF(OR(ISBLANK(#REF!), M23="Completed", M23="Closed", H23&lt;&gt;"Issue"), "",
   (NETWORKDAYS.INTL(TODAY(), N23, 1, [3]DATA!A22:A50)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IF(ISBLANK(J24),"",IF(OR(M24="Completed",M24="Closed"),"",IF(H24="Issue",IF(I24="High",WORKDAY(J24,2,[3]DATA!A24:A52),IF(I24="Medium",WORKDAY(J24,14,[3]DATA!A24:A52),IF(OR(I24="Low"),WORKDAY(J24,30,[3]DATA!A24:A52),""))),
"")
))</f>
        <v/>
      </c>
      <c r="O24" s="60" t="str">
        <f ca="1">IF(OR(ISBLANK(#REF!), M24="Completed", M24="Closed", H24&lt;&gt;"Issue"), "",
   (NETWORKDAYS.INTL(TODAY(), N24, 1, [3]DATA!A24:A52)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IF(ISBLANK(J25),"",IF(OR(M25="Completed",M25="Closed"),"",IF(H25="Issue",IF(I25="High",WORKDAY(J25,2,[3]DATA!A25:A53),IF(I25="Medium",WORKDAY(J25,14,[3]DATA!A25:A53),IF(OR(I25="Low"),WORKDAY(J25,30,[3]DATA!A25:A53),""))),
"")
))</f>
        <v/>
      </c>
      <c r="O25" s="60" t="str">
        <f ca="1">IF(OR(ISBLANK(#REF!), M25="Completed", M25="Closed", H25&lt;&gt;"Issue"), "",
   (NETWORKDAYS.INTL(TODAY(), N25, 1, [3]DATA!A25:A53)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IF(ISBLANK(J26),"",IF(OR(M26="Completed",M26="Closed"),"",IF(H26="Issue",IF(I26="High",WORKDAY(J26,2,[3]DATA!A26:A54),IF(I26="Medium",WORKDAY(J26,14,[3]DATA!A26:A54),IF(OR(I26="Low"),WORKDAY(J26,30,[3]DATA!A26:A54),""))),
"")
))</f>
        <v/>
      </c>
      <c r="O26" s="60" t="str">
        <f ca="1">IF(OR(ISBLANK(#REF!), M26="Completed", M26="Closed", H26&lt;&gt;"Issue"), "",
   (NETWORKDAYS.INTL(TODAY(), N26, 1, [3]DATA!A26:A54)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IF(ISBLANK(J27),"",IF(OR(M27="Completed",M27="Closed"),"",IF(H27="Issue",IF(I27="High",WORKDAY(J27,2,[3]DATA!A27:A55),IF(I27="Medium",WORKDAY(J27,14,[3]DATA!A27:A55),IF(OR(I27="Low"),WORKDAY(J27,30,[3]DATA!A27:A55),""))),
"")
))</f>
        <v/>
      </c>
      <c r="O27" s="60" t="str">
        <f ca="1">IF(OR(ISBLANK(#REF!), M27="Completed", M27="Closed", H27&lt;&gt;"Issue"), "",
   (NETWORKDAYS.INTL(TODAY(), N27, 1, [3]DATA!A27:A55)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IF(ISBLANK(J28),"",IF(OR(M28="Completed",M28="Closed"),"",IF(H28="Issue",IF(I28="High",WORKDAY(J28,2,[3]DATA!A28:A56),IF(I28="Medium",WORKDAY(J28,14,[3]DATA!A28:A56),IF(OR(I28="Low"),WORKDAY(J28,30,[3]DATA!A28:A56),""))),
"")
))</f>
        <v/>
      </c>
      <c r="O28" s="60" t="str">
        <f ca="1">IF(OR(ISBLANK(#REF!), M28="Completed", M28="Closed", H28&lt;&gt;"Issue"), "",
   (NETWORKDAYS.INTL(TODAY(), N28, 1, [3]DATA!A28:A56)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IF(ISBLANK(J29),"",IF(OR(M29="Completed",M29="Closed"),"",IF(H29="Issue",IF(I29="High",WORKDAY(J29,2,[3]DATA!A29:A57),IF(I29="Medium",WORKDAY(J29,14,[3]DATA!A29:A57),IF(OR(I29="Low"),WORKDAY(J29,30,[3]DATA!A29:A57),""))),
"")
))</f>
        <v/>
      </c>
      <c r="O29" s="60" t="str">
        <f ca="1">IF(OR(ISBLANK(#REF!), M29="Completed", M29="Closed", H29&lt;&gt;"Issue"), "",
   (NETWORKDAYS.INTL(TODAY(), N29, 1, [3]DATA!A29:A57)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IF(ISBLANK(J30),"",IF(OR(M30="Completed",M30="Closed"),"",IF(H30="Issue",IF(I30="High",WORKDAY(J30,2,[3]DATA!A30:A58),IF(I30="Medium",WORKDAY(J30,14,[3]DATA!A30:A58),IF(OR(I30="Low"),WORKDAY(J30,30,[3]DATA!A30:A58),""))),
"")
))</f>
        <v/>
      </c>
      <c r="O30" s="60" t="str">
        <f ca="1">IF(OR(ISBLANK(#REF!), M30="Completed", M30="Closed", H30&lt;&gt;"Issue"), "",
   (NETWORKDAYS.INTL(TODAY(), N30, 1, [3]DATA!A30:A58)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IF(ISBLANK(J31),"",IF(OR(M31="Completed",M31="Closed"),"",IF(H31="Issue",IF(I31="High",WORKDAY(J31,2,[3]DATA!A31:A59),IF(I31="Medium",WORKDAY(J31,14,[3]DATA!A31:A59),IF(OR(I31="Low"),WORKDAY(J31,30,[3]DATA!A31:A59),""))),
"")
))</f>
        <v/>
      </c>
      <c r="O31" s="60" t="str">
        <f ca="1">IF(OR(ISBLANK(#REF!), M31="Completed", M31="Closed", H31&lt;&gt;"Issue"), "",
   (NETWORKDAYS.INTL(TODAY(), N31, 1, [3]DATA!A31:A59)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IF(ISBLANK(J32),"",IF(OR(M32="Completed",M32="Closed"),"",IF(H32="Issue",IF(I32="High",WORKDAY(J32,2,[3]DATA!A32:A60),IF(I32="Medium",WORKDAY(J32,14,[3]DATA!A32:A60),IF(OR(I32="Low"),WORKDAY(J32,30,[3]DATA!A32:A60),""))),
"")
))</f>
        <v/>
      </c>
      <c r="O32" s="60" t="str">
        <f ca="1">IF(OR(ISBLANK(#REF!), M32="Completed", M32="Closed", H32&lt;&gt;"Issue"), "",
   (NETWORKDAYS.INTL(TODAY(), N32, 1, [3]DATA!A32:A60)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IF(ISBLANK(J33),"",IF(OR(M33="Completed",M33="Closed"),"",IF(H33="Issue",IF(I33="High",WORKDAY(J33,2,[3]DATA!A33:A61),IF(I33="Medium",WORKDAY(J33,14,[3]DATA!A33:A61),IF(OR(I33="Low"),WORKDAY(J33,30,[3]DATA!A33:A61),""))),
"")
))</f>
        <v/>
      </c>
      <c r="O33" s="60" t="str">
        <f ca="1">IF(OR(ISBLANK(#REF!), M33="Completed", M33="Closed", H33&lt;&gt;"Issue"), "",
   (NETWORKDAYS.INTL(TODAY(), N33, 1, [3]DATA!A33:A61)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IF(ISBLANK(J34),"",IF(OR(M34="Completed",M34="Closed"),"",IF(H34="Issue",IF(I34="High",WORKDAY(J34,2,[3]DATA!A34:A62),IF(I34="Medium",WORKDAY(J34,14,[3]DATA!A34:A62),IF(OR(I34="Low"),WORKDAY(J34,30,[3]DATA!A34:A62),""))),
"")
))</f>
        <v/>
      </c>
      <c r="O34" s="60" t="str">
        <f ca="1">IF(OR(ISBLANK(#REF!), M34="Completed", M34="Closed", H34&lt;&gt;"Issue"), "",
   (NETWORKDAYS.INTL(TODAY(), N34, 1, [3]DATA!A34:A62)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IF(ISBLANK(J35),"",IF(OR(M35="Completed",M35="Closed"),"",IF(H35="Issue",IF(I35="High",WORKDAY(J35,2,[3]DATA!A35:A63),IF(I35="Medium",WORKDAY(J35,14,[3]DATA!A35:A63),IF(OR(I35="Low"),WORKDAY(J35,30,[3]DATA!A35:A63),""))),
"")
))</f>
        <v/>
      </c>
      <c r="O35" s="60" t="str">
        <f ca="1">IF(OR(ISBLANK(#REF!), M35="Completed", M35="Closed", H35&lt;&gt;"Issue"), "",
   (NETWORKDAYS.INTL(TODAY(), N35, 1, [3]DATA!A35:A63)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IF(ISBLANK(J36),"",IF(OR(M36="Completed",M36="Closed"),"",IF(H36="Issue",IF(I36="High",WORKDAY(J36,2,[3]DATA!A36:A64),IF(I36="Medium",WORKDAY(J36,14,[3]DATA!A36:A64),IF(OR(I36="Low"),WORKDAY(J36,30,[3]DATA!A36:A64),""))),
"")
))</f>
        <v/>
      </c>
      <c r="O36" s="60" t="str">
        <f ca="1">IF(OR(ISBLANK(#REF!), M36="Completed", M36="Closed", H36&lt;&gt;"Issue"), "",
   (NETWORKDAYS.INTL(TODAY(), N36, 1, [3]DATA!A36:A64)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IF(ISBLANK(J37),"",IF(OR(M37="Completed",M37="Closed"),"",IF(H37="Issue",IF(I37="High",WORKDAY(J37,2,[3]DATA!A37:A65),IF(I37="Medium",WORKDAY(J37,14,[3]DATA!A37:A65),IF(OR(I37="Low"),WORKDAY(J37,30,[3]DATA!A37:A65),""))),
"")
))</f>
        <v/>
      </c>
      <c r="O37" s="60" t="str">
        <f ca="1">IF(OR(ISBLANK(#REF!), M37="Completed", M37="Closed", H37&lt;&gt;"Issue"), "",
   (NETWORKDAYS.INTL(TODAY(), N37, 1, [3]DATA!A37:A65)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IF(ISBLANK(J38),"",IF(OR(M38="Completed",M38="Closed"),"",IF(H38="Issue",IF(I38="High",WORKDAY(J38,2,[3]DATA!A38:A66),IF(I38="Medium",WORKDAY(J38,14,[3]DATA!A38:A66),IF(OR(I38="Low"),WORKDAY(J38,30,[3]DATA!A38:A66),""))),
"")
))</f>
        <v/>
      </c>
      <c r="O38" s="60" t="str">
        <f ca="1">IF(OR(ISBLANK(#REF!), M38="Completed", M38="Closed", H38&lt;&gt;"Issue"), "",
   (NETWORKDAYS.INTL(TODAY(), N38, 1, [3]DATA!A38:A66)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IF(ISBLANK(J39),"",IF(OR(M39="Completed",M39="Closed"),"",IF(H39="Issue",IF(I39="High",WORKDAY(J39,2,[3]DATA!A39:A67),IF(I39="Medium",WORKDAY(J39,14,[3]DATA!A39:A67),IF(OR(I39="Low"),WORKDAY(J39,30,[3]DATA!A39:A67),""))),
"")
))</f>
        <v/>
      </c>
      <c r="O39" s="60" t="str">
        <f ca="1">IF(OR(ISBLANK(#REF!), M39="Completed", M39="Closed", H39&lt;&gt;"Issue"), "",
   (NETWORKDAYS.INTL(TODAY(), N39, 1, [3]DATA!A39:A67)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IF(ISBLANK(J40),"",IF(OR(M40="Completed",M40="Closed"),"",IF(H40="Issue",IF(I40="High",WORKDAY(J40,2,[3]DATA!A40:A68),IF(I40="Medium",WORKDAY(J40,14,[3]DATA!A40:A68),IF(OR(I40="Low"),WORKDAY(J40,30,[3]DATA!A40:A68),""))),
"")
))</f>
        <v/>
      </c>
      <c r="O40" s="60" t="str">
        <f ca="1">IF(OR(ISBLANK(#REF!), M40="Completed", M40="Closed", H40&lt;&gt;"Issue"), "",
   (NETWORKDAYS.INTL(TODAY(), N40, 1, [3]DATA!A40:A68)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IF(ISBLANK(J41),"",IF(OR(M41="Completed",M41="Closed"),"",IF(H41="Issue",IF(I41="High",WORKDAY(J41,2,[3]DATA!A41:A69),IF(I41="Medium",WORKDAY(J41,14,[3]DATA!A41:A69),IF(OR(I41="Low"),WORKDAY(J41,30,[3]DATA!A41:A69),""))),
"")
))</f>
        <v/>
      </c>
      <c r="O41" s="60" t="str">
        <f ca="1">IF(OR(ISBLANK(#REF!), M41="Completed", M41="Closed", H41&lt;&gt;"Issue"), "",
   (NETWORKDAYS.INTL(TODAY(), N41, 1, [3]DATA!A41:A69)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IF(ISBLANK(J42),"",IF(OR(M42="Completed",M42="Closed"),"",IF(H42="Issue",IF(I42="High",WORKDAY(J42,2,[3]DATA!A42:A70),IF(I42="Medium",WORKDAY(J42,14,[3]DATA!A42:A70),IF(OR(I42="Low"),WORKDAY(J42,30,[3]DATA!A42:A70),""))),
"")
))</f>
        <v/>
      </c>
      <c r="O42" s="60" t="str">
        <f ca="1">IF(OR(ISBLANK(#REF!), M42="Completed", M42="Closed", H42&lt;&gt;"Issue"), "",
   (NETWORKDAYS.INTL(TODAY(), N42, 1, [3]DATA!A42:A70)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IF(ISBLANK(J43),"",IF(OR(M43="Completed",M43="Closed"),"",IF(H43="Issue",IF(I43="High",WORKDAY(J43,2,[3]DATA!A43:A71),IF(I43="Medium",WORKDAY(J43,14,[3]DATA!A43:A71),IF(OR(I43="Low"),WORKDAY(J43,30,[3]DATA!A43:A71),""))),
"")
))</f>
        <v/>
      </c>
      <c r="O43" s="60" t="str">
        <f ca="1">IF(OR(ISBLANK(#REF!), M43="Completed", M43="Closed", H43&lt;&gt;"Issue"), "",
   (NETWORKDAYS.INTL(TODAY(), N43, 1, [3]DATA!A43:A71)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IF(ISBLANK(J44),"",IF(OR(M44="Completed",M44="Closed"),"",IF(H44="Issue",IF(I44="High",WORKDAY(J44,2,[3]DATA!A44:A72),IF(I44="Medium",WORKDAY(J44,14,[3]DATA!A44:A72),IF(OR(I44="Low"),WORKDAY(J44,30,[3]DATA!A44:A72),""))),
"")
))</f>
        <v/>
      </c>
      <c r="O44" s="60" t="str">
        <f ca="1">IF(OR(ISBLANK(#REF!), M44="Completed", M44="Closed", H44&lt;&gt;"Issue"), "",
   (NETWORKDAYS.INTL(TODAY(), N44, 1, [3]DATA!A44:A72)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IF(ISBLANK(J45),"",IF(OR(M45="Completed",M45="Closed"),"",IF(H45="Issue",IF(I45="High",WORKDAY(J45,2,[3]DATA!A45:A73),IF(I45="Medium",WORKDAY(J45,14,[3]DATA!A45:A73),IF(OR(I45="Low"),WORKDAY(J45,30,[3]DATA!A45:A73),""))),
"")
))</f>
        <v/>
      </c>
      <c r="O45" s="60" t="str">
        <f ca="1">IF(OR(ISBLANK(#REF!), M45="Completed", M45="Closed", H45&lt;&gt;"Issue"), "",
   (NETWORKDAYS.INTL(TODAY(), N45, 1, [3]DATA!A45:A73)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IF(ISBLANK(J46),"",IF(OR(M46="Completed",M46="Closed"),"",IF(H46="Issue",IF(I46="High",WORKDAY(J46,2,[3]DATA!A46:A74),IF(I46="Medium",WORKDAY(J46,14,[3]DATA!A46:A74),IF(OR(I46="Low"),WORKDAY(J46,30,[3]DATA!A46:A74),""))),
"")
))</f>
        <v/>
      </c>
      <c r="O46" s="60" t="str">
        <f ca="1">IF(OR(ISBLANK(#REF!), M46="Completed", M46="Closed", H46&lt;&gt;"Issue"), "",
   (NETWORKDAYS.INTL(TODAY(), N46, 1, [3]DATA!A46:A74)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IF(ISBLANK(J47),"",IF(OR(M47="Completed",M47="Closed"),"",IF(H47="Issue",IF(I47="High",WORKDAY(J47,2,[3]DATA!A47:A75),IF(I47="Medium",WORKDAY(J47,14,[3]DATA!A47:A75),IF(OR(I47="Low"),WORKDAY(J47,30,[3]DATA!A47:A75),""))),
"")
))</f>
        <v/>
      </c>
      <c r="O47" s="60" t="str">
        <f ca="1">IF(OR(ISBLANK(#REF!), M47="Completed", M47="Closed", H47&lt;&gt;"Issue"), "",
   (NETWORKDAYS.INTL(TODAY(), N47, 1, [3]DATA!A47:A75)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IF(ISBLANK(J48),"",IF(OR(M48="Completed",M48="Closed"),"",IF(H48="Issue",IF(I48="High",WORKDAY(J48,2,[3]DATA!A48:A76),IF(I48="Medium",WORKDAY(J48,14,[3]DATA!A48:A76),IF(OR(I48="Low"),WORKDAY(J48,30,[3]DATA!A48:A76),""))),
"")
))</f>
        <v/>
      </c>
      <c r="O48" s="60" t="str">
        <f ca="1">IF(OR(ISBLANK(#REF!), M48="Completed", M48="Closed", H48&lt;&gt;"Issue"), "",
   (NETWORKDAYS.INTL(TODAY(), N48, 1, [3]DATA!A48:A76)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IF(ISBLANK(J49),"",IF(OR(M49="Completed",M49="Closed"),"",IF(H49="Issue",IF(I49="High",WORKDAY(J49,2,[3]DATA!A49:A77),IF(I49="Medium",WORKDAY(J49,14,[3]DATA!A49:A77),IF(OR(I49="Low"),WORKDAY(J49,30,[3]DATA!A49:A77),""))),
"")
))</f>
        <v/>
      </c>
      <c r="O49" s="60" t="str">
        <f ca="1">IF(OR(ISBLANK(#REF!), M49="Completed", M49="Closed", H49&lt;&gt;"Issue"), "",
   (NETWORKDAYS.INTL(TODAY(), N49, 1, [3]DATA!A49:A77)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IF(ISBLANK(J50),"",IF(OR(M50="Completed",M50="Closed"),"",IF(H50="Issue",IF(I50="High",WORKDAY(J50,2,[3]DATA!A50:A78),IF(I50="Medium",WORKDAY(J50,14,[3]DATA!A50:A78),IF(OR(I50="Low"),WORKDAY(J50,30,[3]DATA!A50:A78),""))),
"")
))</f>
        <v/>
      </c>
      <c r="O50" s="60" t="str">
        <f ca="1">IF(OR(ISBLANK(#REF!), M50="Completed", M50="Closed", H50&lt;&gt;"Issue"), "",
   (NETWORKDAYS.INTL(TODAY(), N50, 1, [3]DATA!A50:A78)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IF(ISBLANK(J51),"",IF(OR(M51="Completed",M51="Closed"),"",IF(H51="Issue",IF(I51="High",WORKDAY(J51,2,[3]DATA!A51:A79),IF(I51="Medium",WORKDAY(J51,14,[3]DATA!A51:A79),IF(OR(I51="Low"),WORKDAY(J51,30,[3]DATA!A51:A79),""))),
"")
))</f>
        <v/>
      </c>
      <c r="O51" s="60" t="str">
        <f ca="1">IF(OR(ISBLANK(#REF!), M51="Completed", M51="Closed", H51&lt;&gt;"Issue"), "",
   (NETWORKDAYS.INTL(TODAY(), N51, 1, [3]DATA!A51:A79)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IF(ISBLANK(J52),"",IF(OR(M52="Completed",M52="Closed"),"",IF(H52="Issue",IF(I52="High",WORKDAY(J52,2,[3]DATA!A52:A80),IF(I52="Medium",WORKDAY(J52,14,[3]DATA!A52:A80),IF(OR(I52="Low"),WORKDAY(J52,30,[3]DATA!A52:A80),""))),
"")
))</f>
        <v/>
      </c>
      <c r="O52" s="60" t="str">
        <f ca="1">IF(OR(ISBLANK(#REF!), M52="Completed", M52="Closed", H52&lt;&gt;"Issue"), "",
   (NETWORKDAYS.INTL(TODAY(), N52, 1, [3]DATA!A52:A80)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IF(ISBLANK(J53),"",IF(OR(M53="Completed",M53="Closed"),"",IF(H53="Issue",IF(I53="High",WORKDAY(J53,2,[3]DATA!A53:A81),IF(I53="Medium",WORKDAY(J53,14,[3]DATA!A53:A81),IF(OR(I53="Low"),WORKDAY(J53,30,[3]DATA!A53:A81),""))),
"")
))</f>
        <v/>
      </c>
      <c r="O53" s="60" t="str">
        <f ca="1">IF(OR(ISBLANK(#REF!), M53="Completed", M53="Closed", H53&lt;&gt;"Issue"), "",
   (NETWORKDAYS.INTL(TODAY(), N53, 1, [3]DATA!A53:A81)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IF(ISBLANK(J54),"",IF(OR(M54="Completed",M54="Closed"),"",IF(H54="Issue",IF(I54="High",WORKDAY(J54,2,[3]DATA!A54:A82),IF(I54="Medium",WORKDAY(J54,14,[3]DATA!A54:A82),IF(OR(I54="Low"),WORKDAY(J54,30,[3]DATA!A54:A82),""))),
"")
))</f>
        <v/>
      </c>
      <c r="O54" s="60" t="str">
        <f ca="1">IF(OR(ISBLANK(#REF!), M54="Completed", M54="Closed", H54&lt;&gt;"Issue"), "",
   (NETWORKDAYS.INTL(TODAY(), N54, 1, [3]DATA!A54:A82)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IF(ISBLANK(J55),"",IF(OR(M55="Completed",M55="Closed"),"",IF(H55="Issue",IF(I55="High",WORKDAY(J55,2,[3]DATA!A55:A83),IF(I55="Medium",WORKDAY(J55,14,[3]DATA!A55:A83),IF(OR(I55="Low"),WORKDAY(J55,30,[3]DATA!A55:A83),""))),
"")
))</f>
        <v/>
      </c>
      <c r="O55" s="60" t="str">
        <f ca="1">IF(OR(ISBLANK(#REF!), M55="Completed", M55="Closed", H55&lt;&gt;"Issue"), "",
   (NETWORKDAYS.INTL(TODAY(), N55, 1, [3]DATA!A55:A83)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IF(ISBLANK(J56),"",IF(OR(M56="Completed",M56="Closed"),"",IF(H56="Issue",IF(I56="High",WORKDAY(J56,2,[3]DATA!A56:A84),IF(I56="Medium",WORKDAY(J56,14,[3]DATA!A56:A84),IF(OR(I56="Low"),WORKDAY(J56,30,[3]DATA!A56:A84),""))),
"")
))</f>
        <v/>
      </c>
      <c r="O56" s="60" t="str">
        <f ca="1">IF(OR(ISBLANK(#REF!), M56="Completed", M56="Closed", H56&lt;&gt;"Issue"), "",
   (NETWORKDAYS.INTL(TODAY(), N56, 1, [3]DATA!A56:A84)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IF(ISBLANK(J57),"",IF(OR(M57="Completed",M57="Closed"),"",IF(H57="Issue",IF(I57="High",WORKDAY(J57,2,[3]DATA!A57:A85),IF(I57="Medium",WORKDAY(J57,14,[3]DATA!A57:A85),IF(OR(I57="Low"),WORKDAY(J57,30,[3]DATA!A57:A85),""))),
"")
))</f>
        <v/>
      </c>
      <c r="O57" s="60" t="str">
        <f ca="1">IF(OR(ISBLANK(#REF!), M57="Completed", M57="Closed", H57&lt;&gt;"Issue"), "",
   (NETWORKDAYS.INTL(TODAY(), N57, 1, [3]DATA!A57:A85)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IF(ISBLANK(J58),"",IF(OR(M58="Completed",M58="Closed"),"",IF(H58="Issue",IF(I58="High",WORKDAY(J58,2,[3]DATA!A58:A86),IF(I58="Medium",WORKDAY(J58,14,[3]DATA!A58:A86),IF(OR(I58="Low"),WORKDAY(J58,30,[3]DATA!A58:A86),""))),
"")
))</f>
        <v/>
      </c>
      <c r="O58" s="60" t="str">
        <f ca="1">IF(OR(ISBLANK(#REF!), M58="Completed", M58="Closed", H58&lt;&gt;"Issue"), "",
   (NETWORKDAYS.INTL(TODAY(), N58, 1, [3]DATA!A58:A86)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IF(ISBLANK(J59),"",IF(OR(M59="Completed",M59="Closed"),"",IF(H59="Issue",IF(I59="High",WORKDAY(J59,2,[3]DATA!A59:A87),IF(I59="Medium",WORKDAY(J59,14,[3]DATA!A59:A87),IF(OR(I59="Low"),WORKDAY(J59,30,[3]DATA!A59:A87),""))),
"")
))</f>
        <v/>
      </c>
      <c r="O59" s="60" t="str">
        <f ca="1">IF(OR(ISBLANK(#REF!), M59="Completed", M59="Closed", H59&lt;&gt;"Issue"), "",
   (NETWORKDAYS.INTL(TODAY(), N59, 1, [3]DATA!A59:A87)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IF(ISBLANK(J60),"",IF(OR(M60="Completed",M60="Closed"),"",IF(H60="Issue",IF(I60="High",WORKDAY(J60,2,[3]DATA!A60:A88),IF(I60="Medium",WORKDAY(J60,14,[3]DATA!A60:A88),IF(OR(I60="Low"),WORKDAY(J60,30,[3]DATA!A60:A88),""))),
"")
))</f>
        <v/>
      </c>
      <c r="O60" s="60" t="str">
        <f ca="1">IF(OR(ISBLANK(#REF!), M60="Completed", M60="Closed", H60&lt;&gt;"Issue"), "",
   (NETWORKDAYS.INTL(TODAY(), N60, 1, [3]DATA!A60:A88)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IF(ISBLANK(J61),"",IF(OR(M61="Completed",M61="Closed"),"",IF(H61="Issue",IF(I61="High",WORKDAY(J61,2,[3]DATA!A61:A89),IF(I61="Medium",WORKDAY(J61,14,[3]DATA!A61:A89),IF(OR(I61="Low"),WORKDAY(J61,30,[3]DATA!A61:A89),""))),
"")
))</f>
        <v/>
      </c>
      <c r="O61" s="60" t="str">
        <f ca="1">IF(OR(ISBLANK(#REF!), M61="Completed", M61="Closed", H61&lt;&gt;"Issue"), "",
   (NETWORKDAYS.INTL(TODAY(), N61, 1, [3]DATA!A61:A89)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IF(ISBLANK(J62),"",IF(OR(M62="Completed",M62="Closed"),"",IF(H62="Issue",IF(I62="High",WORKDAY(J62,2,[3]DATA!A62:A90),IF(I62="Medium",WORKDAY(J62,14,[3]DATA!A62:A90),IF(OR(I62="Low"),WORKDAY(J62,30,[3]DATA!A62:A90),""))),
"")
))</f>
        <v/>
      </c>
      <c r="O62" s="60" t="str">
        <f ca="1">IF(OR(ISBLANK(#REF!), M62="Completed", M62="Closed", H62&lt;&gt;"Issue"), "",
   (NETWORKDAYS.INTL(TODAY(), N62, 1, [3]DATA!A62:A90)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IF(ISBLANK(J63),"",IF(OR(M63="Completed",M63="Closed"),"",IF(H63="Issue",IF(I63="High",WORKDAY(J63,2,[3]DATA!A63:A91),IF(I63="Medium",WORKDAY(J63,14,[3]DATA!A63:A91),IF(OR(I63="Low"),WORKDAY(J63,30,[3]DATA!A63:A91),""))),
"")
))</f>
        <v/>
      </c>
      <c r="O63" s="60" t="str">
        <f ca="1">IF(OR(ISBLANK(#REF!), M63="Completed", M63="Closed", H63&lt;&gt;"Issue"), "",
   (NETWORKDAYS.INTL(TODAY(), N63, 1, [3]DATA!A63:A91)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IF(ISBLANK(J64),"",IF(OR(M64="Completed",M64="Closed"),"",IF(H64="Issue",IF(I64="High",WORKDAY(J64,2,[3]DATA!A64:A92),IF(I64="Medium",WORKDAY(J64,14,[3]DATA!A64:A92),IF(OR(I64="Low"),WORKDAY(J64,30,[3]DATA!A64:A92),""))),
"")
))</f>
        <v/>
      </c>
      <c r="O64" s="60" t="str">
        <f ca="1">IF(OR(ISBLANK(#REF!), M64="Completed", M64="Closed", H64&lt;&gt;"Issue"), "",
   (NETWORKDAYS.INTL(TODAY(), N64, 1, [3]DATA!A64:A92)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IF(ISBLANK(J65),"",IF(OR(M65="Completed",M65="Closed"),"",IF(H65="Issue",IF(I65="High",WORKDAY(J65,2,[3]DATA!A65:A93),IF(I65="Medium",WORKDAY(J65,14,[3]DATA!A65:A93),IF(OR(I65="Low"),WORKDAY(J65,30,[3]DATA!A65:A93),""))),
"")
))</f>
        <v/>
      </c>
      <c r="O65" s="60" t="str">
        <f ca="1">IF(OR(ISBLANK(#REF!), M65="Completed", M65="Closed", H65&lt;&gt;"Issue"), "",
   (NETWORKDAYS.INTL(TODAY(), N65, 1, [3]DATA!A65:A93)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IF(ISBLANK(J66),"",IF(OR(M66="Completed",M66="Closed"),"",IF(H66="Issue",IF(I66="High",WORKDAY(J66,2,[3]DATA!A66:A94),IF(I66="Medium",WORKDAY(J66,14,[3]DATA!A66:A94),IF(OR(I66="Low"),WORKDAY(J66,30,[3]DATA!A66:A94),""))),
"")
))</f>
        <v/>
      </c>
      <c r="O66" s="60" t="str">
        <f ca="1">IF(OR(ISBLANK(#REF!), M66="Completed", M66="Closed", H66&lt;&gt;"Issue"), "",
   (NETWORKDAYS.INTL(TODAY(), N66, 1, [3]DATA!A66:A94)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IF(ISBLANK(J67),"",IF(OR(M67="Completed",M67="Closed"),"",IF(H67="Issue",IF(I67="High",WORKDAY(J67,2,[3]DATA!A67:A95),IF(I67="Medium",WORKDAY(J67,14,[3]DATA!A67:A95),IF(OR(I67="Low"),WORKDAY(J67,30,[3]DATA!A67:A95),""))),
"")
))</f>
        <v/>
      </c>
      <c r="O67" s="60" t="str">
        <f ca="1">IF(OR(ISBLANK(#REF!), M67="Completed", M67="Closed", H67&lt;&gt;"Issue"), "",
   (NETWORKDAYS.INTL(TODAY(), N67, 1, [3]DATA!A67:A95)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IF(ISBLANK(J68),"",IF(OR(M68="Completed",M68="Closed"),"",IF(H68="Issue",IF(I68="High",WORKDAY(J68,2,[3]DATA!A68:A96),IF(I68="Medium",WORKDAY(J68,14,[3]DATA!A68:A96),IF(OR(I68="Low"),WORKDAY(J68,30,[3]DATA!A68:A96),""))),
"")
))</f>
        <v/>
      </c>
      <c r="O68" s="60" t="str">
        <f ca="1">IF(OR(ISBLANK(#REF!), M68="Completed", M68="Closed", H68&lt;&gt;"Issue"), "",
   (NETWORKDAYS.INTL(TODAY(), N68, 1, [3]DATA!A68:A96)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IF(ISBLANK(J69),"",IF(OR(M69="Completed",M69="Closed"),"",IF(H69="Issue",IF(I69="High",WORKDAY(J69,2,[3]DATA!A69:A97),IF(I69="Medium",WORKDAY(J69,14,[3]DATA!A69:A97),IF(OR(I69="Low"),WORKDAY(J69,30,[3]DATA!A69:A97),""))),
"")
))</f>
        <v/>
      </c>
      <c r="O69" s="60" t="str">
        <f ca="1">IF(OR(ISBLANK(#REF!), M69="Completed", M69="Closed", H69&lt;&gt;"Issue"), "",
   (NETWORKDAYS.INTL(TODAY(), N69, 1, [3]DATA!A69:A97)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IF(ISBLANK(J70),"",IF(OR(M70="Completed",M70="Closed"),"",IF(H70="Issue",IF(I70="High",WORKDAY(J70,2,[3]DATA!A70:A98),IF(I70="Medium",WORKDAY(J70,14,[3]DATA!A70:A98),IF(OR(I70="Low"),WORKDAY(J70,30,[3]DATA!A70:A98),""))),
"")
))</f>
        <v/>
      </c>
      <c r="O70" s="60" t="str">
        <f ca="1">IF(OR(ISBLANK(#REF!), M70="Completed", M70="Closed", H70&lt;&gt;"Issue"), "",
   (NETWORKDAYS.INTL(TODAY(), N70, 1, [3]DATA!A70:A98)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IF(ISBLANK(J71),"",IF(OR(M71="Completed",M71="Closed"),"",IF(H71="Issue",IF(I71="High",WORKDAY(J71,2,[3]DATA!A71:A99),IF(I71="Medium",WORKDAY(J71,14,[3]DATA!A71:A99),IF(OR(I71="Low"),WORKDAY(J71,30,[3]DATA!A71:A99),""))),
"")
))</f>
        <v/>
      </c>
      <c r="O71" s="60" t="str">
        <f ca="1">IF(OR(ISBLANK(#REF!), M71="Completed", M71="Closed", H71&lt;&gt;"Issue"), "",
   (NETWORKDAYS.INTL(TODAY(), N71, 1, [3]DATA!A71:A99)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IF(ISBLANK(J72),"",IF(OR(M72="Completed",M72="Closed"),"",IF(H72="Issue",IF(I72="High",WORKDAY(J72,2,[3]DATA!A72:A100),IF(I72="Medium",WORKDAY(J72,14,[3]DATA!A72:A100),IF(OR(I72="Low"),WORKDAY(J72,30,[3]DATA!A72:A100),""))),
"")
))</f>
        <v/>
      </c>
      <c r="O72" s="60" t="str">
        <f ca="1">IF(OR(ISBLANK(#REF!), M72="Completed", M72="Closed", H72&lt;&gt;"Issue"), "",
   (NETWORKDAYS.INTL(TODAY(), N72, 1, [3]DATA!A72:A100)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IF(ISBLANK(J73),"",IF(OR(M73="Completed",M73="Closed"),"",IF(H73="Issue",IF(I73="High",WORKDAY(J73,2,[3]DATA!A73:A101),IF(I73="Medium",WORKDAY(J73,14,[3]DATA!A73:A101),IF(OR(I73="Low"),WORKDAY(J73,30,[3]DATA!A73:A101),""))),
"")
))</f>
        <v/>
      </c>
      <c r="O73" s="60" t="str">
        <f ca="1">IF(OR(ISBLANK(#REF!), M73="Completed", M73="Closed", H73&lt;&gt;"Issue"), "",
   (NETWORKDAYS.INTL(TODAY(), N73, 1, [3]DATA!A73:A101)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IF(ISBLANK(J74),"",IF(OR(M74="Completed",M74="Closed"),"",IF(H74="Issue",IF(I74="High",WORKDAY(J74,2,[3]DATA!A74:A102),IF(I74="Medium",WORKDAY(J74,14,[3]DATA!A74:A102),IF(OR(I74="Low"),WORKDAY(J74,30,[3]DATA!A74:A102),""))),
"")
))</f>
        <v/>
      </c>
      <c r="O74" s="60" t="str">
        <f ca="1">IF(OR(ISBLANK(#REF!), M74="Completed", M74="Closed", H74&lt;&gt;"Issue"), "",
   (NETWORKDAYS.INTL(TODAY(), N74, 1, [3]DATA!A74:A102)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IF(ISBLANK(J75),"",IF(OR(M75="Completed",M75="Closed"),"",IF(H75="Issue",IF(I75="High",WORKDAY(J75,2,[3]DATA!A75:A103),IF(I75="Medium",WORKDAY(J75,14,[3]DATA!A75:A103),IF(OR(I75="Low"),WORKDAY(J75,30,[3]DATA!A75:A103),""))),
"")
))</f>
        <v/>
      </c>
      <c r="O75" s="60" t="str">
        <f ca="1">IF(OR(ISBLANK(#REF!), M75="Completed", M75="Closed", H75&lt;&gt;"Issue"), "",
   (NETWORKDAYS.INTL(TODAY(), N75, 1, [3]DATA!A75:A103)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IF(ISBLANK(J76),"",IF(OR(M76="Completed",M76="Closed"),"",IF(H76="Issue",IF(I76="High",WORKDAY(J76,2,[3]DATA!A76:A104),IF(I76="Medium",WORKDAY(J76,14,[3]DATA!A76:A104),IF(OR(I76="Low"),WORKDAY(J76,30,[3]DATA!A76:A104),""))),
"")
))</f>
        <v/>
      </c>
      <c r="O76" s="60" t="str">
        <f ca="1">IF(OR(ISBLANK(#REF!), M76="Completed", M76="Closed", H76&lt;&gt;"Issue"), "",
   (NETWORKDAYS.INTL(TODAY(), N76, 1, [3]DATA!A76:A104)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IF(ISBLANK(J77),"",IF(OR(M77="Completed",M77="Closed"),"",IF(H77="Issue",IF(I77="High",WORKDAY(J77,2,[3]DATA!A77:A105),IF(I77="Medium",WORKDAY(J77,14,[3]DATA!A77:A105),IF(OR(I77="Low"),WORKDAY(J77,30,[3]DATA!A77:A105),""))),
"")
))</f>
        <v/>
      </c>
      <c r="O77" s="60" t="str">
        <f ca="1">IF(OR(ISBLANK(#REF!), M77="Completed", M77="Closed", H77&lt;&gt;"Issue"), "",
   (NETWORKDAYS.INTL(TODAY(), N77, 1, [3]DATA!A77:A105)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IF(ISBLANK(J78),"",IF(OR(M78="Completed",M78="Closed"),"",IF(H78="Issue",IF(I78="High",WORKDAY(J78,2,[3]DATA!A78:A106),IF(I78="Medium",WORKDAY(J78,14,[3]DATA!A78:A106),IF(OR(I78="Low"),WORKDAY(J78,30,[3]DATA!A78:A106),""))),
"")
))</f>
        <v/>
      </c>
      <c r="O78" s="60" t="str">
        <f ca="1">IF(OR(ISBLANK(#REF!), M78="Completed", M78="Closed", H78&lt;&gt;"Issue"), "",
   (NETWORKDAYS.INTL(TODAY(), N78, 1, [3]DATA!A78:A106)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IF(ISBLANK(J79),"",IF(OR(M79="Completed",M79="Closed"),"",IF(H79="Issue",IF(I79="High",WORKDAY(J79,2,[3]DATA!A79:A107),IF(I79="Medium",WORKDAY(J79,14,[3]DATA!A79:A107),IF(OR(I79="Low"),WORKDAY(J79,30,[3]DATA!A79:A107),""))),
"")
))</f>
        <v/>
      </c>
      <c r="O79" s="60" t="str">
        <f ca="1">IF(OR(ISBLANK(#REF!), M79="Completed", M79="Closed", H79&lt;&gt;"Issue"), "",
   (NETWORKDAYS.INTL(TODAY(), N79, 1, [3]DATA!A79:A107)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IF(ISBLANK(J80),"",IF(OR(M80="Completed",M80="Closed"),"",IF(H80="Issue",IF(I80="High",WORKDAY(J80,2,[3]DATA!A80:A108),IF(I80="Medium",WORKDAY(J80,14,[3]DATA!A80:A108),IF(OR(I80="Low"),WORKDAY(J80,30,[3]DATA!A80:A108),""))),
"")
))</f>
        <v/>
      </c>
      <c r="O80" s="60" t="str">
        <f ca="1">IF(OR(ISBLANK(#REF!), M80="Completed", M80="Closed", H80&lt;&gt;"Issue"), "",
   (NETWORKDAYS.INTL(TODAY(), N80, 1, [3]DATA!A80:A108)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IF(ISBLANK(J81),"",IF(OR(M81="Completed",M81="Closed"),"",IF(H81="Issue",IF(I81="High",WORKDAY(J81,2,[3]DATA!A81:A109),IF(I81="Medium",WORKDAY(J81,14,[3]DATA!A81:A109),IF(OR(I81="Low"),WORKDAY(J81,30,[3]DATA!A81:A109),""))),
"")
))</f>
        <v/>
      </c>
      <c r="O81" s="60" t="str">
        <f ca="1">IF(OR(ISBLANK(#REF!), M81="Completed", M81="Closed", H81&lt;&gt;"Issue"), "",
   (NETWORKDAYS.INTL(TODAY(), N81, 1, [3]DATA!A81:A109)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IF(ISBLANK(J82),"",IF(OR(M82="Completed",M82="Closed"),"",IF(H82="Issue",IF(I82="High",WORKDAY(J82,2,[3]DATA!A82:A110),IF(I82="Medium",WORKDAY(J82,14,[3]DATA!A82:A110),IF(OR(I82="Low"),WORKDAY(J82,30,[3]DATA!A82:A110),""))),
"")
))</f>
        <v/>
      </c>
      <c r="O82" s="60" t="str">
        <f ca="1">IF(OR(ISBLANK(#REF!), M82="Completed", M82="Closed", H82&lt;&gt;"Issue"), "",
   (NETWORKDAYS.INTL(TODAY(), N82, 1, [3]DATA!A82:A110)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IF(ISBLANK(J83),"",IF(OR(M83="Completed",M83="Closed"),"",IF(H83="Issue",IF(I83="High",WORKDAY(J83,2,[3]DATA!A83:A111),IF(I83="Medium",WORKDAY(J83,14,[3]DATA!A83:A111),IF(OR(I83="Low"),WORKDAY(J83,30,[3]DATA!A83:A111),""))),
"")
))</f>
        <v/>
      </c>
      <c r="O83" s="60" t="str">
        <f ca="1">IF(OR(ISBLANK(#REF!), M83="Completed", M83="Closed", H83&lt;&gt;"Issue"), "",
   (NETWORKDAYS.INTL(TODAY(), N83, 1, [3]DATA!A83:A111)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IF(ISBLANK(J84),"",IF(OR(M84="Completed",M84="Closed"),"",IF(H84="Issue",IF(I84="High",WORKDAY(J84,2,[3]DATA!A84:A112),IF(I84="Medium",WORKDAY(J84,14,[3]DATA!A84:A112),IF(OR(I84="Low"),WORKDAY(J84,30,[3]DATA!A84:A112),""))),
"")
))</f>
        <v/>
      </c>
      <c r="O84" s="60" t="str">
        <f ca="1">IF(OR(ISBLANK(#REF!), M84="Completed", M84="Closed", H84&lt;&gt;"Issue"), "",
   (NETWORKDAYS.INTL(TODAY(), N84, 1, [3]DATA!A84:A112)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IF(ISBLANK(J85),"",IF(OR(M85="Completed",M85="Closed"),"",IF(H85="Issue",IF(I85="High",WORKDAY(J85,2,[3]DATA!A85:A113),IF(I85="Medium",WORKDAY(J85,14,[3]DATA!A85:A113),IF(OR(I85="Low"),WORKDAY(J85,30,[3]DATA!A85:A113),""))),
"")
))</f>
        <v/>
      </c>
      <c r="O85" s="60" t="str">
        <f ca="1">IF(OR(ISBLANK(#REF!), M85="Completed", M85="Closed", H85&lt;&gt;"Issue"), "",
   (NETWORKDAYS.INTL(TODAY(), N85, 1, [3]DATA!A85:A113)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IF(ISBLANK(J86),"",IF(OR(M86="Completed",M86="Closed"),"",IF(H86="Issue",IF(I86="High",WORKDAY(J86,2,[3]DATA!A86:A114),IF(I86="Medium",WORKDAY(J86,14,[3]DATA!A86:A114),IF(OR(I86="Low"),WORKDAY(J86,30,[3]DATA!A86:A114),""))),
"")
))</f>
        <v/>
      </c>
      <c r="O86" s="60" t="str">
        <f ca="1">IF(OR(ISBLANK(#REF!), M86="Completed", M86="Closed", H86&lt;&gt;"Issue"), "",
   (NETWORKDAYS.INTL(TODAY(), N86, 1, [3]DATA!A86:A114)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IF(ISBLANK(J87),"",IF(OR(M87="Completed",M87="Closed"),"",IF(H87="Issue",IF(I87="High",WORKDAY(J87,2,[3]DATA!A87:A115),IF(I87="Medium",WORKDAY(J87,14,[3]DATA!A87:A115),IF(OR(I87="Low"),WORKDAY(J87,30,[3]DATA!A87:A115),""))),
"")
))</f>
        <v/>
      </c>
      <c r="O87" s="60" t="str">
        <f ca="1">IF(OR(ISBLANK(#REF!), M87="Completed", M87="Closed", H87&lt;&gt;"Issue"), "",
   (NETWORKDAYS.INTL(TODAY(), N87, 1, [3]DATA!A87:A115)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IF(ISBLANK(J88),"",IF(OR(M88="Completed",M88="Closed"),"",IF(H88="Issue",IF(I88="High",WORKDAY(J88,2,[3]DATA!A88:A116),IF(I88="Medium",WORKDAY(J88,14,[3]DATA!A88:A116),IF(OR(I88="Low"),WORKDAY(J88,30,[3]DATA!A88:A116),""))),
"")
))</f>
        <v/>
      </c>
      <c r="O88" s="60" t="str">
        <f ca="1">IF(OR(ISBLANK(#REF!), M88="Completed", M88="Closed", H88&lt;&gt;"Issue"), "",
   (NETWORKDAYS.INTL(TODAY(), N88, 1, [3]DATA!A88:A116)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IF(ISBLANK(J89),"",IF(OR(M89="Completed",M89="Closed"),"",IF(H89="Issue",IF(I89="High",WORKDAY(J89,2,[3]DATA!A89:A117),IF(I89="Medium",WORKDAY(J89,14,[3]DATA!A89:A117),IF(OR(I89="Low"),WORKDAY(J89,30,[3]DATA!A89:A117),""))),
"")
))</f>
        <v/>
      </c>
      <c r="O89" s="60" t="str">
        <f ca="1">IF(OR(ISBLANK(#REF!), M89="Completed", M89="Closed", H89&lt;&gt;"Issue"), "",
   (NETWORKDAYS.INTL(TODAY(), N89, 1, [3]DATA!A89:A117)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IF(ISBLANK(J90),"",IF(OR(M90="Completed",M90="Closed"),"",IF(H90="Issue",IF(I90="High",WORKDAY(J90,2,[3]DATA!A90:A118),IF(I90="Medium",WORKDAY(J90,14,[3]DATA!A90:A118),IF(OR(I90="Low"),WORKDAY(J90,30,[3]DATA!A90:A118),""))),
"")
))</f>
        <v/>
      </c>
      <c r="O90" s="60" t="str">
        <f ca="1">IF(OR(ISBLANK(#REF!), M90="Completed", M90="Closed", H90&lt;&gt;"Issue"), "",
   (NETWORKDAYS.INTL(TODAY(), N90, 1, [3]DATA!A90:A118)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IF(ISBLANK(J91),"",IF(OR(M91="Completed",M91="Closed"),"",IF(H91="Issue",IF(I91="High",WORKDAY(J91,2,[3]DATA!A91:A119),IF(I91="Medium",WORKDAY(J91,14,[3]DATA!A91:A119),IF(OR(I91="Low"),WORKDAY(J91,30,[3]DATA!A91:A119),""))),
"")
))</f>
        <v/>
      </c>
      <c r="O91" s="60" t="str">
        <f ca="1">IF(OR(ISBLANK(#REF!), M91="Completed", M91="Closed", H91&lt;&gt;"Issue"), "",
   (NETWORKDAYS.INTL(TODAY(), N91, 1, [3]DATA!A91:A119)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IF(ISBLANK(J92),"",IF(OR(M92="Completed",M92="Closed"),"",IF(H92="Issue",IF(I92="High",WORKDAY(J92,2,[3]DATA!A92:A120),IF(I92="Medium",WORKDAY(J92,14,[3]DATA!A92:A120),IF(OR(I92="Low"),WORKDAY(J92,30,[3]DATA!A92:A120),""))),
"")
))</f>
        <v/>
      </c>
      <c r="O92" s="60" t="str">
        <f ca="1">IF(OR(ISBLANK(#REF!), M92="Completed", M92="Closed", H92&lt;&gt;"Issue"), "",
   (NETWORKDAYS.INTL(TODAY(), N92, 1, [3]DATA!A92:A120)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IF(ISBLANK(J93),"",IF(OR(M93="Completed",M93="Closed"),"",IF(H93="Issue",IF(I93="High",WORKDAY(J93,2,[3]DATA!A93:A121),IF(I93="Medium",WORKDAY(J93,14,[3]DATA!A93:A121),IF(OR(I93="Low"),WORKDAY(J93,30,[3]DATA!A93:A121),""))),
"")
))</f>
        <v/>
      </c>
      <c r="O93" s="60" t="str">
        <f ca="1">IF(OR(ISBLANK(#REF!), M93="Completed", M93="Closed", H93&lt;&gt;"Issue"), "",
   (NETWORKDAYS.INTL(TODAY(), N93, 1, [3]DATA!A93:A121)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IF(ISBLANK(J94),"",IF(OR(M94="Completed",M94="Closed"),"",IF(H94="Issue",IF(I94="High",WORKDAY(J94,2,[3]DATA!A94:A122),IF(I94="Medium",WORKDAY(J94,14,[3]DATA!A94:A122),IF(OR(I94="Low"),WORKDAY(J94,30,[3]DATA!A94:A122),""))),
"")
))</f>
        <v/>
      </c>
      <c r="O94" s="60" t="str">
        <f ca="1">IF(OR(ISBLANK(#REF!), M94="Completed", M94="Closed", H94&lt;&gt;"Issue"), "",
   (NETWORKDAYS.INTL(TODAY(), N94, 1, [3]DATA!A94:A122)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IF(ISBLANK(J95),"",IF(OR(M95="Completed",M95="Closed"),"",IF(H95="Issue",IF(I95="High",WORKDAY(J95,2,[3]DATA!A95:A123),IF(I95="Medium",WORKDAY(J95,14,[3]DATA!A95:A123),IF(OR(I95="Low"),WORKDAY(J95,30,[3]DATA!A95:A123),""))),
"")
))</f>
        <v/>
      </c>
      <c r="O95" s="60" t="str">
        <f ca="1">IF(OR(ISBLANK(#REF!), M95="Completed", M95="Closed", H95&lt;&gt;"Issue"), "",
   (NETWORKDAYS.INTL(TODAY(), N95, 1, [3]DATA!A95:A123)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opLeftCell="G22" workbookViewId="0">
      <selection activeCell="E26" sqref="A1:Q190"/>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2">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2">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2">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2">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2">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2">
        <v>6</v>
      </c>
      <c r="B8" s="93" t="s">
        <v>1268</v>
      </c>
      <c r="C8" s="79"/>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-25</v>
      </c>
      <c r="P8" s="78">
        <f t="shared" ca="1" si="1"/>
        <v>25</v>
      </c>
      <c r="Q8" s="62" t="str">
        <f t="shared" ca="1" si="0"/>
        <v>1-30 Days</v>
      </c>
      <c r="S8" s="238" t="s">
        <v>66</v>
      </c>
      <c r="T8" s="90" t="s">
        <v>94</v>
      </c>
      <c r="U8" s="90" t="s">
        <v>95</v>
      </c>
      <c r="V8" s="90" t="s">
        <v>96</v>
      </c>
    </row>
    <row r="9" spans="1:22" ht="27.6" x14ac:dyDescent="0.3">
      <c r="A9" s="92">
        <v>7</v>
      </c>
      <c r="B9" s="93" t="s">
        <v>1271</v>
      </c>
      <c r="C9" s="79"/>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-25</v>
      </c>
      <c r="P9" s="78">
        <f t="shared" ca="1" si="1"/>
        <v>25</v>
      </c>
      <c r="Q9" s="62" t="str">
        <f t="shared" ca="1" si="0"/>
        <v>1-30 Days</v>
      </c>
      <c r="S9" s="238"/>
      <c r="T9" s="70">
        <f ca="1">COUNTIFS(P3:P277,"&gt;=1",P3:P277,"&lt;=30")</f>
        <v>23</v>
      </c>
      <c r="U9" s="70">
        <f ca="1">COUNTIFS(P3:P277,"&gt;=31",P3:P277,"&lt;=60")</f>
        <v>0</v>
      </c>
      <c r="V9" s="70">
        <f ca="1">COUNTIFS(P3:P277,"&gt;60")</f>
        <v>0</v>
      </c>
    </row>
    <row r="10" spans="1:22" ht="27.6" x14ac:dyDescent="0.3">
      <c r="A10" s="92">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2">
        <v>9</v>
      </c>
      <c r="B11" s="93" t="s">
        <v>1276</v>
      </c>
      <c r="C11" s="79"/>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-25</v>
      </c>
      <c r="P11" s="78">
        <f t="shared" ca="1" si="1"/>
        <v>25</v>
      </c>
      <c r="Q11" s="62" t="str">
        <f t="shared" ca="1" si="0"/>
        <v>1-30 Days</v>
      </c>
    </row>
    <row r="12" spans="1:22" ht="27.6" x14ac:dyDescent="0.3">
      <c r="A12" s="92">
        <v>10</v>
      </c>
      <c r="B12" s="93" t="s">
        <v>1279</v>
      </c>
      <c r="C12" s="79"/>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-25</v>
      </c>
      <c r="P12" s="78">
        <f t="shared" ca="1" si="1"/>
        <v>25</v>
      </c>
      <c r="Q12" s="62" t="str">
        <f t="shared" ca="1" si="0"/>
        <v>1-30 Days</v>
      </c>
    </row>
    <row r="13" spans="1:22" ht="27.6" x14ac:dyDescent="0.3">
      <c r="A13" s="92">
        <v>11</v>
      </c>
      <c r="B13" s="93" t="s">
        <v>1281</v>
      </c>
      <c r="C13" s="79"/>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-25</v>
      </c>
      <c r="P13" s="78">
        <f t="shared" ca="1" si="1"/>
        <v>25</v>
      </c>
      <c r="Q13" s="62" t="str">
        <f ca="1">IF(P13="","",
IF(P13&lt;=0,"Not Due",
IF(P13&lt;=30,"1-30 Days",
IF(P13&lt;=60,"31-60 Days",
"&gt;60 Days"))))</f>
        <v>1-30 Days</v>
      </c>
    </row>
    <row r="14" spans="1:22" ht="41.4" x14ac:dyDescent="0.3">
      <c r="A14" s="92">
        <v>12</v>
      </c>
      <c r="B14" s="93" t="s">
        <v>1283</v>
      </c>
      <c r="C14" s="79"/>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-25</v>
      </c>
      <c r="P14" s="78">
        <f t="shared" ca="1" si="1"/>
        <v>25</v>
      </c>
      <c r="Q14" s="62" t="str">
        <f t="shared" ref="Q14:Q15" ca="1" si="2">IF(P14="","",
IF(P14&lt;=0,"Not Due",
IF(P14&lt;=30,"1-30 Days",
IF(P14&lt;=60,"31-60 Days",
"&gt;60 Days"))))</f>
        <v>1-30 Days</v>
      </c>
    </row>
    <row r="15" spans="1:22" ht="27.6" x14ac:dyDescent="0.3">
      <c r="A15" s="92">
        <v>13</v>
      </c>
      <c r="B15" s="93" t="s">
        <v>1286</v>
      </c>
      <c r="C15" s="79"/>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-25</v>
      </c>
      <c r="P15" s="78">
        <f t="shared" ca="1" si="1"/>
        <v>25</v>
      </c>
      <c r="Q15" s="62" t="str">
        <f t="shared" ca="1" si="2"/>
        <v>1-30 Days</v>
      </c>
    </row>
    <row r="16" spans="1:22" x14ac:dyDescent="0.3">
      <c r="A16" s="92">
        <v>14</v>
      </c>
      <c r="B16" s="93" t="s">
        <v>1288</v>
      </c>
      <c r="C16" s="79"/>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-25</v>
      </c>
      <c r="P16" s="78">
        <f t="shared" ca="1" si="1"/>
        <v>25</v>
      </c>
      <c r="Q16" s="62" t="str">
        <f t="shared" ref="Q16:Q79" ca="1" si="3">IF(P16="","",
IF(P16&lt;=30,"1-30 Days",
IF(AND(P16&gt;=31,P16&lt;=60),"31-60 Days",
"&gt;60 Days")))</f>
        <v>1-30 Days</v>
      </c>
    </row>
    <row r="17" spans="1:17" ht="27.6" x14ac:dyDescent="0.3">
      <c r="A17" s="92">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2">
        <v>16</v>
      </c>
      <c r="B18" s="93" t="s">
        <v>1293</v>
      </c>
      <c r="C18" s="79"/>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-25</v>
      </c>
      <c r="P18" s="78">
        <f t="shared" ca="1" si="1"/>
        <v>25</v>
      </c>
      <c r="Q18" s="62" t="str">
        <f t="shared" ca="1" si="3"/>
        <v>1-30 Days</v>
      </c>
    </row>
    <row r="19" spans="1:17" ht="27.6" x14ac:dyDescent="0.3">
      <c r="A19" s="92">
        <v>17</v>
      </c>
      <c r="B19" s="93" t="s">
        <v>1294</v>
      </c>
      <c r="C19" s="79"/>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-25</v>
      </c>
      <c r="P19" s="78">
        <f t="shared" ca="1" si="1"/>
        <v>25</v>
      </c>
      <c r="Q19" s="62" t="str">
        <f t="shared" ca="1" si="3"/>
        <v>1-30 Days</v>
      </c>
    </row>
    <row r="20" spans="1:17" ht="41.4" x14ac:dyDescent="0.3">
      <c r="A20" s="92">
        <v>18</v>
      </c>
      <c r="B20" s="93" t="s">
        <v>1296</v>
      </c>
      <c r="C20" s="79"/>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-25</v>
      </c>
      <c r="P20" s="78">
        <f t="shared" ca="1" si="1"/>
        <v>25</v>
      </c>
      <c r="Q20" s="62" t="str">
        <f t="shared" ca="1" si="3"/>
        <v>1-30 Days</v>
      </c>
    </row>
    <row r="21" spans="1:17" ht="151.80000000000001" x14ac:dyDescent="0.3">
      <c r="A21" s="92">
        <v>19</v>
      </c>
      <c r="B21" s="93" t="s">
        <v>1298</v>
      </c>
      <c r="C21" s="79"/>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-25</v>
      </c>
      <c r="P21" s="78">
        <f t="shared" ca="1" si="1"/>
        <v>25</v>
      </c>
      <c r="Q21" s="62" t="str">
        <f t="shared" ca="1" si="3"/>
        <v>1-30 Days</v>
      </c>
    </row>
    <row r="22" spans="1:17" ht="27.6" x14ac:dyDescent="0.3">
      <c r="A22" s="92">
        <v>20</v>
      </c>
      <c r="B22" s="93" t="s">
        <v>1301</v>
      </c>
      <c r="C22" s="79"/>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-25</v>
      </c>
      <c r="P22" s="78">
        <f t="shared" ca="1" si="1"/>
        <v>25</v>
      </c>
      <c r="Q22" s="62" t="str">
        <f t="shared" ca="1" si="3"/>
        <v>1-30 Days</v>
      </c>
    </row>
    <row r="23" spans="1:17" ht="27.6" x14ac:dyDescent="0.3">
      <c r="A23" s="92">
        <v>21</v>
      </c>
      <c r="B23" s="93" t="s">
        <v>1304</v>
      </c>
      <c r="C23" s="79"/>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-25</v>
      </c>
      <c r="P23" s="78">
        <f t="shared" ca="1" si="1"/>
        <v>25</v>
      </c>
      <c r="Q23" s="62" t="str">
        <f t="shared" ca="1" si="3"/>
        <v>1-30 Days</v>
      </c>
    </row>
    <row r="24" spans="1:17" ht="27.6" x14ac:dyDescent="0.3">
      <c r="A24" s="92">
        <v>22</v>
      </c>
      <c r="B24" s="93" t="s">
        <v>1306</v>
      </c>
      <c r="C24" s="79"/>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-25</v>
      </c>
      <c r="P24" s="78">
        <f t="shared" ca="1" si="1"/>
        <v>25</v>
      </c>
      <c r="Q24" s="62" t="str">
        <f t="shared" ca="1" si="3"/>
        <v>1-30 Days</v>
      </c>
    </row>
    <row r="25" spans="1:17" ht="82.8" x14ac:dyDescent="0.3">
      <c r="A25" s="92">
        <v>23</v>
      </c>
      <c r="B25" s="93" t="s">
        <v>1308</v>
      </c>
      <c r="C25" s="79"/>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-25</v>
      </c>
      <c r="P25" s="78">
        <f t="shared" ca="1" si="1"/>
        <v>25</v>
      </c>
      <c r="Q25" s="62" t="str">
        <f t="shared" ca="1" si="3"/>
        <v>1-30 Days</v>
      </c>
    </row>
    <row r="26" spans="1:17" ht="27.6" x14ac:dyDescent="0.3">
      <c r="A26" s="92">
        <v>24</v>
      </c>
      <c r="B26" s="93" t="s">
        <v>1311</v>
      </c>
      <c r="C26" s="79"/>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-25</v>
      </c>
      <c r="P26" s="78">
        <f t="shared" ca="1" si="1"/>
        <v>25</v>
      </c>
      <c r="Q26" s="62" t="str">
        <f t="shared" ca="1" si="3"/>
        <v>1-30 Days</v>
      </c>
    </row>
    <row r="27" spans="1:17" ht="27.6" x14ac:dyDescent="0.3">
      <c r="A27" s="92">
        <v>25</v>
      </c>
      <c r="B27" s="93" t="s">
        <v>1313</v>
      </c>
      <c r="C27" s="79"/>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-25</v>
      </c>
      <c r="P27" s="78">
        <f t="shared" ca="1" si="1"/>
        <v>25</v>
      </c>
      <c r="Q27" s="62" t="str">
        <f t="shared" ca="1" si="3"/>
        <v>1-30 Days</v>
      </c>
    </row>
    <row r="28" spans="1:17" ht="27.6" x14ac:dyDescent="0.3">
      <c r="A28" s="92">
        <v>26</v>
      </c>
      <c r="B28" s="93" t="s">
        <v>1315</v>
      </c>
      <c r="C28" s="79"/>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-25</v>
      </c>
      <c r="P28" s="78">
        <f t="shared" ca="1" si="1"/>
        <v>25</v>
      </c>
      <c r="Q28" s="62" t="str">
        <f t="shared" ca="1" si="3"/>
        <v>1-30 Days</v>
      </c>
    </row>
    <row r="29" spans="1:17" ht="41.4" x14ac:dyDescent="0.3">
      <c r="A29" s="92">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2">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2">
        <v>29</v>
      </c>
      <c r="B31" s="93" t="s">
        <v>1323</v>
      </c>
      <c r="C31" s="79"/>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-25</v>
      </c>
      <c r="P31" s="78">
        <f t="shared" ca="1" si="1"/>
        <v>25</v>
      </c>
      <c r="Q31" s="62" t="str">
        <f t="shared" ca="1" si="3"/>
        <v>1-30 Days</v>
      </c>
    </row>
    <row r="32" spans="1:17" ht="55.2" x14ac:dyDescent="0.3">
      <c r="A32" s="92">
        <v>30</v>
      </c>
      <c r="B32" s="93" t="s">
        <v>1326</v>
      </c>
      <c r="C32" s="79"/>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-25</v>
      </c>
      <c r="P32" s="78">
        <f t="shared" ca="1" si="1"/>
        <v>25</v>
      </c>
      <c r="Q32" s="62" t="str">
        <f t="shared" ca="1" si="3"/>
        <v>1-30 Days</v>
      </c>
    </row>
    <row r="33" spans="1:17" ht="27.6" x14ac:dyDescent="0.3">
      <c r="A33" s="92">
        <v>31</v>
      </c>
      <c r="B33" s="93" t="s">
        <v>1329</v>
      </c>
      <c r="C33" s="79"/>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-17</v>
      </c>
      <c r="P33" s="78">
        <f t="shared" ca="1" si="1"/>
        <v>17</v>
      </c>
      <c r="Q33" s="62" t="str">
        <f t="shared" ca="1" si="3"/>
        <v>1-30 Days</v>
      </c>
    </row>
    <row r="34" spans="1:17" x14ac:dyDescent="0.3">
      <c r="A34" s="92">
        <v>32</v>
      </c>
      <c r="B34" s="93" t="s">
        <v>1332</v>
      </c>
      <c r="C34" s="79"/>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-17</v>
      </c>
      <c r="P34" s="78">
        <f t="shared" ca="1" si="1"/>
        <v>17</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5" t="s">
        <v>1336</v>
      </c>
    </row>
    <row r="2" spans="1:1" x14ac:dyDescent="0.3">
      <c r="A2" s="96">
        <v>46023</v>
      </c>
    </row>
    <row r="3" spans="1:1" x14ac:dyDescent="0.3">
      <c r="A3" s="96">
        <v>46055</v>
      </c>
    </row>
    <row r="4" spans="1:1" x14ac:dyDescent="0.3">
      <c r="A4" s="96">
        <v>46070</v>
      </c>
    </row>
    <row r="5" spans="1:1" x14ac:dyDescent="0.3">
      <c r="A5" s="96">
        <v>46071</v>
      </c>
    </row>
    <row r="6" spans="1:1" x14ac:dyDescent="0.3">
      <c r="A6" s="96">
        <v>46104</v>
      </c>
    </row>
    <row r="7" spans="1:1" x14ac:dyDescent="0.3">
      <c r="A7" s="96">
        <v>46112</v>
      </c>
    </row>
    <row r="8" spans="1:1" x14ac:dyDescent="0.3">
      <c r="A8" s="96">
        <v>46113</v>
      </c>
    </row>
    <row r="9" spans="1:1" x14ac:dyDescent="0.3">
      <c r="A9" s="96">
        <v>46143</v>
      </c>
    </row>
    <row r="10" spans="1:1" x14ac:dyDescent="0.3">
      <c r="A10" s="96">
        <v>46154</v>
      </c>
    </row>
    <row r="11" spans="1:1" x14ac:dyDescent="0.3">
      <c r="A11" s="96">
        <v>46175</v>
      </c>
    </row>
    <row r="12" spans="1:1" x14ac:dyDescent="0.3">
      <c r="A12" s="96">
        <v>46180</v>
      </c>
    </row>
    <row r="13" spans="1:1" x14ac:dyDescent="0.3">
      <c r="A13" s="96">
        <v>46200</v>
      </c>
    </row>
    <row r="14" spans="1:1" x14ac:dyDescent="0.3">
      <c r="A14" s="96">
        <v>46265</v>
      </c>
    </row>
    <row r="15" spans="1:1" x14ac:dyDescent="0.3">
      <c r="A15" s="96">
        <v>46266</v>
      </c>
    </row>
    <row r="16" spans="1:1" x14ac:dyDescent="0.3">
      <c r="A16" s="96">
        <v>46270</v>
      </c>
    </row>
    <row r="17" spans="1:1" x14ac:dyDescent="0.3">
      <c r="A17" s="96">
        <v>46281</v>
      </c>
    </row>
    <row r="18" spans="1:1" x14ac:dyDescent="0.3">
      <c r="A18" s="96">
        <v>46315</v>
      </c>
    </row>
    <row r="19" spans="1:1" x14ac:dyDescent="0.3">
      <c r="A19" s="96">
        <v>46367</v>
      </c>
    </row>
    <row r="20" spans="1:1" x14ac:dyDescent="0.3">
      <c r="A20" s="96">
        <v>46381</v>
      </c>
    </row>
    <row r="21" spans="1:1" x14ac:dyDescent="0.3">
      <c r="A21" s="96">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2</vt:i4>
      </vt:variant>
    </vt:vector>
  </HeadingPairs>
  <TitlesOfParts>
    <vt:vector size="19" baseType="lpstr">
      <vt:lpstr>EXAMPLE Multi Project Dashboard</vt:lpstr>
      <vt:lpstr>– Disclaimer –</vt:lpstr>
      <vt:lpstr>Ticket Issue Client Dashboard</vt:lpstr>
      <vt:lpstr>Ageing Issue</vt:lpstr>
      <vt:lpstr>Client Warranty</vt:lpstr>
      <vt:lpstr>Client Project</vt:lpstr>
      <vt:lpstr>FRIM</vt:lpstr>
      <vt:lpstr>MTIB</vt:lpstr>
      <vt:lpstr>MPOB</vt:lpstr>
      <vt:lpstr>LKTN</vt:lpstr>
      <vt:lpstr>LAM</vt:lpstr>
      <vt:lpstr>ISN</vt:lpstr>
      <vt:lpstr>MSN</vt:lpstr>
      <vt:lpstr>KTPC</vt:lpstr>
      <vt:lpstr>KUIPS</vt:lpstr>
      <vt:lpstr>YIPS</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2026-07-29T02:47:15Z</dcterms:modified>
</cp:coreProperties>
</file>